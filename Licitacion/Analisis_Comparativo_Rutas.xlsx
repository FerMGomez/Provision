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F6D36DCB-44EE-4901-91EC-BB80285B22D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2" sheetId="3" r:id="rId1"/>
    <sheet name="Analisis_Detallado_Rutas" sheetId="1" r:id="rId2"/>
  </sheets>
  <definedNames>
    <definedName name="_xlnm._FilterDatabase" localSheetId="1" hidden="1">Analisis_Detallado_Rutas!$A$1:$AA$80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<sst xmlns="http://schemas.openxmlformats.org/spreadsheetml/2006/main" count="467" uniqueCount="117">
  <si>
    <t>ANDREANI_Precio_Cabecera</t>
  </si>
  <si>
    <t>ANDREANI_Costo_Excedente</t>
  </si>
  <si>
    <t>FLEET S.A._Ahorro_%_Precio</t>
  </si>
  <si>
    <t>FLEET S.A._Ahorro_%_Costo</t>
  </si>
  <si>
    <t>ANDESMAR_Ahorro_%_Precio</t>
  </si>
  <si>
    <t>ANDESMAR_Ahorro_%_Costo</t>
  </si>
  <si>
    <t>GRUPO SILCO_Ahorro_%_Precio</t>
  </si>
  <si>
    <t>GRUPO SILCO_Ahorro_%_Costo</t>
  </si>
  <si>
    <t>ID Logistics_Ahorro_%_Precio</t>
  </si>
  <si>
    <t>ID Logistics_Ahorro_%_Costo</t>
  </si>
  <si>
    <t>Logicargo_Ahorro_%_Precio</t>
  </si>
  <si>
    <t>Logicargo_Ahorro_%_Costo</t>
  </si>
  <si>
    <t>Logischer_Ahorro_%_Precio</t>
  </si>
  <si>
    <t>Logischer_Ahorro_%_Costo</t>
  </si>
  <si>
    <t>Synergia_Ahorro_%_Precio</t>
  </si>
  <si>
    <t>Synergia_Ahorro_%_Costo</t>
  </si>
  <si>
    <t>Tradelog_Ahorro_%_Precio</t>
  </si>
  <si>
    <t>Tradelog_Ahorro_%_Costo</t>
  </si>
  <si>
    <t>Talcahuano_Ahorro_%_Precio</t>
  </si>
  <si>
    <t>Talcahuano_Ahorro_%_Costo</t>
  </si>
  <si>
    <t>MEJOR_PROVEEDOR_Precio_Cabecera</t>
  </si>
  <si>
    <t>MEJOR_PROVEEDOR_Costo_Excedente</t>
  </si>
  <si>
    <t>MEJOR_TARIFA_Precio_Cabecera</t>
  </si>
  <si>
    <t>MEJOR_TARIFA_Costo_Excedente</t>
  </si>
  <si>
    <t>Delegacion</t>
  </si>
  <si>
    <t>GUALEGUAYCHU</t>
  </si>
  <si>
    <t>ROSARIO</t>
  </si>
  <si>
    <t>JUNIN</t>
  </si>
  <si>
    <t>VENADO TUERTO</t>
  </si>
  <si>
    <t>CASILDA</t>
  </si>
  <si>
    <t>PEHUAJO</t>
  </si>
  <si>
    <t>CONCORDIA</t>
  </si>
  <si>
    <t>SANTA FE</t>
  </si>
  <si>
    <t>MAR DEL PLATA</t>
  </si>
  <si>
    <t>TANDIL</t>
  </si>
  <si>
    <t>VILLA MARIA</t>
  </si>
  <si>
    <t>SAN FRANCISCO</t>
  </si>
  <si>
    <t>RIO CUARTO</t>
  </si>
  <si>
    <t>SANTA ROSA</t>
  </si>
  <si>
    <t>CORDOBA</t>
  </si>
  <si>
    <t>RECONQUISTA</t>
  </si>
  <si>
    <t>BAHIA BLANCA</t>
  </si>
  <si>
    <t>GENERAL PICO</t>
  </si>
  <si>
    <t>VILLA MERCEDES</t>
  </si>
  <si>
    <t>SAN LUIS</t>
  </si>
  <si>
    <t>POSADAS</t>
  </si>
  <si>
    <t>RESISTENCIA</t>
  </si>
  <si>
    <t>ROQUE SAENZ PEÑA</t>
  </si>
  <si>
    <t>SANTIAGO DEL ESTERO</t>
  </si>
  <si>
    <t>MENDOZA</t>
  </si>
  <si>
    <t>CATAMARCA</t>
  </si>
  <si>
    <t>SAN JUAN</t>
  </si>
  <si>
    <t>SAN RAFAEL</t>
  </si>
  <si>
    <t>FORMOSA</t>
  </si>
  <si>
    <t>TUCUMAN</t>
  </si>
  <si>
    <t>LA RIOJA</t>
  </si>
  <si>
    <t>NEUQUEN</t>
  </si>
  <si>
    <t>SALTA</t>
  </si>
  <si>
    <t>JUJUY</t>
  </si>
  <si>
    <t xml:space="preserve">
 CALAFATE </t>
  </si>
  <si>
    <t xml:space="preserve">
 BARILOCHE </t>
  </si>
  <si>
    <t xml:space="preserve">
 CATRIEL </t>
  </si>
  <si>
    <t xml:space="preserve">
 CALETA OLIVIA </t>
  </si>
  <si>
    <t xml:space="preserve">
 CHOELE CHOEL </t>
  </si>
  <si>
    <t xml:space="preserve">
 COMODORO RIVADAVIA </t>
  </si>
  <si>
    <t xml:space="preserve">
 CUTRAL CO </t>
  </si>
  <si>
    <t xml:space="preserve">
 CTE. PIEDRA BUENA </t>
  </si>
  <si>
    <t xml:space="preserve">
 CHOS MALAL </t>
  </si>
  <si>
    <t xml:space="preserve">
 EL BOLSON </t>
  </si>
  <si>
    <t xml:space="preserve">
 ESQUEL </t>
  </si>
  <si>
    <t xml:space="preserve">
 INGENIERO JACOBACCI </t>
  </si>
  <si>
    <t xml:space="preserve">
 JUNIN DE LOS ANDES </t>
  </si>
  <si>
    <t xml:space="preserve">
 PERITO MORENO </t>
  </si>
  <si>
    <t xml:space="preserve">
 PICO TRUNCADO </t>
  </si>
  <si>
    <t xml:space="preserve">
 GENERAL ROCA </t>
  </si>
  <si>
    <t xml:space="preserve">
 PIEDRA DEL AGUILA </t>
  </si>
  <si>
    <t xml:space="preserve">
 PUERTO MADRYN </t>
  </si>
  <si>
    <t xml:space="preserve">
 PTO. SANTA CRUZ </t>
  </si>
  <si>
    <t xml:space="preserve">
 PUERTO DESEADO </t>
  </si>
  <si>
    <t xml:space="preserve">
 RAWSON </t>
  </si>
  <si>
    <t xml:space="preserve">
 RINCON DE LOS SAUCES </t>
  </si>
  <si>
    <t xml:space="preserve">
 RÍO TURBIO </t>
  </si>
  <si>
    <t xml:space="preserve">
 RIO GALLEGOS </t>
  </si>
  <si>
    <t xml:space="preserve">
 RIO COLORADO </t>
  </si>
  <si>
    <t xml:space="preserve">
 RIO GRANDE </t>
  </si>
  <si>
    <t xml:space="preserve">
 SAN ANTIONIO OESTE </t>
  </si>
  <si>
    <t xml:space="preserve">
 SAN JULIAN </t>
  </si>
  <si>
    <t xml:space="preserve">
 SAN MARTIN DE LOS ANDES </t>
  </si>
  <si>
    <t xml:space="preserve">
 SARMIENTO </t>
  </si>
  <si>
    <t xml:space="preserve">
 SIERRA GRANDE </t>
  </si>
  <si>
    <t xml:space="preserve">
 TRELEW </t>
  </si>
  <si>
    <t xml:space="preserve">
 USHUAIA </t>
  </si>
  <si>
    <t xml:space="preserve">
 VIEDMA </t>
  </si>
  <si>
    <t xml:space="preserve">
 VILLA LA ANGOSTURA </t>
  </si>
  <si>
    <t xml:space="preserve">
 VILLA REGINA </t>
  </si>
  <si>
    <t xml:space="preserve">
 ZAPALA </t>
  </si>
  <si>
    <t>CAPITAL FEDERAL</t>
  </si>
  <si>
    <t>PILAR</t>
  </si>
  <si>
    <t>CAMPANA</t>
  </si>
  <si>
    <t>MERCEDES</t>
  </si>
  <si>
    <t>ZARATE</t>
  </si>
  <si>
    <t>ZONA NORTE</t>
  </si>
  <si>
    <t>ZONA SUR</t>
  </si>
  <si>
    <t>ZONA OESTE</t>
  </si>
  <si>
    <t>Logicargo</t>
  </si>
  <si>
    <t>Synergia</t>
  </si>
  <si>
    <t>ANDESMAR</t>
  </si>
  <si>
    <t>GRUPO SILCO</t>
  </si>
  <si>
    <t>ANDREANI</t>
  </si>
  <si>
    <t>ID Logistics</t>
  </si>
  <si>
    <t>x</t>
  </si>
  <si>
    <t>X</t>
  </si>
  <si>
    <t>LOGICARGO</t>
  </si>
  <si>
    <t>SYNERGIA</t>
  </si>
  <si>
    <t>RUTAS</t>
  </si>
  <si>
    <t>Total general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</si>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</sst>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3" borderId="0" xfId="0" applyNumberFormat="1" applyFill="1"/>
    <xf numFmtId="164" fontId="0" fillId="4" borderId="0" xfId="0" applyNumberFormat="1" applyFill="1"/>
    <xf numFmtId="0" fontId="1" fillId="0" borderId="0" xfId="0" applyFont="1" applyAlignment="1">
      <alignment horizontal="center" vertical="top"/>
    </xf>
    <xf numFmtId="0" fontId="0" fillId="0" borderId="0" xfId="0" pivotButton="1"/>
    <xf numFmtId="0" fontId="2" fillId="2" borderId="2" xfId="1" applyAlignment="1">
      <alignment horizontal="center" vertical="top"/>
    </xf>
    <xf numFmtId="0" fontId="2" fillId="2" borderId="2" xfId="1"/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mez, Fernando" refreshedDate="45923.432700810183" createdVersion="8" refreshedVersion="8" minRefreshableVersion="3" recordCount="79" xr:uid="{132CC9D2-C810-436B-A779-AE8515CEE8A4}">
  <cacheSource type="worksheet">
    <worksheetSource ref="A1:AA80" sheet="Analisis_Detallado_Rutas"/>
  </cacheSource>
  <cacheFields count="27">
    <cacheField name="Delegacion" numFmtId="0">
      <sharedItems count="79">
        <s v="GUALEGUAYCHU"/>
        <s v="ROSARIO"/>
        <s v="JUNIN"/>
        <s v="VENADO TUERTO"/>
        <s v="CASILDA"/>
        <s v="PEHUAJO"/>
        <s v="CONCORDIA"/>
        <s v="SANTA FE"/>
        <s v="MAR DEL PLATA"/>
        <s v="TANDIL"/>
        <s v="VILLA MARIA"/>
        <s v="SAN FRANCISCO"/>
        <s v="RIO CUARTO"/>
        <s v="SANTA ROSA"/>
        <s v="CORDOBA"/>
        <s v="RECONQUISTA"/>
        <s v="BAHIA BLANCA"/>
        <s v="GENERAL PICO"/>
        <s v="VILLA MERCEDES"/>
        <s v="SAN LUIS"/>
        <s v="POSADAS"/>
        <s v="RESISTENCIA"/>
        <s v="ROQUE SAENZ PEÑA"/>
        <s v="SANTIAGO DEL ESTERO"/>
        <s v="MENDOZA"/>
        <s v="CATAMARCA"/>
        <s v="SAN JUAN"/>
        <s v="SAN RAFAEL"/>
        <s v="FORMOSA"/>
        <s v="TUCUMAN"/>
        <s v="LA RIOJA"/>
        <s v="NEUQUEN"/>
        <s v="SALTA"/>
        <s v="JUJUY"/>
        <s v="_x000a_ CALAFATE "/>
        <s v="_x000a_ BARILOCHE "/>
        <s v="_x000a_ CATRIEL "/>
        <s v="_x000a_ CALETA OLIVIA "/>
        <s v="_x000a_ CHOELE CHOEL "/>
        <s v="_x000a_ COMODORO RIVADAVIA "/>
        <s v="_x000a_ CUTRAL CO "/>
        <s v="_x000a_ CTE. PIEDRA BUENA "/>
        <s v="_x000a_ CHOS MALAL "/>
        <s v="_x000a_ EL BOLSON "/>
        <s v="_x000a_ ESQUEL "/>
        <s v="_x000a_ INGENIERO JACOBACCI "/>
        <s v="_x000a_ JUNIN DE LOS ANDES "/>
        <s v="_x000a_ PERITO MORENO "/>
        <s v="_x000a_ PICO TRUNCADO "/>
        <s v="_x000a_ GENERAL ROCA "/>
        <s v="_x000a_ PIEDRA DEL AGUILA "/>
        <s v="_x000a_ PUERTO MADRYN "/>
        <s v="_x000a_ PTO. SANTA CRUZ "/>
        <s v="_x000a_ PUERTO DESEADO "/>
        <s v="_x000a_ RAWSON "/>
        <s v="_x000a_ RINCON DE LOS SAUCES "/>
        <s v="_x000a_ RÍO TURBIO "/>
        <s v="_x000a_ RIO GALLEGOS "/>
        <s v="_x000a_ RIO COLORADO "/>
        <s v="_x000a_ RIO GRANDE "/>
        <s v="_x000a_ SAN ANTIONIO OESTE "/>
        <s v="_x000a_ SAN JULIAN "/>
        <s v="_x000a_ SAN MARTIN DE LOS ANDES "/>
        <s v="_x000a_ SARMIENTO "/>
        <s v="_x000a_ SIERRA GRANDE "/>
        <s v="_x000a_ TRELEW "/>
        <s v="_x000a_ USHUAIA "/>
        <s v="_x000a_ VIEDMA "/>
        <s v="_x000a_ VILLA LA ANGOSTURA "/>
        <s v="_x000a_ VILLA REGINA "/>
        <s v="_x000a_ ZAPALA "/>
        <s v="CAPITAL FEDERAL"/>
        <s v="PILAR"/>
        <s v="CAMPANA"/>
        <s v="MERCEDES"/>
        <s v="ZARATE"/>
        <s v="ZONA NORTE"/>
        <s v="ZONA SUR"/>
        <s v="ZONA OESTE"/>
      </sharedItems>
    </cacheField>
    <cacheField name="RUTAS" numFmtId="0">
      <sharedItems containsBlank="1" count="2">
        <s v="x"/>
        <m/>
      </sharedItems>
    </cacheField>
    <cacheField name="ANDREANI_Precio_Cabecera" numFmtId="164">
      <sharedItems containsString="0" containsBlank="1" containsNumber="1" minValue="177714.0302311776" maxValue="1074843.2376321109"/>
    </cacheField>
    <cacheField name="ANDREANI_Costo_Excedente" numFmtId="164">
      <sharedItems containsString="0" containsBlank="1" containsNumber="1" minValue="66.047377805447709" maxValue="1262.2368644279529"/>
    </cacheField>
    <cacheField name="FLEET S.A._Ahorro_%_Precio" numFmtId="164">
      <sharedItems containsString="0" containsBlank="1" containsNumber="1" minValue="-144.48636611801359" maxValue="-75.852572442620669"/>
    </cacheField>
    <cacheField name="FLEET S.A._Ahorro_%_Costo" numFmtId="164">
      <sharedItems containsString="0" containsBlank="1" containsNumber="1" minValue="-657.5254459828019" maxValue="-163.8299932809887"/>
    </cacheField>
    <cacheField name="ANDESMAR_Ahorro_%_Precio" numFmtId="164">
      <sharedItems containsString="0" containsBlank="1" containsNumber="1" minValue="-31.686769159755599" maxValue="39.068666281120649"/>
    </cacheField>
    <cacheField name="ANDESMAR_Ahorro_%_Costo" numFmtId="164">
      <sharedItems containsString="0" containsBlank="1" containsNumber="1" minValue="-451.8277062771416" maxValue="12.696548583616289"/>
    </cacheField>
    <cacheField name="GRUPO SILCO_Ahorro_%_Precio" numFmtId="164">
      <sharedItems containsString="0" containsBlank="1" containsNumber="1" minValue="13.5574276563826" maxValue="25.91325103954102"/>
    </cacheField>
    <cacheField name="GRUPO SILCO_Ahorro_%_Costo" numFmtId="164">
      <sharedItems containsString="0" containsBlank="1" containsNumber="1" minValue="-152.0071184746354" maxValue="100"/>
    </cacheField>
    <cacheField name="ID Logistics_Ahorro_%_Precio" numFmtId="164">
      <sharedItems containsString="0" containsBlank="1" containsNumber="1" minValue="-259.77485968771191" maxValue="45.291401300587367"/>
    </cacheField>
    <cacheField name="ID Logistics_Ahorro_%_Costo" numFmtId="164">
      <sharedItems containsString="0" containsBlank="1" containsNumber="1" minValue="-599.49786857684057" maxValue="53.411823042371708"/>
    </cacheField>
    <cacheField name="Logicargo_Ahorro_%_Precio" numFmtId="164">
      <sharedItems containsString="0" containsBlank="1" containsNumber="1" minValue="-62.561747017360162" maxValue="57.740837886030107"/>
    </cacheField>
    <cacheField name="Logicargo_Ahorro_%_Costo" numFmtId="164">
      <sharedItems containsString="0" containsBlank="1" containsNumber="1" minValue="-74.704138466307199" maxValue="60.016331230628481"/>
    </cacheField>
    <cacheField name="Logischer_Ahorro_%_Precio" numFmtId="164">
      <sharedItems containsString="0" containsBlank="1" containsNumber="1" minValue="-169.56441594017949" maxValue="33.432153178332058"/>
    </cacheField>
    <cacheField name="Logischer_Ahorro_%_Costo" numFmtId="164">
      <sharedItems containsString="0" containsBlank="1" containsNumber="1" minValue="-588.89941602264605" maxValue="37.016575699498802"/>
    </cacheField>
    <cacheField name="Synergia_Ahorro_%_Precio" numFmtId="164">
      <sharedItems containsString="0" containsBlank="1" containsNumber="1" minValue="-145.37270654833841" maxValue="100"/>
    </cacheField>
    <cacheField name="Synergia_Ahorro_%_Costo" numFmtId="164">
      <sharedItems containsString="0" containsBlank="1" containsNumber="1" minValue="-182.96988311111991" maxValue="100"/>
    </cacheField>
    <cacheField name="Tradelog_Ahorro_%_Precio" numFmtId="164">
      <sharedItems containsString="0" containsBlank="1" containsNumber="1" minValue="-183.7443893379675" maxValue="-13.145196371343619"/>
    </cacheField>
    <cacheField name="Tradelog_Ahorro_%_Costo" numFmtId="164">
      <sharedItems containsString="0" containsBlank="1" containsNumber="1" minValue="-457.53765516460129" maxValue="-110.7261807084881"/>
    </cacheField>
    <cacheField name="Talcahuano_Ahorro_%_Precio" numFmtId="164">
      <sharedItems containsString="0" containsBlank="1" containsNumber="1" minValue="-298.33904318918269" maxValue="-5.7663043779586518"/>
    </cacheField>
    <cacheField name="Talcahuano_Ahorro_%_Costo" numFmtId="164">
      <sharedItems containsString="0" containsBlank="1" containsNumber="1" minValue="-7711.6063403717671" maxValue="-1569.7600202960309"/>
    </cacheField>
    <cacheField name="MEJOR_PROVEEDOR_Precio_Cabecera" numFmtId="164">
      <sharedItems/>
    </cacheField>
    <cacheField name="MEJOR_TARIFA_Precio_Cabecera" numFmtId="164">
      <sharedItems containsSemiMixedTypes="0" containsString="0" containsNumber="1" minValue="43417.662859999997" maxValue="510000" count="44">
        <n v="100000"/>
        <n v="99000"/>
        <n v="98100"/>
        <n v="120600"/>
        <n v="105000"/>
        <n v="120182.0796453544"/>
        <n v="154348.01716952201"/>
        <n v="149000"/>
        <n v="136696.24192952199"/>
        <n v="107100"/>
        <n v="115000"/>
        <n v="148831.18188952201"/>
        <n v="162900"/>
        <n v="240111.27488683301"/>
        <n v="151675.315"/>
        <n v="216629.446"/>
        <n v="194976.58041673899"/>
        <n v="197100"/>
        <n v="184152.3805"/>
        <n v="227455.13449999999"/>
        <n v="157500"/>
        <n v="241621.51199999999"/>
        <n v="280155.12833100639"/>
        <n v="478800"/>
        <n v="272065.34218676988"/>
        <n v="220500"/>
        <n v="267300"/>
        <n v="202500"/>
        <n v="365967.64167639712"/>
        <n v="444600"/>
        <n v="382259.36802355282"/>
        <n v="390600"/>
        <n v="355500"/>
        <n v="282600"/>
        <n v="341100"/>
        <n v="405000"/>
        <n v="192682.56964535441"/>
        <n v="510000"/>
        <n v="468900"/>
        <n v="402554.1274616181"/>
        <n v="43417.662859999997"/>
        <n v="55552.60282"/>
        <n v="90000"/>
        <n v="61069.438099999992"/>
      </sharedItems>
    </cacheField>
    <cacheField name="MEJOR_PROVEEDOR_Costo_Excedente" numFmtId="164">
      <sharedItems/>
    </cacheField>
    <cacheField name="MEJOR_TARIFA_Costo_Excedente" numFmtId="164">
      <sharedItems containsSemiMixedTypes="0" containsString="0" containsNumber="1" minValue="40" maxValue="532" count="52">
        <n v="66.047377805447709"/>
        <n v="70.308867610738162"/>
        <n v="72.439612513383409"/>
        <n v="75.635729867351259"/>
        <n v="76.70110231867389"/>
        <n v="89"/>
        <n v="91.616316637190593"/>
        <n v="85"/>
        <n v="96.943178893803648"/>
        <n v="102.2700411504168"/>
        <n v="105.46615850438459"/>
        <n v="40"/>
        <n v="118.25062792025609"/>
        <n v="121.446745274224"/>
        <n v="93"/>
        <n v="107.95"/>
        <n v="141.69446541987719"/>
        <n v="143.67466560355811"/>
        <n v="144.90700000000001"/>
        <n v="167.43954305795839"/>
        <n v="171.15249265986699"/>
        <n v="173.62779239447269"/>
        <n v="182.91016639924419"/>
        <n v="186.0042910675013"/>
        <n v="188.47959080210711"/>
        <n v="192.19254040401569"/>
        <n v="197.14313987322711"/>
        <n v="175"/>
        <n v="229.32203642310139"/>
        <n v="238.60441042787289"/>
        <n v="493"/>
        <n v="434"/>
        <n v="245"/>
        <n v="297"/>
        <n v="225"/>
        <n v="429.77229826496512"/>
        <n v="494"/>
        <n v="395"/>
        <n v="314"/>
        <n v="379"/>
        <n v="450.47424806999987"/>
        <n v="450"/>
        <n v="154.94"/>
        <n v="532"/>
        <n v="217.17"/>
        <n v="521"/>
        <n v="134"/>
        <n v="472.7374577236709"/>
        <n v="44.575189999999999"/>
        <n v="65.551749999999998"/>
        <n v="100"/>
        <n v="76.040029999999987"/>
      </sharedItems>
    </cacheField>
    <cacheField name="TRANSPORTE" numFmtId="0">
      <sharedItems count="4">
        <s v="ANDREANI"/>
        <s v="LOGICARGO"/>
        <s v="ANDESMAR"/>
        <s v="SYNERG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n v="177714.0302311776"/>
    <n v="66.047377805447709"/>
    <m/>
    <m/>
    <n v="-15.066948658466069"/>
    <n v="-451.8277062771416"/>
    <m/>
    <m/>
    <n v="-160.24957027780039"/>
    <n v="-599.49786857684057"/>
    <n v="43.72982264263775"/>
    <n v="-34.751753903330773"/>
    <n v="-130.42637627839841"/>
    <n v="-588.89941602264605"/>
    <n v="-7.2172407533002314"/>
    <n v="-73.057589563491078"/>
    <m/>
    <m/>
    <n v="-107.1226070452507"/>
    <n v="-6092.2877642344592"/>
    <s v="Logicargo"/>
    <x v="0"/>
    <s v="ANDREANI"/>
    <x v="0"/>
    <x v="0"/>
  </r>
  <r>
    <x v="1"/>
    <x v="0"/>
    <n v="180243.92825133211"/>
    <n v="70.308867610738162"/>
    <n v="-129.688735713038"/>
    <n v="-652.39442473854683"/>
    <n v="38.940772614243862"/>
    <n v="-174.00345587499839"/>
    <m/>
    <m/>
    <n v="-71.064292146396497"/>
    <n v="-338.06707527310488"/>
    <n v="45.074432764273517"/>
    <n v="-56.452526883251743"/>
    <n v="-77.259785169844548"/>
    <n v="-404.9149731232215"/>
    <n v="33.322536403127778"/>
    <n v="-35.731710400714057"/>
    <m/>
    <m/>
    <n v="-140.68830697498251"/>
    <n v="-6755.8770919700519"/>
    <s v="Logicargo"/>
    <x v="1"/>
    <s v="ANDREANI"/>
    <x v="1"/>
    <x v="0"/>
  </r>
  <r>
    <x v="2"/>
    <x v="0"/>
    <n v="181508.87726140919"/>
    <n v="72.439612513383409"/>
    <m/>
    <m/>
    <n v="5.5726184933874556"/>
    <n v="-267.43708416555148"/>
    <m/>
    <m/>
    <n v="-69.872132235129527"/>
    <n v="-325.18173318927711"/>
    <n v="44.906275930526569"/>
    <n v="-22.860955369628758"/>
    <n v="-95.858189066978056"/>
    <n v="-445.28176821352088"/>
    <n v="18.11415403594982"/>
    <n v="-75.318441931942161"/>
    <m/>
    <m/>
    <n v="-128.06026767338929"/>
    <n v="-6249.3442172932537"/>
    <s v="Logicargo"/>
    <x v="0"/>
    <s v="ANDREANI"/>
    <x v="2"/>
    <x v="0"/>
  </r>
  <r>
    <x v="3"/>
    <x v="0"/>
    <n v="183406.30077652499"/>
    <n v="75.635729867351259"/>
    <n v="-144.48636611801359"/>
    <n v="-657.5254459828019"/>
    <n v="24.294800972709101"/>
    <n v="-182.43964514476511"/>
    <m/>
    <m/>
    <n v="-68.114725990626923"/>
    <n v="-307.2149505797928"/>
    <n v="46.512197462871313"/>
    <n v="-44.111784458433164"/>
    <n v="-84.017669279112468"/>
    <n v="-395.79742359552699"/>
    <n v="-19.123540860008848"/>
    <n v="-135.07408510742579"/>
    <m/>
    <m/>
    <n v="-165.13688039859011"/>
    <n v="-7043.5630456981044"/>
    <s v="Logicargo"/>
    <x v="2"/>
    <s v="ANDREANI"/>
    <x v="3"/>
    <x v="0"/>
  </r>
  <r>
    <x v="4"/>
    <x v="0"/>
    <n v="184038.77528156349"/>
    <n v="76.70110231867389"/>
    <n v="-124.9525945641703"/>
    <n v="-654.87832964173037"/>
    <n v="24.554972277426671"/>
    <n v="-178.51658005179689"/>
    <m/>
    <m/>
    <n v="-67.536976666073244"/>
    <n v="-301.55876602703438"/>
    <n v="34.470331148698207"/>
    <n v="-74.704138466307199"/>
    <n v="-83.38526730774754"/>
    <n v="-388.91083526018821"/>
    <n v="15.78944197588347"/>
    <n v="-47.180269222029949"/>
    <m/>
    <m/>
    <n v="-151.9255524407848"/>
    <n v="-6616.4137051703538"/>
    <s v="Logicargo"/>
    <x v="3"/>
    <s v="ANDREANI"/>
    <x v="4"/>
    <x v="0"/>
  </r>
  <r>
    <x v="5"/>
    <x v="0"/>
    <n v="191628.4693420266"/>
    <n v="89.485571734545331"/>
    <m/>
    <m/>
    <n v="10.55917704269266"/>
    <n v="-197.44459899030491"/>
    <m/>
    <m/>
    <n v="-93.081957639398738"/>
    <n v="-313.47447731304362"/>
    <n v="47.815687124486828"/>
    <n v="0.54262572740302395"/>
    <n v="-85.515232272449325"/>
    <n v="-341.41194199635743"/>
    <n v="25.851529194366758"/>
    <n v="-16.376302884811789"/>
    <m/>
    <m/>
    <n v="-161.82810417266941"/>
    <n v="-6129.8955463856191"/>
    <s v="Logicargo"/>
    <x v="0"/>
    <s v="Logicargo"/>
    <x v="5"/>
    <x v="1"/>
  </r>
  <r>
    <x v="6"/>
    <x v="0"/>
    <n v="192893.4183521037"/>
    <n v="91.616316637190593"/>
    <m/>
    <m/>
    <n v="-6.0119695487628828"/>
    <n v="-297.81967162391732"/>
    <m/>
    <m/>
    <n v="-139.76971529208001"/>
    <n v="-404.2769857574217"/>
    <n v="45.565794366122368"/>
    <n v="-8.0593540908760843"/>
    <n v="-112.29340197212279"/>
    <n v="-396.63642536715781"/>
    <n v="1.220020219898613"/>
    <n v="-24.759436086738749"/>
    <m/>
    <m/>
    <n v="-176.4263311255265"/>
    <n v="-6366.6816628416509"/>
    <s v="Logicargo"/>
    <x v="4"/>
    <s v="ANDREANI"/>
    <x v="6"/>
    <x v="0"/>
  </r>
  <r>
    <x v="7"/>
    <x v="0"/>
    <n v="192893.4183521037"/>
    <n v="91.616316637190593"/>
    <n v="-114.6262964992889"/>
    <n v="-477.40806377851959"/>
    <n v="-6.0119695487628828"/>
    <n v="-297.81967162391732"/>
    <m/>
    <m/>
    <n v="-59.846304054384682"/>
    <n v="-236.18465717161439"/>
    <n v="37.478426671946274"/>
    <n v="-46.262156042195912"/>
    <n v="-74.967089537463821"/>
    <n v="-309.3157351927124"/>
    <n v="37.695085362644932"/>
    <n v="-4.164227589880289"/>
    <m/>
    <m/>
    <n v="-194.1727251147264"/>
    <n v="-6781.8384973018556"/>
    <s v="Synergia"/>
    <x v="5"/>
    <s v="ANDREANI"/>
    <x v="6"/>
    <x v="0"/>
  </r>
  <r>
    <x v="8"/>
    <x v="0"/>
    <n v="194158.3673621809"/>
    <n v="93.74706153983584"/>
    <m/>
    <m/>
    <n v="11.724597642354849"/>
    <n v="-183.923565846271"/>
    <m/>
    <m/>
    <n v="-138.20760664785431"/>
    <n v="-392.81544659795321"/>
    <n v="48.495652616680132"/>
    <n v="9.3304914267835066"/>
    <n v="-120.18108506369239"/>
    <n v="-406.68254790915103"/>
    <n v="-4.0233714309111557"/>
    <n v="-34.116203681300107"/>
    <m/>
    <m/>
    <n v="-183.9147366258228"/>
    <n v="-6433.4695803190443"/>
    <s v="Logicargo"/>
    <x v="0"/>
    <s v="Logicargo"/>
    <x v="7"/>
    <x v="1"/>
  </r>
  <r>
    <x v="9"/>
    <x v="0"/>
    <n v="195423.31637225809"/>
    <n v="95.877806442481031"/>
    <m/>
    <m/>
    <n v="12.295992524497571"/>
    <n v="-177.61377724017979"/>
    <m/>
    <m/>
    <n v="-136.66572064460971"/>
    <n v="-381.86333953850192"/>
    <n v="48.829033374138447"/>
    <n v="7.1735125131457416"/>
    <n v="-118.7558823255581"/>
    <n v="-395.42226467703119"/>
    <n v="23.944551548684242"/>
    <n v="-32.460268661016748"/>
    <m/>
    <m/>
    <n v="-161.54672268466911"/>
    <n v="-5823.3181889232928"/>
    <s v="Logicargo"/>
    <x v="0"/>
    <s v="Logicargo"/>
    <x v="5"/>
    <x v="1"/>
  </r>
  <r>
    <x v="10"/>
    <x v="0"/>
    <n v="196055.79087729659"/>
    <n v="96.943178893803648"/>
    <n v="-111.1643824176077"/>
    <n v="-445.68047596158641"/>
    <n v="21.273420958974821"/>
    <n v="-149.49771037110051"/>
    <n v="20.379806532877861"/>
    <n v="100"/>
    <n v="-62.30788112714162"/>
    <n v="-228.0272048313507"/>
    <m/>
    <m/>
    <n v="-90.506997181102633"/>
    <n v="-328.08581762581929"/>
    <n v="-43.485718216513312"/>
    <n v="-182.96988311111991"/>
    <n v="-116.82603614909431"/>
    <n v="-426.08136623895871"/>
    <n v="-224.91125127337369"/>
    <n v="-7201.0388445189992"/>
    <s v="ANDESMAR"/>
    <x v="6"/>
    <s v="ANDREANI"/>
    <x v="8"/>
    <x v="0"/>
  </r>
  <r>
    <x v="11"/>
    <x v="0"/>
    <n v="199218.16340248959"/>
    <n v="102.2700411504168"/>
    <n v="-125.081585103297"/>
    <n v="-460.2421721502015"/>
    <n v="14.216706940394211"/>
    <n v="-159.57713394341209"/>
    <n v="25.207622911888588"/>
    <n v="100"/>
    <n v="-59.731419347089172"/>
    <n v="-210.9414999963594"/>
    <m/>
    <m/>
    <n v="-87.482904982614855"/>
    <n v="-305.78843552984011"/>
    <n v="-41.208037882071409"/>
    <n v="-168.2310449025199"/>
    <n v="-113.3841577191689"/>
    <n v="-398.67976414510468"/>
    <n v="-223.35652097738549"/>
    <n v="-6898.7360595864784"/>
    <s v="GRUPO SILCO"/>
    <x v="7"/>
    <s v="ANDREANI"/>
    <x v="9"/>
    <x v="0"/>
  </r>
  <r>
    <x v="12"/>
    <x v="0"/>
    <n v="201115.5869176054"/>
    <n v="105.46615850438459"/>
    <n v="-105.8517722793961"/>
    <n v="-401.58269486795371"/>
    <n v="32.031005639794209"/>
    <n v="-99.501124042792014"/>
    <n v="25.91325103954102"/>
    <n v="100"/>
    <n v="-127.8953148408996"/>
    <n v="-334.26252221081819"/>
    <m/>
    <m/>
    <n v="-85.714098904237787"/>
    <n v="-293.49115003818679"/>
    <n v="-39.875811694597587"/>
    <n v="-160.10239103247079"/>
    <n v="-111.3709864636988"/>
    <n v="-383.567437396326"/>
    <n v="-240.62105022918331"/>
    <n v="-7117.0809633041736"/>
    <s v="ANDESMAR"/>
    <x v="8"/>
    <s v="ANDREANI"/>
    <x v="10"/>
    <x v="0"/>
  </r>
  <r>
    <x v="13"/>
    <x v="0"/>
    <n v="206807.8574629527"/>
    <n v="115.0545105662882"/>
    <m/>
    <m/>
    <n v="1.1207241186993691"/>
    <n v="-216.77830639244121"/>
    <n v="24.519308930047039"/>
    <n v="65.233870620870476"/>
    <n v="-78.910030082527825"/>
    <n v="-221.5866967569481"/>
    <n v="48.212799400435863"/>
    <n v="-3.4292349029103351"/>
    <n v="-124.1210782250045"/>
    <n v="-347.61391575629273"/>
    <n v="29.48233136089652"/>
    <n v="6.1749083380741938"/>
    <m/>
    <m/>
    <n v="-265.68527937523351"/>
    <n v="-7203.4549508659384"/>
    <s v="Logicargo"/>
    <x v="9"/>
    <s v="GRUPO SILCO"/>
    <x v="11"/>
    <x v="0"/>
  </r>
  <r>
    <x v="14"/>
    <x v="0"/>
    <n v="208705.28097806839"/>
    <n v="118.25062792025609"/>
    <n v="-98.365847792564793"/>
    <n v="-347.3549183660474"/>
    <n v="34.502739322687979"/>
    <n v="-77.932392750497954"/>
    <n v="20.717866253998722"/>
    <n v="-152.0071184746354"/>
    <n v="-52.470506979379763"/>
    <n v="-168.92034790246331"/>
    <m/>
    <m/>
    <n v="-61.711288961330013"/>
    <n v="-217.12305177177279"/>
    <n v="13.71304127935387"/>
    <n v="-37.470728789385028"/>
    <n v="-13.145196371343619"/>
    <n v="-141.0135193465473"/>
    <n v="-298.33904318918269"/>
    <n v="-7711.6063403717671"/>
    <s v="ANDESMAR"/>
    <x v="8"/>
    <s v="ANDREANI"/>
    <x v="12"/>
    <x v="0"/>
  </r>
  <r>
    <x v="15"/>
    <x v="0"/>
    <n v="210602.70449318411"/>
    <n v="121.446745274224"/>
    <n v="-112.91435980325311"/>
    <n v="-371.77871972301079"/>
    <n v="25.20733274576834"/>
    <n v="-101.87449193999539"/>
    <m/>
    <m/>
    <n v="-119.60781610711371"/>
    <n v="-280.4136528787285"/>
    <n v="42.735778113474773"/>
    <n v="-10.336427458332521"/>
    <n v="-94.44194745051476"/>
    <n v="-274.64980965329329"/>
    <n v="-25.951753460952879"/>
    <n v="-100.789818985586"/>
    <m/>
    <m/>
    <n v="-252.80408251233069"/>
    <n v="-6697.8121023391113"/>
    <s v="Logicargo"/>
    <x v="3"/>
    <s v="ANDREANI"/>
    <x v="13"/>
    <x v="0"/>
  </r>
  <r>
    <x v="16"/>
    <x v="1"/>
    <n v="211867.6535032613"/>
    <n v="123.5774901768692"/>
    <m/>
    <m/>
    <n v="16.611727701161101"/>
    <n v="-127.7733525961233"/>
    <m/>
    <m/>
    <n v="-118.2966547051888"/>
    <n v="-273.85449351557997"/>
    <n v="45.720831803034152"/>
    <n v="24.743575980630009"/>
    <n v="-101.77690786263391"/>
    <n v="-284.37420870108332"/>
    <n v="30.033501011482791"/>
    <n v="14.701294022776439"/>
    <m/>
    <m/>
    <n v="-13.553440251619181"/>
    <n v="-2063.1322535538088"/>
    <s v="Logicargo"/>
    <x v="10"/>
    <s v="Logicargo"/>
    <x v="14"/>
    <x v="1"/>
  </r>
  <r>
    <x v="17"/>
    <x v="1"/>
    <n v="213132.60251333861"/>
    <n v="125.7082350795144"/>
    <m/>
    <m/>
    <n v="4.054982900984224"/>
    <n v="-189.93146691580131"/>
    <m/>
    <m/>
    <n v="-44.66721485311168"/>
    <n v="-145.01179242965301"/>
    <n v="49.749593099771147"/>
    <n v="5.3363529249068096"/>
    <n v="-117.4702483497299"/>
    <n v="-309.67880877036129"/>
    <n v="31.57495478138895"/>
    <n v="14.126548724736891"/>
    <m/>
    <m/>
    <n v="-20.651038978065429"/>
    <n v="-2172.8706248567478"/>
    <s v="Logicargo"/>
    <x v="9"/>
    <s v="Synergia"/>
    <x v="15"/>
    <x v="0"/>
  </r>
  <r>
    <x v="18"/>
    <x v="0"/>
    <n v="222623.07048010599"/>
    <n v="141.69446541987719"/>
    <m/>
    <m/>
    <n v="33.14655953286664"/>
    <n v="-63.296943896399497"/>
    <m/>
    <m/>
    <n v="-105.87848285964481"/>
    <n v="-223.2306912220094"/>
    <m/>
    <m/>
    <n v="-124.37027704396721"/>
    <n v="-291.68784634981489"/>
    <n v="-25.665216751466751"/>
    <n v="-113.4169454706018"/>
    <n v="-156.08307295848991"/>
    <n v="-457.53765516460129"/>
    <n v="-24.93196358020197"/>
    <n v="-2080.9632006379229"/>
    <s v="ANDESMAR"/>
    <x v="11"/>
    <s v="ANDREANI"/>
    <x v="16"/>
    <x v="0"/>
  </r>
  <r>
    <x v="19"/>
    <x v="0"/>
    <n v="223798.64633575731"/>
    <n v="143.67466560355811"/>
    <m/>
    <m/>
    <n v="38.91998715468484"/>
    <n v="-46.446258160484831"/>
    <m/>
    <m/>
    <n v="-104.79703854525511"/>
    <n v="-218.7757549850582"/>
    <m/>
    <m/>
    <n v="-107.1058103294455"/>
    <n v="-258.44872012512002"/>
    <n v="-25.005118948700861"/>
    <n v="-110.4755203220122"/>
    <n v="-154.7379125540817"/>
    <n v="-449.8533765026113"/>
    <n v="-41.545084619540283"/>
    <n v="-2349.793868224589"/>
    <s v="ANDESMAR"/>
    <x v="8"/>
    <s v="ANDREANI"/>
    <x v="17"/>
    <x v="0"/>
  </r>
  <r>
    <x v="20"/>
    <x v="0"/>
    <n v="237907.0260733921"/>
    <n v="167.43954305795839"/>
    <n v="-88.47841839764402"/>
    <n v="-242.1891206437852"/>
    <n v="14.045745779312821"/>
    <n v="-117.7144020715682"/>
    <m/>
    <m/>
    <n v="-94.403674256061294"/>
    <n v="-175.92048542564461"/>
    <n v="31.527873435000249"/>
    <n v="-8.0987183161075187"/>
    <n v="-49.4281215092536"/>
    <n v="-135.90604273404679"/>
    <n v="22.731639044302302"/>
    <n v="13.457121684905029"/>
    <m/>
    <m/>
    <n v="-22.011562299882019"/>
    <n v="-1826.2281114991681"/>
    <s v="Logicargo"/>
    <x v="12"/>
    <s v="Synergia"/>
    <x v="18"/>
    <x v="0"/>
  </r>
  <r>
    <x v="21"/>
    <x v="0"/>
    <n v="237907.0260733921"/>
    <n v="167.43954305795839"/>
    <n v="-88.47841839764402"/>
    <n v="-242.1891206437852"/>
    <n v="14.04620733566872"/>
    <n v="-117.67124022420511"/>
    <m/>
    <m/>
    <n v="-94.403674256061294"/>
    <n v="-175.92048542564461"/>
    <n v="31.527873435000249"/>
    <n v="-8.0987183161075187"/>
    <n v="-49.4281215092536"/>
    <n v="-135.90604273404679"/>
    <n v="13.43935711178796"/>
    <n v="-4.8450663408902663"/>
    <m/>
    <m/>
    <n v="-5.7663043779586518"/>
    <n v="-1569.7600202960309"/>
    <s v="Logicargo"/>
    <x v="12"/>
    <s v="ANDREANI"/>
    <x v="19"/>
    <x v="0"/>
  </r>
  <r>
    <x v="22"/>
    <x v="0"/>
    <n v="237907.0260733921"/>
    <n v="167.43954305795839"/>
    <n v="-88.47841839764402"/>
    <n v="-242.1891206437852"/>
    <m/>
    <m/>
    <m/>
    <m/>
    <n v="-94.403674256061294"/>
    <n v="-175.92048542564461"/>
    <n v="31.527873435000249"/>
    <n v="-8.0987183161075187"/>
    <n v="-72.126064016988323"/>
    <n v="-171.73987201010451"/>
    <n v="-11.496412494990739"/>
    <n v="-45.636267005095434"/>
    <m/>
    <m/>
    <n v="-14.353083565261"/>
    <n v="-1705.321725646261"/>
    <s v="Logicargo"/>
    <x v="12"/>
    <s v="ANDREANI"/>
    <x v="19"/>
    <x v="0"/>
  </r>
  <r>
    <x v="23"/>
    <x v="0"/>
    <n v="240111.27488683301"/>
    <n v="171.15249265986699"/>
    <n v="-86.748165079435495"/>
    <n v="-234.76573498619661"/>
    <n v="-31.686769159755599"/>
    <n v="-215.2887928675402"/>
    <m/>
    <m/>
    <n v="-228.7363329239833"/>
    <n v="-360.9924095981396"/>
    <m/>
    <m/>
    <n v="-63.049402900600207"/>
    <n v="-154.1593132765409"/>
    <n v="-2.4206421632057169"/>
    <n v="-38.017271223412592"/>
    <n v="-30.477004941836629"/>
    <n v="-136.63108477471039"/>
    <n v="-18.13214663368889"/>
    <n v="-1741.428716093229"/>
    <s v="ANDREANI"/>
    <x v="13"/>
    <s v="ANDREANI"/>
    <x v="20"/>
    <x v="0"/>
  </r>
  <r>
    <x v="24"/>
    <x v="0"/>
    <n v="241580.77409579349"/>
    <n v="173.62779239447269"/>
    <m/>
    <m/>
    <n v="37.215485972465459"/>
    <n v="-80.858683001372128"/>
    <n v="15.75488539526798"/>
    <n v="-67.023951638534925"/>
    <n v="-89.722465173597868"/>
    <n v="-163.78265465672069"/>
    <m/>
    <m/>
    <n v="-32.253901907487617"/>
    <n v="-104.4603545919997"/>
    <n v="14.3987842495471"/>
    <n v="-26.227322978214179"/>
    <n v="-31.1031480818137"/>
    <n v="-153.41565076191509"/>
    <m/>
    <m/>
    <s v="ANDESMAR"/>
    <x v="14"/>
    <s v="ANDREANI"/>
    <x v="21"/>
    <x v="0"/>
  </r>
  <r>
    <x v="25"/>
    <x v="0"/>
    <n v="247091.39612939529"/>
    <n v="182.91016639924419"/>
    <m/>
    <m/>
    <n v="12.32821158752254"/>
    <n v="-134.81345871859361"/>
    <m/>
    <m/>
    <n v="-219.4498118366885"/>
    <n v="-331.35929266928952"/>
    <m/>
    <m/>
    <n v="-58.443396303035023"/>
    <n v="-137.82166325873379"/>
    <n v="0.47265364247216279"/>
    <n v="-29.14536389650134"/>
    <n v="-63.202768820336921"/>
    <n v="-214.36196867533769"/>
    <m/>
    <m/>
    <s v="ANDESMAR"/>
    <x v="15"/>
    <s v="ANDREANI"/>
    <x v="22"/>
    <x v="0"/>
  </r>
  <r>
    <x v="26"/>
    <x v="0"/>
    <n v="248928.27014059591"/>
    <n v="186.0042910675013"/>
    <m/>
    <m/>
    <n v="39.068666281120649"/>
    <n v="-68.824566813375924"/>
    <m/>
    <m/>
    <n v="-84.122518403044864"/>
    <n v="-146.230878530534"/>
    <m/>
    <m/>
    <n v="-86.198216754655007"/>
    <n v="-176.87533284546939"/>
    <n v="-13.277643992018531"/>
    <n v="-63.867187284075897"/>
    <n v="-129.02179799747319"/>
    <n v="-324.7213843648949"/>
    <m/>
    <m/>
    <s v="ANDESMAR"/>
    <x v="14"/>
    <s v="ANDREANI"/>
    <x v="23"/>
    <x v="0"/>
  </r>
  <r>
    <x v="27"/>
    <x v="0"/>
    <n v="248928.27014059591"/>
    <n v="186.0042910675013"/>
    <m/>
    <m/>
    <n v="21.6735888187327"/>
    <n v="-68.824566813375924"/>
    <n v="13.5574276563826"/>
    <n v="-65.049955696231294"/>
    <n v="-84.122518403044864"/>
    <n v="-146.230878530534"/>
    <m/>
    <m/>
    <n v="-64.505220627899078"/>
    <n v="-144.6180125139584"/>
    <n v="-13.277643992018531"/>
    <n v="-63.867187284075897"/>
    <n v="-183.7443893379675"/>
    <n v="-324.7213843648949"/>
    <m/>
    <m/>
    <s v="ANDESMAR"/>
    <x v="16"/>
    <s v="ANDREANI"/>
    <x v="23"/>
    <x v="0"/>
  </r>
  <r>
    <x v="28"/>
    <x v="0"/>
    <n v="250397.7693495565"/>
    <n v="188.47959080210711"/>
    <n v="-96.750954004004839"/>
    <n v="-233.99372171862871"/>
    <n v="-30.1312471139141"/>
    <n v="-190.71401717191881"/>
    <m/>
    <m/>
    <n v="-84.70611826990671"/>
    <n v="-145.11937766517849"/>
    <n v="21.285241273516512"/>
    <n v="-16.19295175037681"/>
    <n v="-77.916920409175006"/>
    <n v="-162.6279046412626"/>
    <n v="-30.37896523335489"/>
    <n v="-66.674385626100346"/>
    <m/>
    <m/>
    <m/>
    <m/>
    <s v="Logicargo"/>
    <x v="17"/>
    <s v="ANDREANI"/>
    <x v="24"/>
    <x v="0"/>
  </r>
  <r>
    <x v="29"/>
    <x v="0"/>
    <n v="252602.01816299729"/>
    <n v="192.19254040401569"/>
    <n v="-95.034071217158598"/>
    <n v="-227.54132843901311"/>
    <n v="27.097818996374212"/>
    <n v="-123.4726109385596"/>
    <m/>
    <m/>
    <n v="-212.48087633673009"/>
    <n v="-310.52581871357302"/>
    <m/>
    <m/>
    <n v="-40.735217630211267"/>
    <n v="-105.523065135439"/>
    <n v="1.1107184980268039"/>
    <n v="-24.84355505973981"/>
    <n v="-24.025137359687449"/>
    <n v="-110.7261807084881"/>
    <m/>
    <m/>
    <s v="ANDESMAR"/>
    <x v="18"/>
    <s v="ANDREANI"/>
    <x v="25"/>
    <x v="0"/>
  </r>
  <r>
    <x v="30"/>
    <x v="0"/>
    <n v="255541.01658091819"/>
    <n v="197.14313987322711"/>
    <m/>
    <m/>
    <n v="10.990753052758819"/>
    <n v="-117.86083367962399"/>
    <m/>
    <m/>
    <n v="-208.8870078710257"/>
    <n v="-300.21681733757828"/>
    <m/>
    <m/>
    <n v="-53.204368221658747"/>
    <n v="-120.6518574674861"/>
    <n v="-18.483441013266749"/>
    <n v="-51.387464048669507"/>
    <n v="-76.752447040913708"/>
    <n v="-158.69528116877689"/>
    <m/>
    <m/>
    <s v="ANDESMAR"/>
    <x v="19"/>
    <s v="ANDREANI"/>
    <x v="26"/>
    <x v="0"/>
  </r>
  <r>
    <x v="31"/>
    <x v="1"/>
    <n v="259949.51420779969"/>
    <n v="204.56903907704421"/>
    <m/>
    <m/>
    <n v="24.993870600528432"/>
    <n v="-109.9524395322812"/>
    <m/>
    <m/>
    <n v="-259.77485968771191"/>
    <n v="-357.05841129158512"/>
    <n v="39.411312046501124"/>
    <n v="14.45430804702953"/>
    <n v="-78.303853120296694"/>
    <n v="-151.74875060445589"/>
    <n v="-46.017380249206482"/>
    <n v="-44.284824982160153"/>
    <m/>
    <m/>
    <m/>
    <m/>
    <s v="Logicargo"/>
    <x v="20"/>
    <s v="Logicargo"/>
    <x v="27"/>
    <x v="1"/>
  </r>
  <r>
    <x v="32"/>
    <x v="0"/>
    <n v="274644.50629740459"/>
    <n v="229.32203642310139"/>
    <n v="-79.380977483129641"/>
    <n v="-174.50916179662201"/>
    <n v="12.023904917160429"/>
    <n v="-138.93760866445979"/>
    <m/>
    <m/>
    <n v="-240.5249253328457"/>
    <n v="-307.7235727468057"/>
    <m/>
    <m/>
    <n v="-62.209689174550917"/>
    <n v="-115.8536561600736"/>
    <n v="-8.5059746824628668"/>
    <n v="-28.094972721255811"/>
    <n v="-46.829807534297203"/>
    <n v="-150.73909553947951"/>
    <m/>
    <m/>
    <s v="ANDESMAR"/>
    <x v="21"/>
    <s v="ANDREANI"/>
    <x v="28"/>
    <x v="0"/>
  </r>
  <r>
    <x v="33"/>
    <x v="0"/>
    <n v="280155.12833100639"/>
    <n v="238.60441042787289"/>
    <n v="-75.852572442620669"/>
    <n v="-163.8299932809887"/>
    <n v="-1.4058185164971271"/>
    <n v="-129.6422723232244"/>
    <m/>
    <m/>
    <n v="-75.96750876447858"/>
    <n v="-106.6181421860295"/>
    <m/>
    <m/>
    <n v="-59.019041576721278"/>
    <n v="-107.4563496594009"/>
    <n v="-6.3716735242982683"/>
    <n v="-23.111722651412119"/>
    <n v="-43.941680597595109"/>
    <n v="-140.98464859425351"/>
    <m/>
    <m/>
    <s v="ANDREANI"/>
    <x v="22"/>
    <s v="ANDREANI"/>
    <x v="29"/>
    <x v="0"/>
  </r>
  <r>
    <x v="34"/>
    <x v="1"/>
    <n v="901105.14931776666"/>
    <n v="1058.2083957661209"/>
    <m/>
    <m/>
    <m/>
    <m/>
    <m/>
    <m/>
    <n v="45.291401300587367"/>
    <n v="53.411823042371708"/>
    <n v="46.865246485107427"/>
    <n v="49.726348597447767"/>
    <n v="22.595048920974161"/>
    <n v="26.763007825229369"/>
    <n v="100"/>
    <n v="100"/>
    <m/>
    <m/>
    <m/>
    <m/>
    <s v="Logicargo"/>
    <x v="23"/>
    <s v="ID Logistics"/>
    <x v="30"/>
    <x v="0"/>
  </r>
  <r>
    <x v="35"/>
    <x v="1"/>
    <n v="402554.1274616181"/>
    <n v="472.7374577236709"/>
    <m/>
    <m/>
    <n v="32.415214842702049"/>
    <n v="4.7094236536433884"/>
    <m/>
    <m/>
    <n v="-22.463531328964901"/>
    <n v="-4.286214672705956"/>
    <n v="2.9695702133268731"/>
    <n v="8.1942856633785297"/>
    <n v="-28.554140846398731"/>
    <n v="-21.631994800823371"/>
    <n v="-78.908555232365757"/>
    <n v="-27.110722914460482"/>
    <m/>
    <m/>
    <m/>
    <m/>
    <s v="ANDESMAR"/>
    <x v="24"/>
    <s v="Logicargo"/>
    <x v="31"/>
    <x v="0"/>
  </r>
  <r>
    <x v="36"/>
    <x v="1"/>
    <n v="311997.93764683482"/>
    <n v="366.39324204235362"/>
    <m/>
    <m/>
    <n v="12.798993404009749"/>
    <n v="-22.948296087275232"/>
    <m/>
    <m/>
    <n v="-58.008095732360147"/>
    <n v="-34.554883504923147"/>
    <n v="29.326455917284171"/>
    <n v="33.131954444815072"/>
    <n v="-48.558674296321023"/>
    <n v="-40.559361064980557"/>
    <n v="-71.987061843093187"/>
    <n v="-18.902302229046171"/>
    <m/>
    <m/>
    <m/>
    <m/>
    <s v="Logicargo"/>
    <x v="25"/>
    <s v="Logicargo"/>
    <x v="32"/>
    <x v="1"/>
  </r>
  <r>
    <x v="37"/>
    <x v="1"/>
    <n v="519053.41286221851"/>
    <n v="609.54781998273177"/>
    <m/>
    <m/>
    <n v="23.451723779964951"/>
    <n v="-10.43232185115019"/>
    <m/>
    <m/>
    <n v="5.022876685937339"/>
    <n v="19.120373523119731"/>
    <n v="48.502409698834953"/>
    <n v="51.275356868897703"/>
    <n v="0.29927803646496792"/>
    <n v="5.6677784498860966"/>
    <n v="100"/>
    <n v="100"/>
    <m/>
    <m/>
    <m/>
    <m/>
    <s v="Logicargo"/>
    <x v="26"/>
    <s v="Logicargo"/>
    <x v="33"/>
    <x v="1"/>
  </r>
  <r>
    <x v="38"/>
    <x v="1"/>
    <n v="218686.13405221081"/>
    <n v="256.81298488516171"/>
    <m/>
    <m/>
    <m/>
    <m/>
    <m/>
    <m/>
    <n v="-125.429015944057"/>
    <n v="-91.968486414521962"/>
    <n v="27.978972840410059"/>
    <n v="31.857028149003359"/>
    <n v="-111.9475942125076"/>
    <n v="-100.5350314472187"/>
    <n v="-145.37270654833841"/>
    <n v="-69.637061067923909"/>
    <m/>
    <m/>
    <m/>
    <m/>
    <s v="Logicargo"/>
    <x v="20"/>
    <s v="Logicargo"/>
    <x v="27"/>
    <x v="1"/>
  </r>
  <r>
    <x v="39"/>
    <x v="1"/>
    <n v="402554.1274616181"/>
    <n v="472.7374577236709"/>
    <m/>
    <m/>
    <n v="1.298629649456684"/>
    <n v="-42.391468964887693"/>
    <m/>
    <m/>
    <n v="-22.463531328964901"/>
    <n v="-4.286214672705956"/>
    <n v="49.69620575575702"/>
    <n v="52.404871599677797"/>
    <n v="-28.554140846398731"/>
    <n v="-21.631994800823371"/>
    <n v="100"/>
    <n v="100"/>
    <m/>
    <m/>
    <m/>
    <m/>
    <s v="Logicargo"/>
    <x v="27"/>
    <s v="Logicargo"/>
    <x v="34"/>
    <x v="1"/>
  </r>
  <r>
    <x v="40"/>
    <x v="1"/>
    <n v="402554.1274616181"/>
    <n v="472.7374577236709"/>
    <m/>
    <m/>
    <m/>
    <m/>
    <m/>
    <m/>
    <n v="-22.463531328964901"/>
    <n v="-4.286214672705956"/>
    <n v="49.69620575575702"/>
    <n v="52.404871599677797"/>
    <n v="-15.1397957146006"/>
    <n v="-8.939960560737461"/>
    <n v="-33.297872103174321"/>
    <n v="7.845254721776171"/>
    <m/>
    <m/>
    <m/>
    <m/>
    <s v="Logicargo"/>
    <x v="27"/>
    <s v="Logicargo"/>
    <x v="34"/>
    <x v="1"/>
  </r>
  <r>
    <x v="41"/>
    <x v="1"/>
    <n v="632525.55571052572"/>
    <n v="742.80327228878343"/>
    <m/>
    <m/>
    <m/>
    <m/>
    <m/>
    <m/>
    <m/>
    <m/>
    <n v="57.740837886030107"/>
    <n v="60.016331230628481"/>
    <n v="3.9564497409775199"/>
    <n v="9.1280255241556354"/>
    <n v="100"/>
    <n v="100"/>
    <m/>
    <m/>
    <m/>
    <m/>
    <s v="Logicargo"/>
    <x v="26"/>
    <s v="Logicargo"/>
    <x v="33"/>
    <x v="1"/>
  </r>
  <r>
    <x v="42"/>
    <x v="1"/>
    <n v="365967.64167639712"/>
    <n v="429.77229826496512"/>
    <m/>
    <m/>
    <m/>
    <m/>
    <m/>
    <m/>
    <m/>
    <m/>
    <n v="-21.48615051413007"/>
    <n v="-14.9445885633692"/>
    <n v="-41.405944424341683"/>
    <n v="-33.791778186107877"/>
    <n v="-92.071320755759388"/>
    <n v="-36.462587832597293"/>
    <m/>
    <m/>
    <m/>
    <m/>
    <s v="ANDREANI"/>
    <x v="28"/>
    <s v="ANDREANI"/>
    <x v="35"/>
    <x v="0"/>
  </r>
  <r>
    <x v="43"/>
    <x v="1"/>
    <n v="516598.90029539471"/>
    <n v="606.66537523397722"/>
    <m/>
    <m/>
    <m/>
    <m/>
    <m/>
    <m/>
    <m/>
    <m/>
    <n v="13.937099024838281"/>
    <n v="18.571255231193099"/>
    <n v="-7.1430852221142942"/>
    <n v="-1.373842171692806"/>
    <n v="-36.066662647680268"/>
    <n v="3.327530473647287"/>
    <m/>
    <m/>
    <m/>
    <m/>
    <s v="Logicargo"/>
    <x v="29"/>
    <s v="Logicargo"/>
    <x v="36"/>
    <x v="1"/>
  </r>
  <r>
    <x v="44"/>
    <x v="1"/>
    <n v="516598.90029539471"/>
    <n v="606.66537523397722"/>
    <m/>
    <m/>
    <m/>
    <m/>
    <m/>
    <m/>
    <m/>
    <m/>
    <n v="13.937099024838281"/>
    <n v="18.571255231193099"/>
    <n v="-0.1744292727084861"/>
    <n v="5.2195784573603854"/>
    <n v="100"/>
    <n v="100"/>
    <m/>
    <m/>
    <m/>
    <m/>
    <s v="Logicargo"/>
    <x v="29"/>
    <s v="Logicargo"/>
    <x v="36"/>
    <x v="1"/>
  </r>
  <r>
    <x v="45"/>
    <x v="1"/>
    <n v="382259.36802355282"/>
    <n v="448.90440689306098"/>
    <m/>
    <m/>
    <m/>
    <m/>
    <m/>
    <m/>
    <m/>
    <m/>
    <n v="-2.1819300386467799"/>
    <n v="3.3201738865111081"/>
    <n v="-35.37928518945138"/>
    <n v="-28.089631371557861"/>
    <n v="100"/>
    <n v="100"/>
    <m/>
    <m/>
    <m/>
    <m/>
    <s v="ANDREANI"/>
    <x v="30"/>
    <s v="Logicargo"/>
    <x v="31"/>
    <x v="0"/>
  </r>
  <r>
    <x v="46"/>
    <x v="1"/>
    <n v="402554.1274616181"/>
    <n v="472.7374577236709"/>
    <m/>
    <m/>
    <m/>
    <m/>
    <m/>
    <m/>
    <m/>
    <m/>
    <n v="2.9695702133268731"/>
    <n v="8.1942856633785297"/>
    <n v="-28.554140846398731"/>
    <n v="-21.631994800823371"/>
    <n v="-76.046018348647891"/>
    <n v="-25.076951347829109"/>
    <m/>
    <m/>
    <m/>
    <m/>
    <s v="Logicargo"/>
    <x v="31"/>
    <s v="Logicargo"/>
    <x v="31"/>
    <x v="1"/>
  </r>
  <r>
    <x v="47"/>
    <x v="1"/>
    <n v="632525.55571052572"/>
    <n v="742.80327228878343"/>
    <m/>
    <m/>
    <m/>
    <m/>
    <m/>
    <m/>
    <m/>
    <m/>
    <n v="43.796737255831289"/>
    <n v="46.823066788209587"/>
    <n v="3.9564497409775199"/>
    <n v="9.1280255241556354"/>
    <n v="100"/>
    <n v="100"/>
    <m/>
    <m/>
    <m/>
    <m/>
    <s v="Logicargo"/>
    <x v="32"/>
    <s v="Logicargo"/>
    <x v="37"/>
    <x v="1"/>
  </r>
  <r>
    <x v="48"/>
    <x v="1"/>
    <n v="591949.47885283246"/>
    <n v="695.15295619573828"/>
    <m/>
    <m/>
    <m/>
    <m/>
    <m/>
    <m/>
    <m/>
    <m/>
    <n v="52.259439344779182"/>
    <n v="54.830084918521848"/>
    <n v="-2.6270014085160871"/>
    <n v="2.8990678980963289"/>
    <n v="100"/>
    <n v="100"/>
    <m/>
    <m/>
    <m/>
    <m/>
    <s v="Logicargo"/>
    <x v="33"/>
    <s v="Logicargo"/>
    <x v="38"/>
    <x v="1"/>
  </r>
  <r>
    <x v="49"/>
    <x v="1"/>
    <n v="218686.13405221081"/>
    <n v="256.81298488516171"/>
    <m/>
    <m/>
    <n v="-24.409050151215808"/>
    <n v="-75.409451461902194"/>
    <m/>
    <m/>
    <m/>
    <m/>
    <n v="27.978972840410059"/>
    <n v="31.857028149003359"/>
    <n v="-111.9475942125076"/>
    <n v="-100.5350314472187"/>
    <n v="-73.851747319082577"/>
    <n v="-15.11987999057046"/>
    <m/>
    <m/>
    <m/>
    <m/>
    <s v="Logicargo"/>
    <x v="20"/>
    <s v="Logicargo"/>
    <x v="27"/>
    <x v="1"/>
  </r>
  <r>
    <x v="50"/>
    <x v="1"/>
    <n v="402554.1274616181"/>
    <n v="472.7374577236709"/>
    <m/>
    <m/>
    <m/>
    <m/>
    <m/>
    <m/>
    <m/>
    <m/>
    <n v="45.224757378490978"/>
    <n v="48.174193519649172"/>
    <n v="-15.1397957146006"/>
    <n v="-8.939960560737461"/>
    <n v="-76.046018348647891"/>
    <n v="-25.076951347829109"/>
    <m/>
    <m/>
    <m/>
    <m/>
    <s v="Logicargo"/>
    <x v="25"/>
    <s v="Logicargo"/>
    <x v="32"/>
    <x v="1"/>
  </r>
  <r>
    <x v="51"/>
    <x v="1"/>
    <n v="342621.54405284941"/>
    <n v="402.35592345863063"/>
    <m/>
    <m/>
    <n v="-12.424775071317191"/>
    <n v="-62.085659083643087"/>
    <m/>
    <m/>
    <m/>
    <m/>
    <n v="40.896886516638787"/>
    <n v="44.079361858050532"/>
    <n v="-24.773239575984771"/>
    <n v="-18.054680521893321"/>
    <n v="100"/>
    <n v="100"/>
    <m/>
    <m/>
    <m/>
    <m/>
    <s v="Logicargo"/>
    <x v="27"/>
    <s v="Logicargo"/>
    <x v="34"/>
    <x v="1"/>
  </r>
  <r>
    <x v="52"/>
    <x v="1"/>
    <n v="632525.55571052572"/>
    <n v="742.80327228878343"/>
    <m/>
    <m/>
    <m/>
    <m/>
    <m/>
    <m/>
    <m/>
    <m/>
    <n v="46.073325113822932"/>
    <n v="48.977069146155543"/>
    <n v="3.9564497409775199"/>
    <n v="9.1280255241556354"/>
    <n v="100"/>
    <n v="100"/>
    <m/>
    <m/>
    <m/>
    <m/>
    <s v="Logicargo"/>
    <x v="34"/>
    <s v="Logicargo"/>
    <x v="39"/>
    <x v="1"/>
  </r>
  <r>
    <x v="53"/>
    <x v="1"/>
    <n v="632525.55571052572"/>
    <n v="742.80327228878343"/>
    <m/>
    <m/>
    <m/>
    <m/>
    <m/>
    <m/>
    <m/>
    <m/>
    <n v="46.073325113822932"/>
    <n v="48.977069146155543"/>
    <n v="3.9564497409775199"/>
    <n v="9.1280255241556354"/>
    <n v="100"/>
    <n v="100"/>
    <m/>
    <m/>
    <m/>
    <m/>
    <s v="Logicargo"/>
    <x v="34"/>
    <s v="Logicargo"/>
    <x v="39"/>
    <x v="1"/>
  </r>
  <r>
    <x v="54"/>
    <x v="1"/>
    <n v="342621.54405284941"/>
    <n v="402.35592345863063"/>
    <m/>
    <m/>
    <n v="-12.424775071317191"/>
    <n v="-62.085659083643087"/>
    <m/>
    <m/>
    <m/>
    <m/>
    <n v="40.896886516638787"/>
    <n v="44.079361858050532"/>
    <n v="-24.773239575984771"/>
    <n v="-18.054680521893321"/>
    <n v="100"/>
    <n v="100"/>
    <m/>
    <m/>
    <m/>
    <m/>
    <s v="Logicargo"/>
    <x v="27"/>
    <s v="Logicargo"/>
    <x v="34"/>
    <x v="1"/>
  </r>
  <r>
    <x v="55"/>
    <x v="1"/>
    <n v="439382.56957872788"/>
    <n v="515.98675740952683"/>
    <m/>
    <m/>
    <n v="38.080078495689698"/>
    <n v="12.696548583616289"/>
    <m/>
    <m/>
    <m/>
    <m/>
    <n v="-1.187445925830521"/>
    <n v="4.261108854791102"/>
    <n v="-5.4889365421107659"/>
    <n v="0.1912369640028696"/>
    <n v="-61.290083439993907"/>
    <n v="-14.59317346989784"/>
    <m/>
    <m/>
    <m/>
    <m/>
    <s v="ANDESMAR"/>
    <x v="24"/>
    <s v="ANDESMAR"/>
    <x v="40"/>
    <x v="2"/>
  </r>
  <r>
    <x v="56"/>
    <x v="1"/>
    <n v="901105.14931776666"/>
    <n v="1058.2083957661209"/>
    <m/>
    <m/>
    <m/>
    <m/>
    <m/>
    <m/>
    <m/>
    <m/>
    <n v="55.05518969604951"/>
    <n v="57.475294866262217"/>
    <n v="32.582784544074272"/>
    <n v="36.212942299393319"/>
    <n v="100"/>
    <n v="100"/>
    <m/>
    <m/>
    <m/>
    <m/>
    <s v="Logicargo"/>
    <x v="35"/>
    <s v="Logicargo"/>
    <x v="41"/>
    <x v="1"/>
  </r>
  <r>
    <x v="57"/>
    <x v="1"/>
    <n v="671165.98191311094"/>
    <n v="788.18046656462889"/>
    <m/>
    <m/>
    <n v="3.2052735935692831"/>
    <n v="-42.394371557033757"/>
    <m/>
    <m/>
    <m/>
    <m/>
    <n v="39.657251572021543"/>
    <n v="42.906476487374221"/>
    <n v="9.4858773580322975"/>
    <n v="14.35971473106132"/>
    <n v="27.402220139870849"/>
    <n v="38.836431445555156"/>
    <m/>
    <m/>
    <m/>
    <m/>
    <s v="Logicargo"/>
    <x v="35"/>
    <s v="Logicargo"/>
    <x v="41"/>
    <x v="1"/>
  </r>
  <r>
    <x v="58"/>
    <x v="1"/>
    <n v="218686.13405221081"/>
    <n v="256.81298488516171"/>
    <m/>
    <m/>
    <m/>
    <m/>
    <m/>
    <m/>
    <m/>
    <m/>
    <n v="-62.561747017360162"/>
    <n v="-53.808422177963841"/>
    <n v="-169.56441594017949"/>
    <n v="-155.04940892801599"/>
    <n v="11.890815354872039"/>
    <n v="39.668159665180461"/>
    <m/>
    <m/>
    <m/>
    <m/>
    <s v="Synergia"/>
    <x v="36"/>
    <s v="Synergia"/>
    <x v="42"/>
    <x v="3"/>
  </r>
  <r>
    <x v="59"/>
    <x v="1"/>
    <n v="862757.75911713531"/>
    <n v="1013.175326876491"/>
    <m/>
    <m/>
    <m/>
    <m/>
    <m/>
    <m/>
    <m/>
    <m/>
    <n v="40.887231136363731"/>
    <n v="47.491812533562367"/>
    <n v="19.154595524732741"/>
    <n v="23.50780961186247"/>
    <n v="13.35058942728587"/>
    <n v="23.870846482424589"/>
    <m/>
    <m/>
    <m/>
    <m/>
    <s v="Logicargo"/>
    <x v="37"/>
    <s v="Logicargo"/>
    <x v="43"/>
    <x v="1"/>
  </r>
  <r>
    <x v="60"/>
    <x v="1"/>
    <n v="269453.94928978267"/>
    <n v="316.43191876848908"/>
    <m/>
    <m/>
    <n v="-0.96914255807728311"/>
    <n v="-42.360558891525763"/>
    <m/>
    <m/>
    <m/>
    <m/>
    <n v="24.848011864831658"/>
    <n v="28.894657379802261"/>
    <n v="-118.7757876823789"/>
    <n v="-106.9955529610201"/>
    <n v="7.8121436705275364"/>
    <n v="31.369123302985141"/>
    <m/>
    <m/>
    <m/>
    <m/>
    <s v="Logicargo"/>
    <x v="27"/>
    <s v="Synergia"/>
    <x v="44"/>
    <x v="0"/>
  </r>
  <r>
    <x v="61"/>
    <x v="1"/>
    <n v="632525.55571052572"/>
    <n v="742.80327228878343"/>
    <m/>
    <m/>
    <m/>
    <m/>
    <m/>
    <m/>
    <m/>
    <m/>
    <n v="46.073325113822932"/>
    <n v="48.977069146155543"/>
    <n v="3.9564497409775199"/>
    <n v="9.1280255241556354"/>
    <n v="100"/>
    <n v="100"/>
    <m/>
    <m/>
    <m/>
    <m/>
    <s v="Logicargo"/>
    <x v="34"/>
    <s v="Logicargo"/>
    <x v="39"/>
    <x v="1"/>
  </r>
  <r>
    <x v="62"/>
    <x v="1"/>
    <n v="402554.1274616181"/>
    <n v="472.7374577236709"/>
    <m/>
    <m/>
    <m/>
    <m/>
    <m/>
    <m/>
    <m/>
    <m/>
    <n v="2.9695702133268731"/>
    <n v="8.1942856633785297"/>
    <n v="-15.1397957146006"/>
    <n v="-8.939960560737461"/>
    <n v="-76.046018348647891"/>
    <n v="-25.076951347829109"/>
    <m/>
    <m/>
    <m/>
    <m/>
    <s v="Logicargo"/>
    <x v="31"/>
    <s v="Logicargo"/>
    <x v="31"/>
    <x v="1"/>
  </r>
  <r>
    <x v="63"/>
    <x v="1"/>
    <n v="460809.14696929348"/>
    <n v="541.14895308047141"/>
    <m/>
    <m/>
    <m/>
    <m/>
    <m/>
    <m/>
    <m/>
    <m/>
    <n v="56.055559805653388"/>
    <n v="58.421798893041299"/>
    <n v="7.2284040341571432"/>
    <n v="12.223797663087179"/>
    <n v="100"/>
    <n v="100"/>
    <m/>
    <m/>
    <m/>
    <m/>
    <s v="Logicargo"/>
    <x v="27"/>
    <s v="Logicargo"/>
    <x v="34"/>
    <x v="1"/>
  </r>
  <r>
    <x v="64"/>
    <x v="1"/>
    <n v="342492.50067584228"/>
    <n v="402.20438200415089"/>
    <m/>
    <m/>
    <m/>
    <m/>
    <m/>
    <m/>
    <m/>
    <m/>
    <n v="40.87461780903066"/>
    <n v="44.058292234698257"/>
    <n v="-98.398504685252675"/>
    <n v="-87.71550827912364"/>
    <n v="100"/>
    <n v="100"/>
    <m/>
    <m/>
    <m/>
    <m/>
    <s v="Logicargo"/>
    <x v="27"/>
    <s v="Logicargo"/>
    <x v="34"/>
    <x v="1"/>
  </r>
  <r>
    <x v="65"/>
    <x v="1"/>
    <n v="342621.54405284941"/>
    <n v="402.35592345863063"/>
    <m/>
    <m/>
    <n v="-12.424775071317191"/>
    <n v="-62.085659083643087"/>
    <m/>
    <m/>
    <m/>
    <m/>
    <n v="40.896886516638787"/>
    <n v="44.079361858050532"/>
    <n v="-24.773239575984771"/>
    <n v="-18.054680521893321"/>
    <n v="100"/>
    <n v="100"/>
    <m/>
    <m/>
    <m/>
    <m/>
    <s v="Logicargo"/>
    <x v="27"/>
    <s v="Logicargo"/>
    <x v="34"/>
    <x v="1"/>
  </r>
  <r>
    <x v="66"/>
    <x v="1"/>
    <n v="1074843.2376321109"/>
    <n v="1262.2368644279529"/>
    <m/>
    <m/>
    <m/>
    <m/>
    <m/>
    <m/>
    <m/>
    <m/>
    <n v="56.375033718127042"/>
    <n v="58.724070364074052"/>
    <n v="33.432153178332058"/>
    <n v="37.016575699498802"/>
    <n v="28.468558802295231"/>
    <n v="36.871523684968253"/>
    <m/>
    <m/>
    <m/>
    <m/>
    <s v="Logicargo"/>
    <x v="38"/>
    <s v="Logicargo"/>
    <x v="45"/>
    <x v="1"/>
  </r>
  <r>
    <x v="67"/>
    <x v="1"/>
    <n v="269453.94928978267"/>
    <n v="316.43191876848908"/>
    <m/>
    <m/>
    <n v="24.10943967828717"/>
    <n v="-15.180456958469859"/>
    <m/>
    <m/>
    <m/>
    <m/>
    <n v="55.242815955055299"/>
    <n v="57.652818172860009"/>
    <n v="-152.1766712980093"/>
    <n v="-138.59792745888569"/>
    <n v="28.491465739054689"/>
    <n v="51.035280953006954"/>
    <m/>
    <m/>
    <m/>
    <m/>
    <s v="Logicargo"/>
    <x v="3"/>
    <s v="Logicargo"/>
    <x v="46"/>
    <x v="1"/>
  </r>
  <r>
    <x v="68"/>
    <x v="1"/>
    <n v="402554.1274616181"/>
    <n v="472.7374577236709"/>
    <m/>
    <m/>
    <m/>
    <m/>
    <m/>
    <m/>
    <m/>
    <m/>
    <n v="-10.444774918471261"/>
    <n v="-4.4977485767073881"/>
    <n v="-28.554140846398731"/>
    <n v="-21.631994800823371"/>
    <n v="-76.046018348647891"/>
    <n v="-25.076951347829109"/>
    <m/>
    <m/>
    <m/>
    <m/>
    <s v="ANDREANI"/>
    <x v="39"/>
    <s v="ANDREANI"/>
    <x v="47"/>
    <x v="0"/>
  </r>
  <r>
    <x v="69"/>
    <x v="1"/>
    <n v="218686.13405221081"/>
    <n v="256.81298488516171"/>
    <m/>
    <m/>
    <n v="-24.409050151215808"/>
    <n v="-75.409451461902194"/>
    <m/>
    <m/>
    <m/>
    <m/>
    <n v="27.978972840410059"/>
    <n v="31.857028149003359"/>
    <n v="-111.9475942125076"/>
    <n v="-100.5350314472187"/>
    <n v="-73.851747319082577"/>
    <n v="-15.11987999057046"/>
    <m/>
    <m/>
    <m/>
    <m/>
    <s v="Logicargo"/>
    <x v="20"/>
    <s v="Logicargo"/>
    <x v="27"/>
    <x v="1"/>
  </r>
  <r>
    <x v="70"/>
    <x v="1"/>
    <n v="402554.1274616181"/>
    <n v="472.7374577236709"/>
    <m/>
    <m/>
    <n v="32.415214842702049"/>
    <n v="4.7094236536433884"/>
    <m/>
    <m/>
    <m/>
    <m/>
    <n v="49.69620575575702"/>
    <n v="52.404871599677797"/>
    <n v="-28.554140846398731"/>
    <n v="-21.631994800823371"/>
    <n v="-31.165106149523549"/>
    <n v="9.3197306462277485"/>
    <m/>
    <m/>
    <m/>
    <m/>
    <s v="Logicargo"/>
    <x v="27"/>
    <s v="Logicargo"/>
    <x v="34"/>
    <x v="1"/>
  </r>
  <r>
    <x v="71"/>
    <x v="0"/>
    <m/>
    <m/>
    <m/>
    <m/>
    <m/>
    <m/>
    <m/>
    <m/>
    <m/>
    <m/>
    <m/>
    <m/>
    <m/>
    <m/>
    <m/>
    <m/>
    <m/>
    <m/>
    <m/>
    <m/>
    <s v="ANDESMAR"/>
    <x v="40"/>
    <s v="ANDESMAR"/>
    <x v="48"/>
    <x v="2"/>
  </r>
  <r>
    <x v="72"/>
    <x v="0"/>
    <m/>
    <m/>
    <m/>
    <m/>
    <m/>
    <m/>
    <m/>
    <m/>
    <m/>
    <m/>
    <m/>
    <m/>
    <m/>
    <m/>
    <m/>
    <m/>
    <m/>
    <m/>
    <m/>
    <m/>
    <s v="ANDESMAR"/>
    <x v="41"/>
    <s v="ANDESMAR"/>
    <x v="49"/>
    <x v="2"/>
  </r>
  <r>
    <x v="73"/>
    <x v="0"/>
    <m/>
    <m/>
    <m/>
    <m/>
    <m/>
    <m/>
    <m/>
    <m/>
    <m/>
    <m/>
    <m/>
    <m/>
    <m/>
    <m/>
    <m/>
    <m/>
    <m/>
    <m/>
    <m/>
    <m/>
    <s v="Logicargo"/>
    <x v="42"/>
    <s v="Logicargo"/>
    <x v="50"/>
    <x v="1"/>
  </r>
  <r>
    <x v="74"/>
    <x v="0"/>
    <m/>
    <m/>
    <m/>
    <m/>
    <m/>
    <m/>
    <m/>
    <m/>
    <m/>
    <m/>
    <m/>
    <m/>
    <m/>
    <m/>
    <m/>
    <m/>
    <m/>
    <m/>
    <m/>
    <m/>
    <s v="Logicargo"/>
    <x v="42"/>
    <s v="Logicargo"/>
    <x v="50"/>
    <x v="1"/>
  </r>
  <r>
    <x v="75"/>
    <x v="0"/>
    <m/>
    <m/>
    <m/>
    <m/>
    <m/>
    <m/>
    <m/>
    <m/>
    <m/>
    <m/>
    <m/>
    <m/>
    <m/>
    <m/>
    <m/>
    <m/>
    <m/>
    <m/>
    <m/>
    <m/>
    <s v="Logicargo"/>
    <x v="42"/>
    <s v="Logicargo"/>
    <x v="50"/>
    <x v="1"/>
  </r>
  <r>
    <x v="76"/>
    <x v="0"/>
    <m/>
    <m/>
    <m/>
    <m/>
    <m/>
    <m/>
    <m/>
    <m/>
    <m/>
    <m/>
    <m/>
    <m/>
    <m/>
    <m/>
    <m/>
    <m/>
    <m/>
    <m/>
    <m/>
    <m/>
    <s v="ANDESMAR"/>
    <x v="43"/>
    <s v="ANDESMAR"/>
    <x v="51"/>
    <x v="2"/>
  </r>
  <r>
    <x v="77"/>
    <x v="0"/>
    <m/>
    <m/>
    <m/>
    <m/>
    <m/>
    <m/>
    <m/>
    <m/>
    <m/>
    <m/>
    <m/>
    <m/>
    <m/>
    <m/>
    <m/>
    <m/>
    <m/>
    <m/>
    <m/>
    <m/>
    <s v="ANDESMAR"/>
    <x v="43"/>
    <s v="ANDESMAR"/>
    <x v="51"/>
    <x v="2"/>
  </r>
  <r>
    <x v="78"/>
    <x v="0"/>
    <m/>
    <m/>
    <m/>
    <m/>
    <m/>
    <m/>
    <m/>
    <m/>
    <m/>
    <m/>
    <m/>
    <m/>
    <m/>
    <m/>
    <m/>
    <m/>
    <m/>
    <m/>
    <m/>
    <m/>
    <s v="ANDESMAR"/>
    <x v="43"/>
    <s v="ANDESMAR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B5FBE-085B-4A9D-B662-5BD5FB068C5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43" firstHeaderRow="1" firstDataRow="1" firstDataCol="4" rowPageCount="1" colPageCount="1"/>
  <pivotFields count="27">
    <pivotField axis="axisRow" compact="0" outline="0" showAll="0" defaultSubtotal="0">
      <items count="79">
        <item x="35"/>
        <item x="34"/>
        <item x="37"/>
        <item x="36"/>
        <item x="38"/>
        <item x="42"/>
        <item x="39"/>
        <item x="41"/>
        <item x="40"/>
        <item x="43"/>
        <item x="44"/>
        <item x="49"/>
        <item x="45"/>
        <item x="46"/>
        <item x="47"/>
        <item x="48"/>
        <item x="50"/>
        <item x="52"/>
        <item x="53"/>
        <item x="51"/>
        <item x="54"/>
        <item x="55"/>
        <item x="58"/>
        <item x="57"/>
        <item x="59"/>
        <item x="56"/>
        <item x="60"/>
        <item x="61"/>
        <item x="62"/>
        <item x="63"/>
        <item x="64"/>
        <item x="65"/>
        <item x="66"/>
        <item x="67"/>
        <item x="68"/>
        <item x="69"/>
        <item x="70"/>
        <item x="16"/>
        <item x="73"/>
        <item x="71"/>
        <item x="4"/>
        <item x="25"/>
        <item x="6"/>
        <item x="14"/>
        <item x="28"/>
        <item x="17"/>
        <item x="0"/>
        <item x="33"/>
        <item x="2"/>
        <item x="30"/>
        <item x="8"/>
        <item x="24"/>
        <item x="74"/>
        <item x="31"/>
        <item x="5"/>
        <item x="72"/>
        <item x="20"/>
        <item x="15"/>
        <item x="21"/>
        <item x="12"/>
        <item x="22"/>
        <item x="1"/>
        <item x="32"/>
        <item x="11"/>
        <item x="26"/>
        <item x="19"/>
        <item x="27"/>
        <item x="7"/>
        <item x="13"/>
        <item x="23"/>
        <item x="9"/>
        <item x="29"/>
        <item x="3"/>
        <item x="10"/>
        <item x="18"/>
        <item x="75"/>
        <item x="76"/>
        <item x="78"/>
        <item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44">
        <item x="40"/>
        <item x="41"/>
        <item x="43"/>
        <item x="42"/>
        <item x="2"/>
        <item x="1"/>
        <item x="0"/>
        <item x="4"/>
        <item x="9"/>
        <item x="10"/>
        <item x="5"/>
        <item x="3"/>
        <item x="8"/>
        <item x="11"/>
        <item x="7"/>
        <item x="14"/>
        <item x="6"/>
        <item x="20"/>
        <item x="12"/>
        <item x="18"/>
        <item x="36"/>
        <item x="16"/>
        <item x="17"/>
        <item x="27"/>
        <item x="15"/>
        <item x="25"/>
        <item x="19"/>
        <item x="13"/>
        <item x="21"/>
        <item x="26"/>
        <item x="24"/>
        <item x="22"/>
        <item x="33"/>
        <item x="34"/>
        <item x="32"/>
        <item x="28"/>
        <item x="30"/>
        <item x="31"/>
        <item x="39"/>
        <item x="35"/>
        <item x="29"/>
        <item x="38"/>
        <item x="23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52">
        <item x="11"/>
        <item x="48"/>
        <item x="49"/>
        <item x="0"/>
        <item x="1"/>
        <item x="2"/>
        <item x="3"/>
        <item x="51"/>
        <item x="4"/>
        <item x="7"/>
        <item x="5"/>
        <item x="6"/>
        <item x="14"/>
        <item x="8"/>
        <item x="50"/>
        <item x="9"/>
        <item x="10"/>
        <item x="15"/>
        <item x="12"/>
        <item x="13"/>
        <item x="46"/>
        <item x="16"/>
        <item x="17"/>
        <item x="18"/>
        <item x="42"/>
        <item x="19"/>
        <item x="20"/>
        <item x="21"/>
        <item x="27"/>
        <item x="22"/>
        <item x="23"/>
        <item x="24"/>
        <item x="25"/>
        <item x="26"/>
        <item x="44"/>
        <item x="34"/>
        <item x="28"/>
        <item x="29"/>
        <item x="32"/>
        <item x="33"/>
        <item x="38"/>
        <item x="39"/>
        <item x="37"/>
        <item x="35"/>
        <item x="31"/>
        <item x="41"/>
        <item x="40"/>
        <item x="47"/>
        <item x="30"/>
        <item x="36"/>
        <item x="45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26"/>
    <field x="0"/>
    <field x="23"/>
    <field x="25"/>
  </rowFields>
  <rowItems count="40">
    <i>
      <x/>
      <x v="39"/>
      <x/>
      <x v="1"/>
    </i>
    <i r="1">
      <x v="55"/>
      <x v="1"/>
      <x v="2"/>
    </i>
    <i r="1">
      <x v="76"/>
      <x v="2"/>
      <x v="7"/>
    </i>
    <i r="1">
      <x v="77"/>
      <x v="2"/>
      <x v="7"/>
    </i>
    <i r="1">
      <x v="78"/>
      <x v="2"/>
      <x v="7"/>
    </i>
    <i>
      <x v="1"/>
      <x v="40"/>
      <x v="11"/>
      <x v="8"/>
    </i>
    <i r="1">
      <x v="41"/>
      <x v="24"/>
      <x v="29"/>
    </i>
    <i r="1">
      <x v="42"/>
      <x v="7"/>
      <x v="11"/>
    </i>
    <i r="1">
      <x v="43"/>
      <x v="12"/>
      <x v="18"/>
    </i>
    <i r="1">
      <x v="44"/>
      <x v="22"/>
      <x v="31"/>
    </i>
    <i r="1">
      <x v="46"/>
      <x v="6"/>
      <x v="3"/>
    </i>
    <i r="1">
      <x v="47"/>
      <x v="31"/>
      <x v="37"/>
    </i>
    <i r="1">
      <x v="48"/>
      <x v="6"/>
      <x v="5"/>
    </i>
    <i r="1">
      <x v="49"/>
      <x v="26"/>
      <x v="33"/>
    </i>
    <i r="1">
      <x v="51"/>
      <x v="15"/>
      <x v="27"/>
    </i>
    <i r="1">
      <x v="56"/>
      <x v="18"/>
      <x v="23"/>
    </i>
    <i r="1">
      <x v="57"/>
      <x v="11"/>
      <x v="19"/>
    </i>
    <i r="1">
      <x v="58"/>
      <x v="18"/>
      <x v="25"/>
    </i>
    <i r="1">
      <x v="59"/>
      <x v="12"/>
      <x v="16"/>
    </i>
    <i r="1">
      <x v="60"/>
      <x v="18"/>
      <x v="25"/>
    </i>
    <i r="1">
      <x v="61"/>
      <x v="5"/>
      <x v="4"/>
    </i>
    <i r="1">
      <x v="62"/>
      <x v="28"/>
      <x v="36"/>
    </i>
    <i r="1">
      <x v="63"/>
      <x v="14"/>
      <x v="15"/>
    </i>
    <i r="1">
      <x v="64"/>
      <x v="15"/>
      <x v="30"/>
    </i>
    <i r="1">
      <x v="65"/>
      <x v="12"/>
      <x v="22"/>
    </i>
    <i r="1">
      <x v="66"/>
      <x v="21"/>
      <x v="30"/>
    </i>
    <i r="1">
      <x v="67"/>
      <x v="10"/>
      <x v="11"/>
    </i>
    <i r="1">
      <x v="68"/>
      <x v="8"/>
      <x/>
    </i>
    <i r="1">
      <x v="69"/>
      <x v="27"/>
      <x v="26"/>
    </i>
    <i r="1">
      <x v="71"/>
      <x v="19"/>
      <x v="32"/>
    </i>
    <i r="1">
      <x v="72"/>
      <x v="4"/>
      <x v="6"/>
    </i>
    <i r="1">
      <x v="73"/>
      <x v="16"/>
      <x v="13"/>
    </i>
    <i r="1">
      <x v="74"/>
      <x v="13"/>
      <x v="21"/>
    </i>
    <i>
      <x v="2"/>
      <x v="38"/>
      <x v="3"/>
      <x v="14"/>
    </i>
    <i r="1">
      <x v="50"/>
      <x v="6"/>
      <x v="9"/>
    </i>
    <i r="1">
      <x v="52"/>
      <x v="3"/>
      <x v="14"/>
    </i>
    <i r="1">
      <x v="54"/>
      <x v="6"/>
      <x v="10"/>
    </i>
    <i r="1">
      <x v="70"/>
      <x v="6"/>
      <x v="10"/>
    </i>
    <i r="1">
      <x v="75"/>
      <x v="3"/>
      <x v="14"/>
    </i>
    <i t="grand">
      <x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B967-D5AA-495A-A1D7-8628C15D28B3}">
  <dimension ref="A1:D43"/>
  <sheetViews>
    <sheetView topLeftCell="A3" workbookViewId="0">
      <selection activeCell="K13" sqref="K13"/>
    </sheetView>
  </sheetViews>
  <sheetFormatPr baseColWidth="10" defaultRowHeight="15" x14ac:dyDescent="0.25"/>
  <cols>
    <col min="1" max="1" width="23.140625" bestFit="1" customWidth="1"/>
    <col min="2" max="2" width="21" bestFit="1" customWidth="1"/>
    <col min="3" max="3" width="32.85546875" bestFit="1" customWidth="1"/>
    <col min="4" max="4" width="33.42578125" bestFit="1" customWidth="1"/>
  </cols>
  <sheetData>
    <row r="1" spans="1:4" x14ac:dyDescent="0.25">
      <c r="A1" s="6" t="s">
        <v>114</v>
      </c>
      <c r="B1" t="s">
        <v>110</v>
      </c>
    </row>
    <row r="3" spans="1:4" x14ac:dyDescent="0.25">
      <c r="A3" s="6" t="s">
        <v>116</v>
      </c>
      <c r="B3" s="6" t="s">
        <v>24</v>
      </c>
      <c r="C3" s="6" t="s">
        <v>22</v>
      </c>
      <c r="D3" s="6" t="s">
        <v>23</v>
      </c>
    </row>
    <row r="4" spans="1:4" x14ac:dyDescent="0.25">
      <c r="A4" t="s">
        <v>106</v>
      </c>
      <c r="B4" t="s">
        <v>96</v>
      </c>
      <c r="C4" s="1">
        <v>43417.662859999997</v>
      </c>
      <c r="D4" s="1">
        <v>44.575189999999999</v>
      </c>
    </row>
    <row r="5" spans="1:4" x14ac:dyDescent="0.25">
      <c r="A5" t="s">
        <v>106</v>
      </c>
      <c r="B5" t="s">
        <v>97</v>
      </c>
      <c r="C5" s="1">
        <v>55552.60282</v>
      </c>
      <c r="D5" s="1">
        <v>65.551749999999998</v>
      </c>
    </row>
    <row r="6" spans="1:4" x14ac:dyDescent="0.25">
      <c r="A6" t="s">
        <v>106</v>
      </c>
      <c r="B6" t="s">
        <v>101</v>
      </c>
      <c r="C6" s="1">
        <v>61069.438099999992</v>
      </c>
      <c r="D6" s="1">
        <v>76.040029999999987</v>
      </c>
    </row>
    <row r="7" spans="1:4" x14ac:dyDescent="0.25">
      <c r="A7" t="s">
        <v>106</v>
      </c>
      <c r="B7" t="s">
        <v>103</v>
      </c>
      <c r="C7" s="1">
        <v>61069.438099999992</v>
      </c>
      <c r="D7" s="1">
        <v>76.040029999999987</v>
      </c>
    </row>
    <row r="8" spans="1:4" x14ac:dyDescent="0.25">
      <c r="A8" t="s">
        <v>106</v>
      </c>
      <c r="B8" t="s">
        <v>102</v>
      </c>
      <c r="C8" s="1">
        <v>61069.438099999992</v>
      </c>
      <c r="D8" s="1">
        <v>76.040029999999987</v>
      </c>
    </row>
    <row r="9" spans="1:4" x14ac:dyDescent="0.25">
      <c r="A9" t="s">
        <v>108</v>
      </c>
      <c r="B9" t="s">
        <v>29</v>
      </c>
      <c r="C9" s="1">
        <v>120600</v>
      </c>
      <c r="D9" s="1">
        <v>76.70110231867389</v>
      </c>
    </row>
    <row r="10" spans="1:4" x14ac:dyDescent="0.25">
      <c r="A10" t="s">
        <v>108</v>
      </c>
      <c r="B10" t="s">
        <v>50</v>
      </c>
      <c r="C10" s="1">
        <v>216629.446</v>
      </c>
      <c r="D10" s="1">
        <v>182.91016639924419</v>
      </c>
    </row>
    <row r="11" spans="1:4" x14ac:dyDescent="0.25">
      <c r="A11" t="s">
        <v>108</v>
      </c>
      <c r="B11" t="s">
        <v>31</v>
      </c>
      <c r="C11" s="1">
        <v>105000</v>
      </c>
      <c r="D11" s="1">
        <v>91.616316637190593</v>
      </c>
    </row>
    <row r="12" spans="1:4" x14ac:dyDescent="0.25">
      <c r="A12" t="s">
        <v>108</v>
      </c>
      <c r="B12" t="s">
        <v>39</v>
      </c>
      <c r="C12" s="1">
        <v>136696.24192952199</v>
      </c>
      <c r="D12" s="1">
        <v>118.25062792025609</v>
      </c>
    </row>
    <row r="13" spans="1:4" x14ac:dyDescent="0.25">
      <c r="A13" t="s">
        <v>108</v>
      </c>
      <c r="B13" t="s">
        <v>53</v>
      </c>
      <c r="C13" s="1">
        <v>197100</v>
      </c>
      <c r="D13" s="1">
        <v>188.47959080210711</v>
      </c>
    </row>
    <row r="14" spans="1:4" x14ac:dyDescent="0.25">
      <c r="A14" t="s">
        <v>108</v>
      </c>
      <c r="B14" t="s">
        <v>25</v>
      </c>
      <c r="C14" s="1">
        <v>100000</v>
      </c>
      <c r="D14" s="1">
        <v>66.047377805447709</v>
      </c>
    </row>
    <row r="15" spans="1:4" x14ac:dyDescent="0.25">
      <c r="A15" t="s">
        <v>108</v>
      </c>
      <c r="B15" t="s">
        <v>58</v>
      </c>
      <c r="C15" s="1">
        <v>280155.12833100639</v>
      </c>
      <c r="D15" s="1">
        <v>238.60441042787289</v>
      </c>
    </row>
    <row r="16" spans="1:4" x14ac:dyDescent="0.25">
      <c r="A16" t="s">
        <v>108</v>
      </c>
      <c r="B16" t="s">
        <v>27</v>
      </c>
      <c r="C16" s="1">
        <v>100000</v>
      </c>
      <c r="D16" s="1">
        <v>72.439612513383409</v>
      </c>
    </row>
    <row r="17" spans="1:4" x14ac:dyDescent="0.25">
      <c r="A17" t="s">
        <v>108</v>
      </c>
      <c r="B17" t="s">
        <v>55</v>
      </c>
      <c r="C17" s="1">
        <v>227455.13449999999</v>
      </c>
      <c r="D17" s="1">
        <v>197.14313987322711</v>
      </c>
    </row>
    <row r="18" spans="1:4" x14ac:dyDescent="0.25">
      <c r="A18" t="s">
        <v>108</v>
      </c>
      <c r="B18" t="s">
        <v>49</v>
      </c>
      <c r="C18" s="1">
        <v>151675.315</v>
      </c>
      <c r="D18" s="1">
        <v>173.62779239447269</v>
      </c>
    </row>
    <row r="19" spans="1:4" x14ac:dyDescent="0.25">
      <c r="A19" t="s">
        <v>108</v>
      </c>
      <c r="B19" t="s">
        <v>45</v>
      </c>
      <c r="C19" s="1">
        <v>162900</v>
      </c>
      <c r="D19" s="1">
        <v>144.90700000000001</v>
      </c>
    </row>
    <row r="20" spans="1:4" x14ac:dyDescent="0.25">
      <c r="A20" t="s">
        <v>108</v>
      </c>
      <c r="B20" t="s">
        <v>40</v>
      </c>
      <c r="C20" s="1">
        <v>120600</v>
      </c>
      <c r="D20" s="1">
        <v>121.446745274224</v>
      </c>
    </row>
    <row r="21" spans="1:4" x14ac:dyDescent="0.25">
      <c r="A21" t="s">
        <v>108</v>
      </c>
      <c r="B21" t="s">
        <v>46</v>
      </c>
      <c r="C21" s="1">
        <v>162900</v>
      </c>
      <c r="D21" s="1">
        <v>167.43954305795839</v>
      </c>
    </row>
    <row r="22" spans="1:4" x14ac:dyDescent="0.25">
      <c r="A22" t="s">
        <v>108</v>
      </c>
      <c r="B22" t="s">
        <v>37</v>
      </c>
      <c r="C22" s="1">
        <v>136696.24192952199</v>
      </c>
      <c r="D22" s="1">
        <v>105.46615850438459</v>
      </c>
    </row>
    <row r="23" spans="1:4" x14ac:dyDescent="0.25">
      <c r="A23" t="s">
        <v>108</v>
      </c>
      <c r="B23" t="s">
        <v>47</v>
      </c>
      <c r="C23" s="1">
        <v>162900</v>
      </c>
      <c r="D23" s="1">
        <v>167.43954305795839</v>
      </c>
    </row>
    <row r="24" spans="1:4" x14ac:dyDescent="0.25">
      <c r="A24" t="s">
        <v>108</v>
      </c>
      <c r="B24" t="s">
        <v>26</v>
      </c>
      <c r="C24" s="1">
        <v>99000</v>
      </c>
      <c r="D24" s="1">
        <v>70.308867610738162</v>
      </c>
    </row>
    <row r="25" spans="1:4" x14ac:dyDescent="0.25">
      <c r="A25" t="s">
        <v>108</v>
      </c>
      <c r="B25" t="s">
        <v>57</v>
      </c>
      <c r="C25" s="1">
        <v>241621.51199999999</v>
      </c>
      <c r="D25" s="1">
        <v>229.32203642310139</v>
      </c>
    </row>
    <row r="26" spans="1:4" x14ac:dyDescent="0.25">
      <c r="A26" t="s">
        <v>108</v>
      </c>
      <c r="B26" t="s">
        <v>36</v>
      </c>
      <c r="C26" s="1">
        <v>149000</v>
      </c>
      <c r="D26" s="1">
        <v>102.2700411504168</v>
      </c>
    </row>
    <row r="27" spans="1:4" x14ac:dyDescent="0.25">
      <c r="A27" t="s">
        <v>108</v>
      </c>
      <c r="B27" t="s">
        <v>51</v>
      </c>
      <c r="C27" s="1">
        <v>151675.315</v>
      </c>
      <c r="D27" s="1">
        <v>186.0042910675013</v>
      </c>
    </row>
    <row r="28" spans="1:4" x14ac:dyDescent="0.25">
      <c r="A28" t="s">
        <v>108</v>
      </c>
      <c r="B28" t="s">
        <v>44</v>
      </c>
      <c r="C28" s="1">
        <v>136696.24192952199</v>
      </c>
      <c r="D28" s="1">
        <v>143.67466560355811</v>
      </c>
    </row>
    <row r="29" spans="1:4" x14ac:dyDescent="0.25">
      <c r="A29" t="s">
        <v>108</v>
      </c>
      <c r="B29" t="s">
        <v>52</v>
      </c>
      <c r="C29" s="1">
        <v>194976.58041673899</v>
      </c>
      <c r="D29" s="1">
        <v>186.0042910675013</v>
      </c>
    </row>
    <row r="30" spans="1:4" x14ac:dyDescent="0.25">
      <c r="A30" t="s">
        <v>108</v>
      </c>
      <c r="B30" t="s">
        <v>32</v>
      </c>
      <c r="C30" s="1">
        <v>120182.0796453544</v>
      </c>
      <c r="D30" s="1">
        <v>91.616316637190593</v>
      </c>
    </row>
    <row r="31" spans="1:4" x14ac:dyDescent="0.25">
      <c r="A31" t="s">
        <v>108</v>
      </c>
      <c r="B31" t="s">
        <v>38</v>
      </c>
      <c r="C31" s="1">
        <v>107100</v>
      </c>
      <c r="D31" s="1">
        <v>40</v>
      </c>
    </row>
    <row r="32" spans="1:4" x14ac:dyDescent="0.25">
      <c r="A32" t="s">
        <v>108</v>
      </c>
      <c r="B32" t="s">
        <v>48</v>
      </c>
      <c r="C32" s="1">
        <v>240111.27488683301</v>
      </c>
      <c r="D32" s="1">
        <v>171.15249265986699</v>
      </c>
    </row>
    <row r="33" spans="1:4" x14ac:dyDescent="0.25">
      <c r="A33" t="s">
        <v>108</v>
      </c>
      <c r="B33" t="s">
        <v>54</v>
      </c>
      <c r="C33" s="1">
        <v>184152.3805</v>
      </c>
      <c r="D33" s="1">
        <v>192.19254040401569</v>
      </c>
    </row>
    <row r="34" spans="1:4" x14ac:dyDescent="0.25">
      <c r="A34" t="s">
        <v>108</v>
      </c>
      <c r="B34" t="s">
        <v>28</v>
      </c>
      <c r="C34" s="1">
        <v>98100</v>
      </c>
      <c r="D34" s="1">
        <v>75.635729867351259</v>
      </c>
    </row>
    <row r="35" spans="1:4" x14ac:dyDescent="0.25">
      <c r="A35" t="s">
        <v>108</v>
      </c>
      <c r="B35" t="s">
        <v>35</v>
      </c>
      <c r="C35" s="1">
        <v>154348.01716952201</v>
      </c>
      <c r="D35" s="1">
        <v>96.943178893803648</v>
      </c>
    </row>
    <row r="36" spans="1:4" x14ac:dyDescent="0.25">
      <c r="A36" t="s">
        <v>108</v>
      </c>
      <c r="B36" t="s">
        <v>43</v>
      </c>
      <c r="C36" s="1">
        <v>148831.18188952201</v>
      </c>
      <c r="D36" s="1">
        <v>141.69446541987719</v>
      </c>
    </row>
    <row r="37" spans="1:4" x14ac:dyDescent="0.25">
      <c r="A37" t="s">
        <v>112</v>
      </c>
      <c r="B37" t="s">
        <v>98</v>
      </c>
      <c r="C37" s="1">
        <v>90000</v>
      </c>
      <c r="D37" s="1">
        <v>100</v>
      </c>
    </row>
    <row r="38" spans="1:4" x14ac:dyDescent="0.25">
      <c r="A38" t="s">
        <v>112</v>
      </c>
      <c r="B38" t="s">
        <v>33</v>
      </c>
      <c r="C38" s="1">
        <v>100000</v>
      </c>
      <c r="D38" s="1">
        <v>85</v>
      </c>
    </row>
    <row r="39" spans="1:4" x14ac:dyDescent="0.25">
      <c r="A39" t="s">
        <v>112</v>
      </c>
      <c r="B39" t="s">
        <v>99</v>
      </c>
      <c r="C39" s="1">
        <v>90000</v>
      </c>
      <c r="D39" s="1">
        <v>100</v>
      </c>
    </row>
    <row r="40" spans="1:4" x14ac:dyDescent="0.25">
      <c r="A40" t="s">
        <v>112</v>
      </c>
      <c r="B40" t="s">
        <v>30</v>
      </c>
      <c r="C40" s="1">
        <v>100000</v>
      </c>
      <c r="D40" s="1">
        <v>89</v>
      </c>
    </row>
    <row r="41" spans="1:4" x14ac:dyDescent="0.25">
      <c r="A41" t="s">
        <v>112</v>
      </c>
      <c r="B41" t="s">
        <v>34</v>
      </c>
      <c r="C41" s="1">
        <v>100000</v>
      </c>
      <c r="D41" s="1">
        <v>89</v>
      </c>
    </row>
    <row r="42" spans="1:4" x14ac:dyDescent="0.25">
      <c r="A42" t="s">
        <v>112</v>
      </c>
      <c r="B42" t="s">
        <v>100</v>
      </c>
      <c r="C42" s="1">
        <v>90000</v>
      </c>
      <c r="D42" s="1">
        <v>100</v>
      </c>
    </row>
    <row r="43" spans="1:4" x14ac:dyDescent="0.25">
      <c r="A4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>
      <selection activeCell="W12" sqref="W12"/>
    </sheetView>
  </sheetViews>
  <sheetFormatPr baseColWidth="10" defaultColWidth="9.140625" defaultRowHeight="15" x14ac:dyDescent="0.25"/>
  <cols>
    <col min="1" max="1" width="27.7109375" bestFit="1" customWidth="1"/>
    <col min="2" max="2" width="6.85546875" bestFit="1" customWidth="1"/>
    <col min="3" max="3" width="26.5703125" style="1" bestFit="1" customWidth="1"/>
    <col min="4" max="4" width="27.140625" style="1" bestFit="1" customWidth="1"/>
    <col min="5" max="5" width="26.42578125" style="1" hidden="1" customWidth="1"/>
    <col min="6" max="6" width="25.7109375" style="1" hidden="1" customWidth="1"/>
    <col min="7" max="7" width="28" style="1" hidden="1" customWidth="1"/>
    <col min="8" max="8" width="27.42578125" style="1" hidden="1" customWidth="1"/>
    <col min="9" max="9" width="29.7109375" style="1" hidden="1" customWidth="1"/>
    <col min="10" max="10" width="29.140625" style="1" hidden="1" customWidth="1"/>
    <col min="11" max="11" width="27.42578125" style="1" hidden="1" customWidth="1"/>
    <col min="12" max="12" width="26.85546875" style="1" hidden="1" customWidth="1"/>
    <col min="13" max="13" width="25.85546875" style="1" hidden="1" customWidth="1"/>
    <col min="14" max="14" width="25.28515625" style="1" hidden="1" customWidth="1"/>
    <col min="15" max="15" width="25.85546875" style="1" hidden="1" customWidth="1"/>
    <col min="16" max="16" width="25.28515625" style="1" hidden="1" customWidth="1"/>
    <col min="17" max="17" width="25.140625" style="1" hidden="1" customWidth="1"/>
    <col min="18" max="18" width="24.5703125" style="1" hidden="1" customWidth="1"/>
    <col min="19" max="19" width="25.28515625" style="1" hidden="1" customWidth="1"/>
    <col min="20" max="20" width="24.7109375" style="1" hidden="1" customWidth="1"/>
    <col min="21" max="21" width="27.7109375" style="1" hidden="1" customWidth="1"/>
    <col min="22" max="22" width="27.140625" style="1" hidden="1" customWidth="1"/>
    <col min="23" max="23" width="35.28515625" style="1" bestFit="1" customWidth="1"/>
    <col min="24" max="24" width="30.5703125" style="1" bestFit="1" customWidth="1"/>
    <col min="25" max="25" width="35.85546875" style="1" bestFit="1" customWidth="1"/>
    <col min="26" max="26" width="31.140625" style="1" bestFit="1" customWidth="1"/>
    <col min="27" max="27" width="12.5703125" bestFit="1" customWidth="1"/>
  </cols>
  <sheetData>
    <row r="1" spans="1:27" x14ac:dyDescent="0.25">
      <c r="A1" s="7" t="s">
        <v>24</v>
      </c>
      <c r="B1" s="7" t="s">
        <v>114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22</v>
      </c>
      <c r="Y1" s="7" t="s">
        <v>21</v>
      </c>
      <c r="Z1" s="7" t="s">
        <v>23</v>
      </c>
      <c r="AA1" s="8" t="s">
        <v>116</v>
      </c>
    </row>
    <row r="2" spans="1:27" x14ac:dyDescent="0.25">
      <c r="A2" s="2" t="s">
        <v>25</v>
      </c>
      <c r="B2" s="5" t="s">
        <v>110</v>
      </c>
      <c r="C2" s="1">
        <v>177714.0302311776</v>
      </c>
      <c r="D2" s="1">
        <v>66.047377805447709</v>
      </c>
      <c r="G2" s="1">
        <v>-15.066948658466069</v>
      </c>
      <c r="H2" s="1">
        <v>-451.8277062771416</v>
      </c>
      <c r="K2" s="1">
        <v>-160.24957027780039</v>
      </c>
      <c r="L2" s="1">
        <v>-599.49786857684057</v>
      </c>
      <c r="M2" s="1">
        <v>43.72982264263775</v>
      </c>
      <c r="N2" s="1">
        <v>-34.751753903330773</v>
      </c>
      <c r="O2" s="1">
        <v>-130.42637627839841</v>
      </c>
      <c r="P2" s="1">
        <v>-588.89941602264605</v>
      </c>
      <c r="Q2" s="1">
        <v>-7.2172407533002314</v>
      </c>
      <c r="R2" s="1">
        <v>-73.057589563491078</v>
      </c>
      <c r="U2" s="1">
        <v>-107.1226070452507</v>
      </c>
      <c r="V2" s="1">
        <v>-6092.2877642344592</v>
      </c>
      <c r="W2" s="3" t="s">
        <v>104</v>
      </c>
      <c r="X2" s="3">
        <v>100000</v>
      </c>
      <c r="Y2" s="4" t="s">
        <v>108</v>
      </c>
      <c r="Z2" s="4">
        <v>66.047377805447709</v>
      </c>
      <c r="AA2" t="s">
        <v>108</v>
      </c>
    </row>
    <row r="3" spans="1:27" x14ac:dyDescent="0.25">
      <c r="A3" s="2" t="s">
        <v>26</v>
      </c>
      <c r="B3" s="5" t="s">
        <v>110</v>
      </c>
      <c r="C3" s="1">
        <v>180243.92825133211</v>
      </c>
      <c r="D3" s="1">
        <v>70.308867610738162</v>
      </c>
      <c r="E3" s="1">
        <v>-129.688735713038</v>
      </c>
      <c r="F3" s="1">
        <v>-652.39442473854683</v>
      </c>
      <c r="G3" s="1">
        <v>38.940772614243862</v>
      </c>
      <c r="H3" s="1">
        <v>-174.00345587499839</v>
      </c>
      <c r="K3" s="1">
        <v>-71.064292146396497</v>
      </c>
      <c r="L3" s="1">
        <v>-338.06707527310488</v>
      </c>
      <c r="M3" s="1">
        <v>45.074432764273517</v>
      </c>
      <c r="N3" s="1">
        <v>-56.452526883251743</v>
      </c>
      <c r="O3" s="1">
        <v>-77.259785169844548</v>
      </c>
      <c r="P3" s="1">
        <v>-404.9149731232215</v>
      </c>
      <c r="Q3" s="1">
        <v>33.322536403127778</v>
      </c>
      <c r="R3" s="1">
        <v>-35.731710400714057</v>
      </c>
      <c r="U3" s="1">
        <v>-140.68830697498251</v>
      </c>
      <c r="V3" s="1">
        <v>-6755.8770919700519</v>
      </c>
      <c r="W3" s="3" t="s">
        <v>104</v>
      </c>
      <c r="X3" s="3">
        <v>99000</v>
      </c>
      <c r="Y3" s="4" t="s">
        <v>108</v>
      </c>
      <c r="Z3" s="4">
        <v>70.308867610738162</v>
      </c>
      <c r="AA3" t="s">
        <v>108</v>
      </c>
    </row>
    <row r="4" spans="1:27" x14ac:dyDescent="0.25">
      <c r="A4" s="2" t="s">
        <v>27</v>
      </c>
      <c r="B4" s="5" t="s">
        <v>110</v>
      </c>
      <c r="C4" s="1">
        <v>181508.87726140919</v>
      </c>
      <c r="D4" s="1">
        <v>72.439612513383409</v>
      </c>
      <c r="G4" s="1">
        <v>5.5726184933874556</v>
      </c>
      <c r="H4" s="1">
        <v>-267.43708416555148</v>
      </c>
      <c r="K4" s="1">
        <v>-69.872132235129527</v>
      </c>
      <c r="L4" s="1">
        <v>-325.18173318927711</v>
      </c>
      <c r="M4" s="1">
        <v>44.906275930526569</v>
      </c>
      <c r="N4" s="1">
        <v>-22.860955369628758</v>
      </c>
      <c r="O4" s="1">
        <v>-95.858189066978056</v>
      </c>
      <c r="P4" s="1">
        <v>-445.28176821352088</v>
      </c>
      <c r="Q4" s="1">
        <v>18.11415403594982</v>
      </c>
      <c r="R4" s="1">
        <v>-75.318441931942161</v>
      </c>
      <c r="U4" s="1">
        <v>-128.06026767338929</v>
      </c>
      <c r="V4" s="1">
        <v>-6249.3442172932537</v>
      </c>
      <c r="W4" s="3" t="s">
        <v>104</v>
      </c>
      <c r="X4" s="3">
        <v>100000</v>
      </c>
      <c r="Y4" s="4" t="s">
        <v>108</v>
      </c>
      <c r="Z4" s="4">
        <v>72.439612513383409</v>
      </c>
      <c r="AA4" t="s">
        <v>108</v>
      </c>
    </row>
    <row r="5" spans="1:27" x14ac:dyDescent="0.25">
      <c r="A5" s="2" t="s">
        <v>28</v>
      </c>
      <c r="B5" s="5" t="s">
        <v>111</v>
      </c>
      <c r="C5" s="1">
        <v>183406.30077652499</v>
      </c>
      <c r="D5" s="1">
        <v>75.635729867351259</v>
      </c>
      <c r="E5" s="1">
        <v>-144.48636611801359</v>
      </c>
      <c r="F5" s="1">
        <v>-657.5254459828019</v>
      </c>
      <c r="G5" s="1">
        <v>24.294800972709101</v>
      </c>
      <c r="H5" s="1">
        <v>-182.43964514476511</v>
      </c>
      <c r="K5" s="1">
        <v>-68.114725990626923</v>
      </c>
      <c r="L5" s="1">
        <v>-307.2149505797928</v>
      </c>
      <c r="M5" s="1">
        <v>46.512197462871313</v>
      </c>
      <c r="N5" s="1">
        <v>-44.111784458433164</v>
      </c>
      <c r="O5" s="1">
        <v>-84.017669279112468</v>
      </c>
      <c r="P5" s="1">
        <v>-395.79742359552699</v>
      </c>
      <c r="Q5" s="1">
        <v>-19.123540860008848</v>
      </c>
      <c r="R5" s="1">
        <v>-135.07408510742579</v>
      </c>
      <c r="U5" s="1">
        <v>-165.13688039859011</v>
      </c>
      <c r="V5" s="1">
        <v>-7043.5630456981044</v>
      </c>
      <c r="W5" s="3" t="s">
        <v>104</v>
      </c>
      <c r="X5" s="3">
        <v>98100</v>
      </c>
      <c r="Y5" s="4" t="s">
        <v>108</v>
      </c>
      <c r="Z5" s="4">
        <v>75.635729867351259</v>
      </c>
      <c r="AA5" t="s">
        <v>108</v>
      </c>
    </row>
    <row r="6" spans="1:27" x14ac:dyDescent="0.25">
      <c r="A6" s="2" t="s">
        <v>29</v>
      </c>
      <c r="B6" s="5" t="s">
        <v>111</v>
      </c>
      <c r="C6" s="1">
        <v>184038.77528156349</v>
      </c>
      <c r="D6" s="1">
        <v>76.70110231867389</v>
      </c>
      <c r="E6" s="1">
        <v>-124.9525945641703</v>
      </c>
      <c r="F6" s="1">
        <v>-654.87832964173037</v>
      </c>
      <c r="G6" s="1">
        <v>24.554972277426671</v>
      </c>
      <c r="H6" s="1">
        <v>-178.51658005179689</v>
      </c>
      <c r="K6" s="1">
        <v>-67.536976666073244</v>
      </c>
      <c r="L6" s="1">
        <v>-301.55876602703438</v>
      </c>
      <c r="M6" s="1">
        <v>34.470331148698207</v>
      </c>
      <c r="N6" s="1">
        <v>-74.704138466307199</v>
      </c>
      <c r="O6" s="1">
        <v>-83.38526730774754</v>
      </c>
      <c r="P6" s="1">
        <v>-388.91083526018821</v>
      </c>
      <c r="Q6" s="1">
        <v>15.78944197588347</v>
      </c>
      <c r="R6" s="1">
        <v>-47.180269222029949</v>
      </c>
      <c r="U6" s="1">
        <v>-151.9255524407848</v>
      </c>
      <c r="V6" s="1">
        <v>-6616.4137051703538</v>
      </c>
      <c r="W6" s="3" t="s">
        <v>104</v>
      </c>
      <c r="X6" s="3">
        <v>120600</v>
      </c>
      <c r="Y6" s="4" t="s">
        <v>108</v>
      </c>
      <c r="Z6" s="4">
        <v>76.70110231867389</v>
      </c>
      <c r="AA6" t="s">
        <v>108</v>
      </c>
    </row>
    <row r="7" spans="1:27" x14ac:dyDescent="0.25">
      <c r="A7" s="2" t="s">
        <v>30</v>
      </c>
      <c r="B7" s="5" t="s">
        <v>111</v>
      </c>
      <c r="C7" s="1">
        <v>191628.4693420266</v>
      </c>
      <c r="D7" s="1">
        <v>89.485571734545331</v>
      </c>
      <c r="G7" s="1">
        <v>10.55917704269266</v>
      </c>
      <c r="H7" s="1">
        <v>-197.44459899030491</v>
      </c>
      <c r="K7" s="1">
        <v>-93.081957639398738</v>
      </c>
      <c r="L7" s="1">
        <v>-313.47447731304362</v>
      </c>
      <c r="M7" s="1">
        <v>47.815687124486828</v>
      </c>
      <c r="N7" s="1">
        <v>0.54262572740302395</v>
      </c>
      <c r="O7" s="1">
        <v>-85.515232272449325</v>
      </c>
      <c r="P7" s="1">
        <v>-341.41194199635743</v>
      </c>
      <c r="Q7" s="1">
        <v>25.851529194366758</v>
      </c>
      <c r="R7" s="1">
        <v>-16.376302884811789</v>
      </c>
      <c r="U7" s="1">
        <v>-161.82810417266941</v>
      </c>
      <c r="V7" s="1">
        <v>-6129.8955463856191</v>
      </c>
      <c r="W7" s="3" t="s">
        <v>104</v>
      </c>
      <c r="X7" s="3">
        <v>100000</v>
      </c>
      <c r="Y7" s="4" t="s">
        <v>104</v>
      </c>
      <c r="Z7" s="4">
        <v>89</v>
      </c>
      <c r="AA7" t="s">
        <v>112</v>
      </c>
    </row>
    <row r="8" spans="1:27" x14ac:dyDescent="0.25">
      <c r="A8" s="2" t="s">
        <v>31</v>
      </c>
      <c r="B8" s="5" t="s">
        <v>111</v>
      </c>
      <c r="C8" s="1">
        <v>192893.4183521037</v>
      </c>
      <c r="D8" s="1">
        <v>91.616316637190593</v>
      </c>
      <c r="G8" s="1">
        <v>-6.0119695487628828</v>
      </c>
      <c r="H8" s="1">
        <v>-297.81967162391732</v>
      </c>
      <c r="K8" s="1">
        <v>-139.76971529208001</v>
      </c>
      <c r="L8" s="1">
        <v>-404.2769857574217</v>
      </c>
      <c r="M8" s="1">
        <v>45.565794366122368</v>
      </c>
      <c r="N8" s="1">
        <v>-8.0593540908760843</v>
      </c>
      <c r="O8" s="1">
        <v>-112.29340197212279</v>
      </c>
      <c r="P8" s="1">
        <v>-396.63642536715781</v>
      </c>
      <c r="Q8" s="1">
        <v>1.220020219898613</v>
      </c>
      <c r="R8" s="1">
        <v>-24.759436086738749</v>
      </c>
      <c r="U8" s="1">
        <v>-176.4263311255265</v>
      </c>
      <c r="V8" s="1">
        <v>-6366.6816628416509</v>
      </c>
      <c r="W8" s="3" t="s">
        <v>104</v>
      </c>
      <c r="X8" s="3">
        <v>105000</v>
      </c>
      <c r="Y8" s="4" t="s">
        <v>108</v>
      </c>
      <c r="Z8" s="4">
        <v>91.616316637190593</v>
      </c>
      <c r="AA8" t="s">
        <v>108</v>
      </c>
    </row>
    <row r="9" spans="1:27" x14ac:dyDescent="0.25">
      <c r="A9" s="2" t="s">
        <v>32</v>
      </c>
      <c r="B9" s="5" t="s">
        <v>111</v>
      </c>
      <c r="C9" s="1">
        <v>192893.4183521037</v>
      </c>
      <c r="D9" s="1">
        <v>91.616316637190593</v>
      </c>
      <c r="E9" s="1">
        <v>-114.6262964992889</v>
      </c>
      <c r="F9" s="1">
        <v>-477.40806377851959</v>
      </c>
      <c r="G9" s="1">
        <v>-6.0119695487628828</v>
      </c>
      <c r="H9" s="1">
        <v>-297.81967162391732</v>
      </c>
      <c r="K9" s="1">
        <v>-59.846304054384682</v>
      </c>
      <c r="L9" s="1">
        <v>-236.18465717161439</v>
      </c>
      <c r="M9" s="1">
        <v>37.478426671946274</v>
      </c>
      <c r="N9" s="1">
        <v>-46.262156042195912</v>
      </c>
      <c r="O9" s="1">
        <v>-74.967089537463821</v>
      </c>
      <c r="P9" s="1">
        <v>-309.3157351927124</v>
      </c>
      <c r="Q9" s="1">
        <v>37.695085362644932</v>
      </c>
      <c r="R9" s="1">
        <v>-4.164227589880289</v>
      </c>
      <c r="U9" s="1">
        <v>-194.1727251147264</v>
      </c>
      <c r="V9" s="1">
        <v>-6781.8384973018556</v>
      </c>
      <c r="W9" s="3" t="s">
        <v>105</v>
      </c>
      <c r="X9" s="3">
        <v>120182.0796453544</v>
      </c>
      <c r="Y9" s="4" t="s">
        <v>108</v>
      </c>
      <c r="Z9" s="4">
        <v>91.616316637190593</v>
      </c>
      <c r="AA9" t="s">
        <v>108</v>
      </c>
    </row>
    <row r="10" spans="1:27" x14ac:dyDescent="0.25">
      <c r="A10" s="2" t="s">
        <v>33</v>
      </c>
      <c r="B10" s="5" t="s">
        <v>111</v>
      </c>
      <c r="C10" s="1">
        <v>194158.3673621809</v>
      </c>
      <c r="D10" s="1">
        <v>93.74706153983584</v>
      </c>
      <c r="G10" s="1">
        <v>11.724597642354849</v>
      </c>
      <c r="H10" s="1">
        <v>-183.923565846271</v>
      </c>
      <c r="K10" s="1">
        <v>-138.20760664785431</v>
      </c>
      <c r="L10" s="1">
        <v>-392.81544659795321</v>
      </c>
      <c r="M10" s="1">
        <v>48.495652616680132</v>
      </c>
      <c r="N10" s="1">
        <v>9.3304914267835066</v>
      </c>
      <c r="O10" s="1">
        <v>-120.18108506369239</v>
      </c>
      <c r="P10" s="1">
        <v>-406.68254790915103</v>
      </c>
      <c r="Q10" s="1">
        <v>-4.0233714309111557</v>
      </c>
      <c r="R10" s="1">
        <v>-34.116203681300107</v>
      </c>
      <c r="U10" s="1">
        <v>-183.9147366258228</v>
      </c>
      <c r="V10" s="1">
        <v>-6433.4695803190443</v>
      </c>
      <c r="W10" s="3" t="s">
        <v>104</v>
      </c>
      <c r="X10" s="3">
        <v>100000</v>
      </c>
      <c r="Y10" s="4" t="s">
        <v>104</v>
      </c>
      <c r="Z10" s="4">
        <v>85</v>
      </c>
      <c r="AA10" t="s">
        <v>112</v>
      </c>
    </row>
    <row r="11" spans="1:27" x14ac:dyDescent="0.25">
      <c r="A11" s="2" t="s">
        <v>34</v>
      </c>
      <c r="B11" s="5" t="s">
        <v>111</v>
      </c>
      <c r="C11" s="1">
        <v>195423.31637225809</v>
      </c>
      <c r="D11" s="1">
        <v>95.877806442481031</v>
      </c>
      <c r="G11" s="1">
        <v>12.295992524497571</v>
      </c>
      <c r="H11" s="1">
        <v>-177.61377724017979</v>
      </c>
      <c r="K11" s="1">
        <v>-136.66572064460971</v>
      </c>
      <c r="L11" s="1">
        <v>-381.86333953850192</v>
      </c>
      <c r="M11" s="1">
        <v>48.829033374138447</v>
      </c>
      <c r="N11" s="1">
        <v>7.1735125131457416</v>
      </c>
      <c r="O11" s="1">
        <v>-118.7558823255581</v>
      </c>
      <c r="P11" s="1">
        <v>-395.42226467703119</v>
      </c>
      <c r="Q11" s="1">
        <v>23.944551548684242</v>
      </c>
      <c r="R11" s="1">
        <v>-32.460268661016748</v>
      </c>
      <c r="U11" s="1">
        <v>-161.54672268466911</v>
      </c>
      <c r="V11" s="1">
        <v>-5823.3181889232928</v>
      </c>
      <c r="W11" s="3" t="s">
        <v>104</v>
      </c>
      <c r="X11" s="3">
        <v>100000</v>
      </c>
      <c r="Y11" s="4" t="s">
        <v>104</v>
      </c>
      <c r="Z11" s="4">
        <v>89</v>
      </c>
      <c r="AA11" t="s">
        <v>112</v>
      </c>
    </row>
    <row r="12" spans="1:27" x14ac:dyDescent="0.25">
      <c r="A12" s="2" t="s">
        <v>35</v>
      </c>
      <c r="B12" s="5" t="s">
        <v>111</v>
      </c>
      <c r="C12" s="1">
        <v>196055.79087729659</v>
      </c>
      <c r="D12" s="1">
        <v>96.943178893803648</v>
      </c>
      <c r="E12" s="1">
        <v>-111.1643824176077</v>
      </c>
      <c r="F12" s="1">
        <v>-445.68047596158641</v>
      </c>
      <c r="G12" s="1">
        <v>21.273420958974821</v>
      </c>
      <c r="H12" s="1">
        <v>-149.49771037110051</v>
      </c>
      <c r="I12" s="1">
        <v>20.379806532877861</v>
      </c>
      <c r="J12" s="1">
        <v>100</v>
      </c>
      <c r="K12" s="1">
        <v>-62.30788112714162</v>
      </c>
      <c r="L12" s="1">
        <v>-228.0272048313507</v>
      </c>
      <c r="O12" s="1">
        <v>-90.506997181102633</v>
      </c>
      <c r="P12" s="1">
        <v>-328.08581762581929</v>
      </c>
      <c r="Q12" s="1">
        <v>-43.485718216513312</v>
      </c>
      <c r="R12" s="1">
        <v>-182.96988311111991</v>
      </c>
      <c r="S12" s="1">
        <v>-116.82603614909431</v>
      </c>
      <c r="T12" s="1">
        <v>-426.08136623895871</v>
      </c>
      <c r="U12" s="1">
        <v>-224.91125127337369</v>
      </c>
      <c r="V12" s="1">
        <v>-7201.0388445189992</v>
      </c>
      <c r="W12" s="3" t="s">
        <v>106</v>
      </c>
      <c r="X12" s="3">
        <v>154348.01716952201</v>
      </c>
      <c r="Y12" s="4" t="s">
        <v>108</v>
      </c>
      <c r="Z12" s="4">
        <v>96.943178893803648</v>
      </c>
      <c r="AA12" t="s">
        <v>108</v>
      </c>
    </row>
    <row r="13" spans="1:27" x14ac:dyDescent="0.25">
      <c r="A13" s="2" t="s">
        <v>36</v>
      </c>
      <c r="B13" s="5" t="s">
        <v>111</v>
      </c>
      <c r="C13" s="1">
        <v>199218.16340248959</v>
      </c>
      <c r="D13" s="1">
        <v>102.2700411504168</v>
      </c>
      <c r="E13" s="1">
        <v>-125.081585103297</v>
      </c>
      <c r="F13" s="1">
        <v>-460.2421721502015</v>
      </c>
      <c r="G13" s="1">
        <v>14.216706940394211</v>
      </c>
      <c r="H13" s="1">
        <v>-159.57713394341209</v>
      </c>
      <c r="I13" s="1">
        <v>25.207622911888588</v>
      </c>
      <c r="J13" s="1">
        <v>100</v>
      </c>
      <c r="K13" s="1">
        <v>-59.731419347089172</v>
      </c>
      <c r="L13" s="1">
        <v>-210.9414999963594</v>
      </c>
      <c r="O13" s="1">
        <v>-87.482904982614855</v>
      </c>
      <c r="P13" s="1">
        <v>-305.78843552984011</v>
      </c>
      <c r="Q13" s="1">
        <v>-41.208037882071409</v>
      </c>
      <c r="R13" s="1">
        <v>-168.2310449025199</v>
      </c>
      <c r="S13" s="1">
        <v>-113.3841577191689</v>
      </c>
      <c r="T13" s="1">
        <v>-398.67976414510468</v>
      </c>
      <c r="U13" s="1">
        <v>-223.35652097738549</v>
      </c>
      <c r="V13" s="1">
        <v>-6898.7360595864784</v>
      </c>
      <c r="W13" s="3" t="s">
        <v>107</v>
      </c>
      <c r="X13" s="3">
        <v>149000</v>
      </c>
      <c r="Y13" s="4" t="s">
        <v>108</v>
      </c>
      <c r="Z13" s="4">
        <v>102.2700411504168</v>
      </c>
      <c r="AA13" t="s">
        <v>108</v>
      </c>
    </row>
    <row r="14" spans="1:27" x14ac:dyDescent="0.25">
      <c r="A14" s="2" t="s">
        <v>37</v>
      </c>
      <c r="B14" s="5" t="s">
        <v>111</v>
      </c>
      <c r="C14" s="1">
        <v>201115.5869176054</v>
      </c>
      <c r="D14" s="1">
        <v>105.46615850438459</v>
      </c>
      <c r="E14" s="1">
        <v>-105.8517722793961</v>
      </c>
      <c r="F14" s="1">
        <v>-401.58269486795371</v>
      </c>
      <c r="G14" s="1">
        <v>32.031005639794209</v>
      </c>
      <c r="H14" s="1">
        <v>-99.501124042792014</v>
      </c>
      <c r="I14" s="1">
        <v>25.91325103954102</v>
      </c>
      <c r="J14" s="1">
        <v>100</v>
      </c>
      <c r="K14" s="1">
        <v>-127.8953148408996</v>
      </c>
      <c r="L14" s="1">
        <v>-334.26252221081819</v>
      </c>
      <c r="O14" s="1">
        <v>-85.714098904237787</v>
      </c>
      <c r="P14" s="1">
        <v>-293.49115003818679</v>
      </c>
      <c r="Q14" s="1">
        <v>-39.875811694597587</v>
      </c>
      <c r="R14" s="1">
        <v>-160.10239103247079</v>
      </c>
      <c r="S14" s="1">
        <v>-111.3709864636988</v>
      </c>
      <c r="T14" s="1">
        <v>-383.567437396326</v>
      </c>
      <c r="U14" s="1">
        <v>-240.62105022918331</v>
      </c>
      <c r="V14" s="1">
        <v>-7117.0809633041736</v>
      </c>
      <c r="W14" s="3" t="s">
        <v>106</v>
      </c>
      <c r="X14" s="3">
        <v>136696.24192952199</v>
      </c>
      <c r="Y14" s="4" t="s">
        <v>108</v>
      </c>
      <c r="Z14" s="4">
        <v>105.46615850438459</v>
      </c>
      <c r="AA14" t="s">
        <v>108</v>
      </c>
    </row>
    <row r="15" spans="1:27" x14ac:dyDescent="0.25">
      <c r="A15" s="2" t="s">
        <v>38</v>
      </c>
      <c r="B15" s="5" t="s">
        <v>111</v>
      </c>
      <c r="C15" s="1">
        <v>206807.8574629527</v>
      </c>
      <c r="D15" s="1">
        <v>115.0545105662882</v>
      </c>
      <c r="G15" s="1">
        <v>1.1207241186993691</v>
      </c>
      <c r="H15" s="1">
        <v>-216.77830639244121</v>
      </c>
      <c r="I15" s="1">
        <v>24.519308930047039</v>
      </c>
      <c r="J15" s="1">
        <v>65.233870620870476</v>
      </c>
      <c r="K15" s="1">
        <v>-78.910030082527825</v>
      </c>
      <c r="L15" s="1">
        <v>-221.5866967569481</v>
      </c>
      <c r="M15" s="1">
        <v>48.212799400435863</v>
      </c>
      <c r="N15" s="1">
        <v>-3.4292349029103351</v>
      </c>
      <c r="O15" s="1">
        <v>-124.1210782250045</v>
      </c>
      <c r="P15" s="1">
        <v>-347.61391575629273</v>
      </c>
      <c r="Q15" s="1">
        <v>29.48233136089652</v>
      </c>
      <c r="R15" s="1">
        <v>6.1749083380741938</v>
      </c>
      <c r="U15" s="1">
        <v>-265.68527937523351</v>
      </c>
      <c r="V15" s="1">
        <v>-7203.4549508659384</v>
      </c>
      <c r="W15" s="3" t="s">
        <v>104</v>
      </c>
      <c r="X15" s="3">
        <v>107100</v>
      </c>
      <c r="Y15" s="4" t="s">
        <v>107</v>
      </c>
      <c r="Z15" s="4">
        <v>40</v>
      </c>
      <c r="AA15" t="s">
        <v>108</v>
      </c>
    </row>
    <row r="16" spans="1:27" x14ac:dyDescent="0.25">
      <c r="A16" s="2" t="s">
        <v>39</v>
      </c>
      <c r="B16" s="5" t="s">
        <v>111</v>
      </c>
      <c r="C16" s="1">
        <v>208705.28097806839</v>
      </c>
      <c r="D16" s="1">
        <v>118.25062792025609</v>
      </c>
      <c r="E16" s="1">
        <v>-98.365847792564793</v>
      </c>
      <c r="F16" s="1">
        <v>-347.3549183660474</v>
      </c>
      <c r="G16" s="1">
        <v>34.502739322687979</v>
      </c>
      <c r="H16" s="1">
        <v>-77.932392750497954</v>
      </c>
      <c r="I16" s="1">
        <v>20.717866253998722</v>
      </c>
      <c r="J16" s="1">
        <v>-152.0071184746354</v>
      </c>
      <c r="K16" s="1">
        <v>-52.470506979379763</v>
      </c>
      <c r="L16" s="1">
        <v>-168.92034790246331</v>
      </c>
      <c r="O16" s="1">
        <v>-61.711288961330013</v>
      </c>
      <c r="P16" s="1">
        <v>-217.12305177177279</v>
      </c>
      <c r="Q16" s="1">
        <v>13.71304127935387</v>
      </c>
      <c r="R16" s="1">
        <v>-37.470728789385028</v>
      </c>
      <c r="S16" s="1">
        <v>-13.145196371343619</v>
      </c>
      <c r="T16" s="1">
        <v>-141.0135193465473</v>
      </c>
      <c r="U16" s="1">
        <v>-298.33904318918269</v>
      </c>
      <c r="V16" s="1">
        <v>-7711.6063403717671</v>
      </c>
      <c r="W16" s="3" t="s">
        <v>106</v>
      </c>
      <c r="X16" s="3">
        <v>136696.24192952199</v>
      </c>
      <c r="Y16" s="4" t="s">
        <v>108</v>
      </c>
      <c r="Z16" s="4">
        <v>118.25062792025609</v>
      </c>
      <c r="AA16" t="s">
        <v>108</v>
      </c>
    </row>
    <row r="17" spans="1:27" x14ac:dyDescent="0.25">
      <c r="A17" s="2" t="s">
        <v>40</v>
      </c>
      <c r="B17" s="5" t="s">
        <v>111</v>
      </c>
      <c r="C17" s="1">
        <v>210602.70449318411</v>
      </c>
      <c r="D17" s="1">
        <v>121.446745274224</v>
      </c>
      <c r="E17" s="1">
        <v>-112.91435980325311</v>
      </c>
      <c r="F17" s="1">
        <v>-371.77871972301079</v>
      </c>
      <c r="G17" s="1">
        <v>25.20733274576834</v>
      </c>
      <c r="H17" s="1">
        <v>-101.87449193999539</v>
      </c>
      <c r="K17" s="1">
        <v>-119.60781610711371</v>
      </c>
      <c r="L17" s="1">
        <v>-280.4136528787285</v>
      </c>
      <c r="M17" s="1">
        <v>42.735778113474773</v>
      </c>
      <c r="N17" s="1">
        <v>-10.336427458332521</v>
      </c>
      <c r="O17" s="1">
        <v>-94.44194745051476</v>
      </c>
      <c r="P17" s="1">
        <v>-274.64980965329329</v>
      </c>
      <c r="Q17" s="1">
        <v>-25.951753460952879</v>
      </c>
      <c r="R17" s="1">
        <v>-100.789818985586</v>
      </c>
      <c r="U17" s="1">
        <v>-252.80408251233069</v>
      </c>
      <c r="V17" s="1">
        <v>-6697.8121023391113</v>
      </c>
      <c r="W17" s="3" t="s">
        <v>104</v>
      </c>
      <c r="X17" s="3">
        <v>120600</v>
      </c>
      <c r="Y17" s="4" t="s">
        <v>108</v>
      </c>
      <c r="Z17" s="4">
        <v>121.446745274224</v>
      </c>
      <c r="AA17" t="s">
        <v>108</v>
      </c>
    </row>
    <row r="18" spans="1:27" x14ac:dyDescent="0.25">
      <c r="A18" s="2" t="s">
        <v>41</v>
      </c>
      <c r="B18" s="5"/>
      <c r="C18" s="1">
        <v>211867.6535032613</v>
      </c>
      <c r="D18" s="1">
        <v>123.5774901768692</v>
      </c>
      <c r="G18" s="1">
        <v>16.611727701161101</v>
      </c>
      <c r="H18" s="1">
        <v>-127.7733525961233</v>
      </c>
      <c r="K18" s="1">
        <v>-118.2966547051888</v>
      </c>
      <c r="L18" s="1">
        <v>-273.85449351557997</v>
      </c>
      <c r="M18" s="1">
        <v>45.720831803034152</v>
      </c>
      <c r="N18" s="1">
        <v>24.743575980630009</v>
      </c>
      <c r="O18" s="1">
        <v>-101.77690786263391</v>
      </c>
      <c r="P18" s="1">
        <v>-284.37420870108332</v>
      </c>
      <c r="Q18" s="1">
        <v>30.033501011482791</v>
      </c>
      <c r="R18" s="1">
        <v>14.701294022776439</v>
      </c>
      <c r="U18" s="1">
        <v>-13.553440251619181</v>
      </c>
      <c r="V18" s="1">
        <v>-2063.1322535538088</v>
      </c>
      <c r="W18" s="3" t="s">
        <v>104</v>
      </c>
      <c r="X18" s="3">
        <v>115000</v>
      </c>
      <c r="Y18" s="4" t="s">
        <v>104</v>
      </c>
      <c r="Z18" s="4">
        <v>93</v>
      </c>
      <c r="AA18" t="s">
        <v>112</v>
      </c>
    </row>
    <row r="19" spans="1:27" x14ac:dyDescent="0.25">
      <c r="A19" s="2" t="s">
        <v>42</v>
      </c>
      <c r="B19" s="5"/>
      <c r="C19" s="1">
        <v>213132.60251333861</v>
      </c>
      <c r="D19" s="1">
        <v>125.7082350795144</v>
      </c>
      <c r="G19" s="1">
        <v>4.054982900984224</v>
      </c>
      <c r="H19" s="1">
        <v>-189.93146691580131</v>
      </c>
      <c r="K19" s="1">
        <v>-44.66721485311168</v>
      </c>
      <c r="L19" s="1">
        <v>-145.01179242965301</v>
      </c>
      <c r="M19" s="1">
        <v>49.749593099771147</v>
      </c>
      <c r="N19" s="1">
        <v>5.3363529249068096</v>
      </c>
      <c r="O19" s="1">
        <v>-117.4702483497299</v>
      </c>
      <c r="P19" s="1">
        <v>-309.67880877036129</v>
      </c>
      <c r="Q19" s="1">
        <v>31.57495478138895</v>
      </c>
      <c r="R19" s="1">
        <v>14.126548724736891</v>
      </c>
      <c r="U19" s="1">
        <v>-20.651038978065429</v>
      </c>
      <c r="V19" s="1">
        <v>-2172.8706248567478</v>
      </c>
      <c r="W19" s="3" t="s">
        <v>104</v>
      </c>
      <c r="X19" s="3">
        <v>107100</v>
      </c>
      <c r="Y19" s="4" t="s">
        <v>105</v>
      </c>
      <c r="Z19" s="4">
        <v>107.95</v>
      </c>
      <c r="AA19" t="s">
        <v>108</v>
      </c>
    </row>
    <row r="20" spans="1:27" x14ac:dyDescent="0.25">
      <c r="A20" s="2" t="s">
        <v>43</v>
      </c>
      <c r="B20" s="5" t="s">
        <v>111</v>
      </c>
      <c r="C20" s="1">
        <v>222623.07048010599</v>
      </c>
      <c r="D20" s="1">
        <v>141.69446541987719</v>
      </c>
      <c r="G20" s="1">
        <v>33.14655953286664</v>
      </c>
      <c r="H20" s="1">
        <v>-63.296943896399497</v>
      </c>
      <c r="K20" s="1">
        <v>-105.87848285964481</v>
      </c>
      <c r="L20" s="1">
        <v>-223.2306912220094</v>
      </c>
      <c r="O20" s="1">
        <v>-124.37027704396721</v>
      </c>
      <c r="P20" s="1">
        <v>-291.68784634981489</v>
      </c>
      <c r="Q20" s="1">
        <v>-25.665216751466751</v>
      </c>
      <c r="R20" s="1">
        <v>-113.4169454706018</v>
      </c>
      <c r="S20" s="1">
        <v>-156.08307295848991</v>
      </c>
      <c r="T20" s="1">
        <v>-457.53765516460129</v>
      </c>
      <c r="U20" s="1">
        <v>-24.93196358020197</v>
      </c>
      <c r="V20" s="1">
        <v>-2080.9632006379229</v>
      </c>
      <c r="W20" s="3" t="s">
        <v>106</v>
      </c>
      <c r="X20" s="3">
        <v>148831.18188952201</v>
      </c>
      <c r="Y20" s="4" t="s">
        <v>108</v>
      </c>
      <c r="Z20" s="4">
        <v>141.69446541987719</v>
      </c>
      <c r="AA20" t="s">
        <v>108</v>
      </c>
    </row>
    <row r="21" spans="1:27" x14ac:dyDescent="0.25">
      <c r="A21" s="2" t="s">
        <v>44</v>
      </c>
      <c r="B21" s="5" t="s">
        <v>111</v>
      </c>
      <c r="C21" s="1">
        <v>223798.64633575731</v>
      </c>
      <c r="D21" s="1">
        <v>143.67466560355811</v>
      </c>
      <c r="G21" s="1">
        <v>38.91998715468484</v>
      </c>
      <c r="H21" s="1">
        <v>-46.446258160484831</v>
      </c>
      <c r="K21" s="1">
        <v>-104.79703854525511</v>
      </c>
      <c r="L21" s="1">
        <v>-218.7757549850582</v>
      </c>
      <c r="O21" s="1">
        <v>-107.1058103294455</v>
      </c>
      <c r="P21" s="1">
        <v>-258.44872012512002</v>
      </c>
      <c r="Q21" s="1">
        <v>-25.005118948700861</v>
      </c>
      <c r="R21" s="1">
        <v>-110.4755203220122</v>
      </c>
      <c r="S21" s="1">
        <v>-154.7379125540817</v>
      </c>
      <c r="T21" s="1">
        <v>-449.8533765026113</v>
      </c>
      <c r="U21" s="1">
        <v>-41.545084619540283</v>
      </c>
      <c r="V21" s="1">
        <v>-2349.793868224589</v>
      </c>
      <c r="W21" s="3" t="s">
        <v>106</v>
      </c>
      <c r="X21" s="3">
        <v>136696.24192952199</v>
      </c>
      <c r="Y21" s="4" t="s">
        <v>108</v>
      </c>
      <c r="Z21" s="4">
        <v>143.67466560355811</v>
      </c>
      <c r="AA21" t="s">
        <v>108</v>
      </c>
    </row>
    <row r="22" spans="1:27" x14ac:dyDescent="0.25">
      <c r="A22" s="2" t="s">
        <v>45</v>
      </c>
      <c r="B22" s="5" t="s">
        <v>111</v>
      </c>
      <c r="C22" s="1">
        <v>237907.0260733921</v>
      </c>
      <c r="D22" s="1">
        <v>167.43954305795839</v>
      </c>
      <c r="E22" s="1">
        <v>-88.47841839764402</v>
      </c>
      <c r="F22" s="1">
        <v>-242.1891206437852</v>
      </c>
      <c r="G22" s="1">
        <v>14.045745779312821</v>
      </c>
      <c r="H22" s="1">
        <v>-117.7144020715682</v>
      </c>
      <c r="K22" s="1">
        <v>-94.403674256061294</v>
      </c>
      <c r="L22" s="1">
        <v>-175.92048542564461</v>
      </c>
      <c r="M22" s="1">
        <v>31.527873435000249</v>
      </c>
      <c r="N22" s="1">
        <v>-8.0987183161075187</v>
      </c>
      <c r="O22" s="1">
        <v>-49.4281215092536</v>
      </c>
      <c r="P22" s="1">
        <v>-135.90604273404679</v>
      </c>
      <c r="Q22" s="1">
        <v>22.731639044302302</v>
      </c>
      <c r="R22" s="1">
        <v>13.457121684905029</v>
      </c>
      <c r="U22" s="1">
        <v>-22.011562299882019</v>
      </c>
      <c r="V22" s="1">
        <v>-1826.2281114991681</v>
      </c>
      <c r="W22" s="3" t="s">
        <v>104</v>
      </c>
      <c r="X22" s="3">
        <v>162900</v>
      </c>
      <c r="Y22" s="4" t="s">
        <v>105</v>
      </c>
      <c r="Z22" s="4">
        <v>144.90700000000001</v>
      </c>
      <c r="AA22" t="s">
        <v>108</v>
      </c>
    </row>
    <row r="23" spans="1:27" x14ac:dyDescent="0.25">
      <c r="A23" s="2" t="s">
        <v>46</v>
      </c>
      <c r="B23" s="5" t="s">
        <v>111</v>
      </c>
      <c r="C23" s="1">
        <v>237907.0260733921</v>
      </c>
      <c r="D23" s="1">
        <v>167.43954305795839</v>
      </c>
      <c r="E23" s="1">
        <v>-88.47841839764402</v>
      </c>
      <c r="F23" s="1">
        <v>-242.1891206437852</v>
      </c>
      <c r="G23" s="1">
        <v>14.04620733566872</v>
      </c>
      <c r="H23" s="1">
        <v>-117.67124022420511</v>
      </c>
      <c r="K23" s="1">
        <v>-94.403674256061294</v>
      </c>
      <c r="L23" s="1">
        <v>-175.92048542564461</v>
      </c>
      <c r="M23" s="1">
        <v>31.527873435000249</v>
      </c>
      <c r="N23" s="1">
        <v>-8.0987183161075187</v>
      </c>
      <c r="O23" s="1">
        <v>-49.4281215092536</v>
      </c>
      <c r="P23" s="1">
        <v>-135.90604273404679</v>
      </c>
      <c r="Q23" s="1">
        <v>13.43935711178796</v>
      </c>
      <c r="R23" s="1">
        <v>-4.8450663408902663</v>
      </c>
      <c r="U23" s="1">
        <v>-5.7663043779586518</v>
      </c>
      <c r="V23" s="1">
        <v>-1569.7600202960309</v>
      </c>
      <c r="W23" s="3" t="s">
        <v>104</v>
      </c>
      <c r="X23" s="3">
        <v>162900</v>
      </c>
      <c r="Y23" s="4" t="s">
        <v>108</v>
      </c>
      <c r="Z23" s="4">
        <v>167.43954305795839</v>
      </c>
      <c r="AA23" t="s">
        <v>108</v>
      </c>
    </row>
    <row r="24" spans="1:27" x14ac:dyDescent="0.25">
      <c r="A24" s="2" t="s">
        <v>47</v>
      </c>
      <c r="B24" s="5" t="s">
        <v>111</v>
      </c>
      <c r="C24" s="1">
        <v>237907.0260733921</v>
      </c>
      <c r="D24" s="1">
        <v>167.43954305795839</v>
      </c>
      <c r="E24" s="1">
        <v>-88.47841839764402</v>
      </c>
      <c r="F24" s="1">
        <v>-242.1891206437852</v>
      </c>
      <c r="K24" s="1">
        <v>-94.403674256061294</v>
      </c>
      <c r="L24" s="1">
        <v>-175.92048542564461</v>
      </c>
      <c r="M24" s="1">
        <v>31.527873435000249</v>
      </c>
      <c r="N24" s="1">
        <v>-8.0987183161075187</v>
      </c>
      <c r="O24" s="1">
        <v>-72.126064016988323</v>
      </c>
      <c r="P24" s="1">
        <v>-171.73987201010451</v>
      </c>
      <c r="Q24" s="1">
        <v>-11.496412494990739</v>
      </c>
      <c r="R24" s="1">
        <v>-45.636267005095434</v>
      </c>
      <c r="U24" s="1">
        <v>-14.353083565261</v>
      </c>
      <c r="V24" s="1">
        <v>-1705.321725646261</v>
      </c>
      <c r="W24" s="3" t="s">
        <v>104</v>
      </c>
      <c r="X24" s="3">
        <v>162900</v>
      </c>
      <c r="Y24" s="4" t="s">
        <v>108</v>
      </c>
      <c r="Z24" s="4">
        <v>167.43954305795839</v>
      </c>
      <c r="AA24" t="s">
        <v>108</v>
      </c>
    </row>
    <row r="25" spans="1:27" x14ac:dyDescent="0.25">
      <c r="A25" s="2" t="s">
        <v>48</v>
      </c>
      <c r="B25" s="5" t="s">
        <v>111</v>
      </c>
      <c r="C25" s="1">
        <v>240111.27488683301</v>
      </c>
      <c r="D25" s="1">
        <v>171.15249265986699</v>
      </c>
      <c r="E25" s="1">
        <v>-86.748165079435495</v>
      </c>
      <c r="F25" s="1">
        <v>-234.76573498619661</v>
      </c>
      <c r="G25" s="1">
        <v>-31.686769159755599</v>
      </c>
      <c r="H25" s="1">
        <v>-215.2887928675402</v>
      </c>
      <c r="K25" s="1">
        <v>-228.7363329239833</v>
      </c>
      <c r="L25" s="1">
        <v>-360.9924095981396</v>
      </c>
      <c r="O25" s="1">
        <v>-63.049402900600207</v>
      </c>
      <c r="P25" s="1">
        <v>-154.1593132765409</v>
      </c>
      <c r="Q25" s="1">
        <v>-2.4206421632057169</v>
      </c>
      <c r="R25" s="1">
        <v>-38.017271223412592</v>
      </c>
      <c r="S25" s="1">
        <v>-30.477004941836629</v>
      </c>
      <c r="T25" s="1">
        <v>-136.63108477471039</v>
      </c>
      <c r="U25" s="1">
        <v>-18.13214663368889</v>
      </c>
      <c r="V25" s="1">
        <v>-1741.428716093229</v>
      </c>
      <c r="W25" s="3" t="s">
        <v>108</v>
      </c>
      <c r="X25" s="3">
        <v>240111.27488683301</v>
      </c>
      <c r="Y25" s="4" t="s">
        <v>108</v>
      </c>
      <c r="Z25" s="4">
        <v>171.15249265986699</v>
      </c>
      <c r="AA25" t="s">
        <v>108</v>
      </c>
    </row>
    <row r="26" spans="1:27" x14ac:dyDescent="0.25">
      <c r="A26" s="2" t="s">
        <v>49</v>
      </c>
      <c r="B26" s="5" t="s">
        <v>111</v>
      </c>
      <c r="C26" s="1">
        <v>241580.77409579349</v>
      </c>
      <c r="D26" s="1">
        <v>173.62779239447269</v>
      </c>
      <c r="G26" s="1">
        <v>37.215485972465459</v>
      </c>
      <c r="H26" s="1">
        <v>-80.858683001372128</v>
      </c>
      <c r="I26" s="1">
        <v>15.75488539526798</v>
      </c>
      <c r="J26" s="1">
        <v>-67.023951638534925</v>
      </c>
      <c r="K26" s="1">
        <v>-89.722465173597868</v>
      </c>
      <c r="L26" s="1">
        <v>-163.78265465672069</v>
      </c>
      <c r="O26" s="1">
        <v>-32.253901907487617</v>
      </c>
      <c r="P26" s="1">
        <v>-104.4603545919997</v>
      </c>
      <c r="Q26" s="1">
        <v>14.3987842495471</v>
      </c>
      <c r="R26" s="1">
        <v>-26.227322978214179</v>
      </c>
      <c r="S26" s="1">
        <v>-31.1031480818137</v>
      </c>
      <c r="T26" s="1">
        <v>-153.41565076191509</v>
      </c>
      <c r="W26" s="3" t="s">
        <v>106</v>
      </c>
      <c r="X26" s="3">
        <v>151675.315</v>
      </c>
      <c r="Y26" s="4" t="s">
        <v>108</v>
      </c>
      <c r="Z26" s="4">
        <v>173.62779239447269</v>
      </c>
      <c r="AA26" t="s">
        <v>108</v>
      </c>
    </row>
    <row r="27" spans="1:27" x14ac:dyDescent="0.25">
      <c r="A27" s="2" t="s">
        <v>50</v>
      </c>
      <c r="B27" s="5" t="s">
        <v>111</v>
      </c>
      <c r="C27" s="1">
        <v>247091.39612939529</v>
      </c>
      <c r="D27" s="1">
        <v>182.91016639924419</v>
      </c>
      <c r="G27" s="1">
        <v>12.32821158752254</v>
      </c>
      <c r="H27" s="1">
        <v>-134.81345871859361</v>
      </c>
      <c r="K27" s="1">
        <v>-219.4498118366885</v>
      </c>
      <c r="L27" s="1">
        <v>-331.35929266928952</v>
      </c>
      <c r="O27" s="1">
        <v>-58.443396303035023</v>
      </c>
      <c r="P27" s="1">
        <v>-137.82166325873379</v>
      </c>
      <c r="Q27" s="1">
        <v>0.47265364247216279</v>
      </c>
      <c r="R27" s="1">
        <v>-29.14536389650134</v>
      </c>
      <c r="S27" s="1">
        <v>-63.202768820336921</v>
      </c>
      <c r="T27" s="1">
        <v>-214.36196867533769</v>
      </c>
      <c r="W27" s="3" t="s">
        <v>106</v>
      </c>
      <c r="X27" s="3">
        <v>216629.446</v>
      </c>
      <c r="Y27" s="4" t="s">
        <v>108</v>
      </c>
      <c r="Z27" s="4">
        <v>182.91016639924419</v>
      </c>
      <c r="AA27" t="s">
        <v>108</v>
      </c>
    </row>
    <row r="28" spans="1:27" x14ac:dyDescent="0.25">
      <c r="A28" s="2" t="s">
        <v>51</v>
      </c>
      <c r="B28" s="5" t="s">
        <v>111</v>
      </c>
      <c r="C28" s="1">
        <v>248928.27014059591</v>
      </c>
      <c r="D28" s="1">
        <v>186.0042910675013</v>
      </c>
      <c r="G28" s="1">
        <v>39.068666281120649</v>
      </c>
      <c r="H28" s="1">
        <v>-68.824566813375924</v>
      </c>
      <c r="K28" s="1">
        <v>-84.122518403044864</v>
      </c>
      <c r="L28" s="1">
        <v>-146.230878530534</v>
      </c>
      <c r="O28" s="1">
        <v>-86.198216754655007</v>
      </c>
      <c r="P28" s="1">
        <v>-176.87533284546939</v>
      </c>
      <c r="Q28" s="1">
        <v>-13.277643992018531</v>
      </c>
      <c r="R28" s="1">
        <v>-63.867187284075897</v>
      </c>
      <c r="S28" s="1">
        <v>-129.02179799747319</v>
      </c>
      <c r="T28" s="1">
        <v>-324.7213843648949</v>
      </c>
      <c r="W28" s="3" t="s">
        <v>106</v>
      </c>
      <c r="X28" s="3">
        <v>151675.315</v>
      </c>
      <c r="Y28" s="4" t="s">
        <v>108</v>
      </c>
      <c r="Z28" s="4">
        <v>186.0042910675013</v>
      </c>
      <c r="AA28" t="s">
        <v>108</v>
      </c>
    </row>
    <row r="29" spans="1:27" x14ac:dyDescent="0.25">
      <c r="A29" s="2" t="s">
        <v>52</v>
      </c>
      <c r="B29" s="5" t="s">
        <v>111</v>
      </c>
      <c r="C29" s="1">
        <v>248928.27014059591</v>
      </c>
      <c r="D29" s="1">
        <v>186.0042910675013</v>
      </c>
      <c r="G29" s="1">
        <v>21.6735888187327</v>
      </c>
      <c r="H29" s="1">
        <v>-68.824566813375924</v>
      </c>
      <c r="I29" s="1">
        <v>13.5574276563826</v>
      </c>
      <c r="J29" s="1">
        <v>-65.049955696231294</v>
      </c>
      <c r="K29" s="1">
        <v>-84.122518403044864</v>
      </c>
      <c r="L29" s="1">
        <v>-146.230878530534</v>
      </c>
      <c r="O29" s="1">
        <v>-64.505220627899078</v>
      </c>
      <c r="P29" s="1">
        <v>-144.6180125139584</v>
      </c>
      <c r="Q29" s="1">
        <v>-13.277643992018531</v>
      </c>
      <c r="R29" s="1">
        <v>-63.867187284075897</v>
      </c>
      <c r="S29" s="1">
        <v>-183.7443893379675</v>
      </c>
      <c r="T29" s="1">
        <v>-324.7213843648949</v>
      </c>
      <c r="W29" s="3" t="s">
        <v>106</v>
      </c>
      <c r="X29" s="3">
        <v>194976.58041673899</v>
      </c>
      <c r="Y29" s="4" t="s">
        <v>108</v>
      </c>
      <c r="Z29" s="4">
        <v>186.0042910675013</v>
      </c>
      <c r="AA29" t="s">
        <v>108</v>
      </c>
    </row>
    <row r="30" spans="1:27" x14ac:dyDescent="0.25">
      <c r="A30" s="2" t="s">
        <v>53</v>
      </c>
      <c r="B30" s="5" t="s">
        <v>111</v>
      </c>
      <c r="C30" s="1">
        <v>250397.7693495565</v>
      </c>
      <c r="D30" s="1">
        <v>188.47959080210711</v>
      </c>
      <c r="E30" s="1">
        <v>-96.750954004004839</v>
      </c>
      <c r="F30" s="1">
        <v>-233.99372171862871</v>
      </c>
      <c r="G30" s="1">
        <v>-30.1312471139141</v>
      </c>
      <c r="H30" s="1">
        <v>-190.71401717191881</v>
      </c>
      <c r="K30" s="1">
        <v>-84.70611826990671</v>
      </c>
      <c r="L30" s="1">
        <v>-145.11937766517849</v>
      </c>
      <c r="M30" s="1">
        <v>21.285241273516512</v>
      </c>
      <c r="N30" s="1">
        <v>-16.19295175037681</v>
      </c>
      <c r="O30" s="1">
        <v>-77.916920409175006</v>
      </c>
      <c r="P30" s="1">
        <v>-162.6279046412626</v>
      </c>
      <c r="Q30" s="1">
        <v>-30.37896523335489</v>
      </c>
      <c r="R30" s="1">
        <v>-66.674385626100346</v>
      </c>
      <c r="W30" s="3" t="s">
        <v>104</v>
      </c>
      <c r="X30" s="3">
        <v>197100</v>
      </c>
      <c r="Y30" s="4" t="s">
        <v>108</v>
      </c>
      <c r="Z30" s="4">
        <v>188.47959080210711</v>
      </c>
      <c r="AA30" t="s">
        <v>108</v>
      </c>
    </row>
    <row r="31" spans="1:27" x14ac:dyDescent="0.25">
      <c r="A31" s="2" t="s">
        <v>54</v>
      </c>
      <c r="B31" s="5" t="s">
        <v>111</v>
      </c>
      <c r="C31" s="1">
        <v>252602.01816299729</v>
      </c>
      <c r="D31" s="1">
        <v>192.19254040401569</v>
      </c>
      <c r="E31" s="1">
        <v>-95.034071217158598</v>
      </c>
      <c r="F31" s="1">
        <v>-227.54132843901311</v>
      </c>
      <c r="G31" s="1">
        <v>27.097818996374212</v>
      </c>
      <c r="H31" s="1">
        <v>-123.4726109385596</v>
      </c>
      <c r="K31" s="1">
        <v>-212.48087633673009</v>
      </c>
      <c r="L31" s="1">
        <v>-310.52581871357302</v>
      </c>
      <c r="O31" s="1">
        <v>-40.735217630211267</v>
      </c>
      <c r="P31" s="1">
        <v>-105.523065135439</v>
      </c>
      <c r="Q31" s="1">
        <v>1.1107184980268039</v>
      </c>
      <c r="R31" s="1">
        <v>-24.84355505973981</v>
      </c>
      <c r="S31" s="1">
        <v>-24.025137359687449</v>
      </c>
      <c r="T31" s="1">
        <v>-110.7261807084881</v>
      </c>
      <c r="W31" s="3" t="s">
        <v>106</v>
      </c>
      <c r="X31" s="3">
        <v>184152.3805</v>
      </c>
      <c r="Y31" s="4" t="s">
        <v>108</v>
      </c>
      <c r="Z31" s="4">
        <v>192.19254040401569</v>
      </c>
      <c r="AA31" t="s">
        <v>108</v>
      </c>
    </row>
    <row r="32" spans="1:27" x14ac:dyDescent="0.25">
      <c r="A32" s="2" t="s">
        <v>55</v>
      </c>
      <c r="B32" s="5" t="s">
        <v>111</v>
      </c>
      <c r="C32" s="1">
        <v>255541.01658091819</v>
      </c>
      <c r="D32" s="1">
        <v>197.14313987322711</v>
      </c>
      <c r="G32" s="1">
        <v>10.990753052758819</v>
      </c>
      <c r="H32" s="1">
        <v>-117.86083367962399</v>
      </c>
      <c r="K32" s="1">
        <v>-208.8870078710257</v>
      </c>
      <c r="L32" s="1">
        <v>-300.21681733757828</v>
      </c>
      <c r="O32" s="1">
        <v>-53.204368221658747</v>
      </c>
      <c r="P32" s="1">
        <v>-120.6518574674861</v>
      </c>
      <c r="Q32" s="1">
        <v>-18.483441013266749</v>
      </c>
      <c r="R32" s="1">
        <v>-51.387464048669507</v>
      </c>
      <c r="S32" s="1">
        <v>-76.752447040913708</v>
      </c>
      <c r="T32" s="1">
        <v>-158.69528116877689</v>
      </c>
      <c r="W32" s="3" t="s">
        <v>106</v>
      </c>
      <c r="X32" s="3">
        <v>227455.13449999999</v>
      </c>
      <c r="Y32" s="4" t="s">
        <v>108</v>
      </c>
      <c r="Z32" s="4">
        <v>197.14313987322711</v>
      </c>
      <c r="AA32" t="s">
        <v>108</v>
      </c>
    </row>
    <row r="33" spans="1:27" x14ac:dyDescent="0.25">
      <c r="A33" s="2" t="s">
        <v>56</v>
      </c>
      <c r="B33" s="5"/>
      <c r="C33" s="1">
        <v>259949.51420779969</v>
      </c>
      <c r="D33" s="1">
        <v>204.56903907704421</v>
      </c>
      <c r="G33" s="1">
        <v>24.993870600528432</v>
      </c>
      <c r="H33" s="1">
        <v>-109.9524395322812</v>
      </c>
      <c r="K33" s="1">
        <v>-259.77485968771191</v>
      </c>
      <c r="L33" s="1">
        <v>-357.05841129158512</v>
      </c>
      <c r="M33" s="1">
        <v>39.411312046501124</v>
      </c>
      <c r="N33" s="1">
        <v>14.45430804702953</v>
      </c>
      <c r="O33" s="1">
        <v>-78.303853120296694</v>
      </c>
      <c r="P33" s="1">
        <v>-151.74875060445589</v>
      </c>
      <c r="Q33" s="1">
        <v>-46.017380249206482</v>
      </c>
      <c r="R33" s="1">
        <v>-44.284824982160153</v>
      </c>
      <c r="W33" s="3" t="s">
        <v>104</v>
      </c>
      <c r="X33" s="3">
        <v>157500</v>
      </c>
      <c r="Y33" s="4" t="s">
        <v>104</v>
      </c>
      <c r="Z33" s="4">
        <v>175</v>
      </c>
      <c r="AA33" t="s">
        <v>112</v>
      </c>
    </row>
    <row r="34" spans="1:27" x14ac:dyDescent="0.25">
      <c r="A34" s="2" t="s">
        <v>57</v>
      </c>
      <c r="B34" s="5" t="s">
        <v>111</v>
      </c>
      <c r="C34" s="1">
        <v>274644.50629740459</v>
      </c>
      <c r="D34" s="1">
        <v>229.32203642310139</v>
      </c>
      <c r="E34" s="1">
        <v>-79.380977483129641</v>
      </c>
      <c r="F34" s="1">
        <v>-174.50916179662201</v>
      </c>
      <c r="G34" s="1">
        <v>12.023904917160429</v>
      </c>
      <c r="H34" s="1">
        <v>-138.93760866445979</v>
      </c>
      <c r="K34" s="1">
        <v>-240.5249253328457</v>
      </c>
      <c r="L34" s="1">
        <v>-307.7235727468057</v>
      </c>
      <c r="O34" s="1">
        <v>-62.209689174550917</v>
      </c>
      <c r="P34" s="1">
        <v>-115.8536561600736</v>
      </c>
      <c r="Q34" s="1">
        <v>-8.5059746824628668</v>
      </c>
      <c r="R34" s="1">
        <v>-28.094972721255811</v>
      </c>
      <c r="S34" s="1">
        <v>-46.829807534297203</v>
      </c>
      <c r="T34" s="1">
        <v>-150.73909553947951</v>
      </c>
      <c r="W34" s="3" t="s">
        <v>106</v>
      </c>
      <c r="X34" s="3">
        <v>241621.51199999999</v>
      </c>
      <c r="Y34" s="4" t="s">
        <v>108</v>
      </c>
      <c r="Z34" s="4">
        <v>229.32203642310139</v>
      </c>
      <c r="AA34" t="s">
        <v>108</v>
      </c>
    </row>
    <row r="35" spans="1:27" x14ac:dyDescent="0.25">
      <c r="A35" s="2" t="s">
        <v>58</v>
      </c>
      <c r="B35" s="5" t="s">
        <v>111</v>
      </c>
      <c r="C35" s="1">
        <v>280155.12833100639</v>
      </c>
      <c r="D35" s="1">
        <v>238.60441042787289</v>
      </c>
      <c r="E35" s="1">
        <v>-75.852572442620669</v>
      </c>
      <c r="F35" s="1">
        <v>-163.8299932809887</v>
      </c>
      <c r="G35" s="1">
        <v>-1.4058185164971271</v>
      </c>
      <c r="H35" s="1">
        <v>-129.6422723232244</v>
      </c>
      <c r="K35" s="1">
        <v>-75.96750876447858</v>
      </c>
      <c r="L35" s="1">
        <v>-106.6181421860295</v>
      </c>
      <c r="O35" s="1">
        <v>-59.019041576721278</v>
      </c>
      <c r="P35" s="1">
        <v>-107.4563496594009</v>
      </c>
      <c r="Q35" s="1">
        <v>-6.3716735242982683</v>
      </c>
      <c r="R35" s="1">
        <v>-23.111722651412119</v>
      </c>
      <c r="S35" s="1">
        <v>-43.941680597595109</v>
      </c>
      <c r="T35" s="1">
        <v>-140.98464859425351</v>
      </c>
      <c r="W35" s="3" t="s">
        <v>108</v>
      </c>
      <c r="X35" s="3">
        <v>280155.12833100639</v>
      </c>
      <c r="Y35" s="4" t="s">
        <v>108</v>
      </c>
      <c r="Z35" s="4">
        <v>238.60441042787289</v>
      </c>
      <c r="AA35" t="s">
        <v>108</v>
      </c>
    </row>
    <row r="36" spans="1:27" x14ac:dyDescent="0.25">
      <c r="A36" s="2" t="s">
        <v>59</v>
      </c>
      <c r="B36" s="5"/>
      <c r="C36" s="1">
        <v>901105.14931776666</v>
      </c>
      <c r="D36" s="1">
        <v>1058.2083957661209</v>
      </c>
      <c r="K36" s="1">
        <v>45.291401300587367</v>
      </c>
      <c r="L36" s="1">
        <v>53.411823042371708</v>
      </c>
      <c r="M36" s="1">
        <v>46.865246485107427</v>
      </c>
      <c r="N36" s="1">
        <v>49.726348597447767</v>
      </c>
      <c r="O36" s="1">
        <v>22.595048920974161</v>
      </c>
      <c r="P36" s="1">
        <v>26.763007825229369</v>
      </c>
      <c r="Q36" s="1">
        <v>100</v>
      </c>
      <c r="R36" s="1">
        <v>100</v>
      </c>
      <c r="W36" s="3" t="s">
        <v>104</v>
      </c>
      <c r="X36" s="3">
        <v>478800</v>
      </c>
      <c r="Y36" s="4" t="s">
        <v>109</v>
      </c>
      <c r="Z36" s="4">
        <v>493</v>
      </c>
      <c r="AA36" t="s">
        <v>108</v>
      </c>
    </row>
    <row r="37" spans="1:27" x14ac:dyDescent="0.25">
      <c r="A37" s="2" t="s">
        <v>60</v>
      </c>
      <c r="B37" s="5"/>
      <c r="C37" s="1">
        <v>402554.1274616181</v>
      </c>
      <c r="D37" s="1">
        <v>472.7374577236709</v>
      </c>
      <c r="G37" s="1">
        <v>32.415214842702049</v>
      </c>
      <c r="H37" s="1">
        <v>4.7094236536433884</v>
      </c>
      <c r="K37" s="1">
        <v>-22.463531328964901</v>
      </c>
      <c r="L37" s="1">
        <v>-4.286214672705956</v>
      </c>
      <c r="M37" s="1">
        <v>2.9695702133268731</v>
      </c>
      <c r="N37" s="1">
        <v>8.1942856633785297</v>
      </c>
      <c r="O37" s="1">
        <v>-28.554140846398731</v>
      </c>
      <c r="P37" s="1">
        <v>-21.631994800823371</v>
      </c>
      <c r="Q37" s="1">
        <v>-78.908555232365757</v>
      </c>
      <c r="R37" s="1">
        <v>-27.110722914460482</v>
      </c>
      <c r="W37" s="3" t="s">
        <v>106</v>
      </c>
      <c r="X37" s="3">
        <v>272065.34218676988</v>
      </c>
      <c r="Y37" s="4" t="s">
        <v>104</v>
      </c>
      <c r="Z37" s="4">
        <v>434</v>
      </c>
      <c r="AA37" t="s">
        <v>108</v>
      </c>
    </row>
    <row r="38" spans="1:27" x14ac:dyDescent="0.25">
      <c r="A38" s="2" t="s">
        <v>61</v>
      </c>
      <c r="B38" s="5"/>
      <c r="C38" s="1">
        <v>311997.93764683482</v>
      </c>
      <c r="D38" s="1">
        <v>366.39324204235362</v>
      </c>
      <c r="G38" s="1">
        <v>12.798993404009749</v>
      </c>
      <c r="H38" s="1">
        <v>-22.948296087275232</v>
      </c>
      <c r="K38" s="1">
        <v>-58.008095732360147</v>
      </c>
      <c r="L38" s="1">
        <v>-34.554883504923147</v>
      </c>
      <c r="M38" s="1">
        <v>29.326455917284171</v>
      </c>
      <c r="N38" s="1">
        <v>33.131954444815072</v>
      </c>
      <c r="O38" s="1">
        <v>-48.558674296321023</v>
      </c>
      <c r="P38" s="1">
        <v>-40.559361064980557</v>
      </c>
      <c r="Q38" s="1">
        <v>-71.987061843093187</v>
      </c>
      <c r="R38" s="1">
        <v>-18.902302229046171</v>
      </c>
      <c r="W38" s="3" t="s">
        <v>104</v>
      </c>
      <c r="X38" s="3">
        <v>220500</v>
      </c>
      <c r="Y38" s="4" t="s">
        <v>104</v>
      </c>
      <c r="Z38" s="4">
        <v>245</v>
      </c>
      <c r="AA38" t="s">
        <v>112</v>
      </c>
    </row>
    <row r="39" spans="1:27" x14ac:dyDescent="0.25">
      <c r="A39" s="2" t="s">
        <v>62</v>
      </c>
      <c r="B39" s="5"/>
      <c r="C39" s="1">
        <v>519053.41286221851</v>
      </c>
      <c r="D39" s="1">
        <v>609.54781998273177</v>
      </c>
      <c r="G39" s="1">
        <v>23.451723779964951</v>
      </c>
      <c r="H39" s="1">
        <v>-10.43232185115019</v>
      </c>
      <c r="K39" s="1">
        <v>5.022876685937339</v>
      </c>
      <c r="L39" s="1">
        <v>19.120373523119731</v>
      </c>
      <c r="M39" s="1">
        <v>48.502409698834953</v>
      </c>
      <c r="N39" s="1">
        <v>51.275356868897703</v>
      </c>
      <c r="O39" s="1">
        <v>0.29927803646496792</v>
      </c>
      <c r="P39" s="1">
        <v>5.6677784498860966</v>
      </c>
      <c r="Q39" s="1">
        <v>100</v>
      </c>
      <c r="R39" s="1">
        <v>100</v>
      </c>
      <c r="W39" s="3" t="s">
        <v>104</v>
      </c>
      <c r="X39" s="3">
        <v>267300</v>
      </c>
      <c r="Y39" s="4" t="s">
        <v>104</v>
      </c>
      <c r="Z39" s="4">
        <v>297</v>
      </c>
      <c r="AA39" t="s">
        <v>112</v>
      </c>
    </row>
    <row r="40" spans="1:27" x14ac:dyDescent="0.25">
      <c r="A40" s="2" t="s">
        <v>63</v>
      </c>
      <c r="B40" s="5"/>
      <c r="C40" s="1">
        <v>218686.13405221081</v>
      </c>
      <c r="D40" s="1">
        <v>256.81298488516171</v>
      </c>
      <c r="K40" s="1">
        <v>-125.429015944057</v>
      </c>
      <c r="L40" s="1">
        <v>-91.968486414521962</v>
      </c>
      <c r="M40" s="1">
        <v>27.978972840410059</v>
      </c>
      <c r="N40" s="1">
        <v>31.857028149003359</v>
      </c>
      <c r="O40" s="1">
        <v>-111.9475942125076</v>
      </c>
      <c r="P40" s="1">
        <v>-100.5350314472187</v>
      </c>
      <c r="Q40" s="1">
        <v>-145.37270654833841</v>
      </c>
      <c r="R40" s="1">
        <v>-69.637061067923909</v>
      </c>
      <c r="W40" s="3" t="s">
        <v>104</v>
      </c>
      <c r="X40" s="3">
        <v>157500</v>
      </c>
      <c r="Y40" s="4" t="s">
        <v>104</v>
      </c>
      <c r="Z40" s="4">
        <v>175</v>
      </c>
      <c r="AA40" t="s">
        <v>112</v>
      </c>
    </row>
    <row r="41" spans="1:27" x14ac:dyDescent="0.25">
      <c r="A41" s="2" t="s">
        <v>64</v>
      </c>
      <c r="B41" s="5"/>
      <c r="C41" s="1">
        <v>402554.1274616181</v>
      </c>
      <c r="D41" s="1">
        <v>472.7374577236709</v>
      </c>
      <c r="G41" s="1">
        <v>1.298629649456684</v>
      </c>
      <c r="H41" s="1">
        <v>-42.391468964887693</v>
      </c>
      <c r="K41" s="1">
        <v>-22.463531328964901</v>
      </c>
      <c r="L41" s="1">
        <v>-4.286214672705956</v>
      </c>
      <c r="M41" s="1">
        <v>49.69620575575702</v>
      </c>
      <c r="N41" s="1">
        <v>52.404871599677797</v>
      </c>
      <c r="O41" s="1">
        <v>-28.554140846398731</v>
      </c>
      <c r="P41" s="1">
        <v>-21.631994800823371</v>
      </c>
      <c r="Q41" s="1">
        <v>100</v>
      </c>
      <c r="R41" s="1">
        <v>100</v>
      </c>
      <c r="W41" s="3" t="s">
        <v>104</v>
      </c>
      <c r="X41" s="3">
        <v>202500</v>
      </c>
      <c r="Y41" s="4" t="s">
        <v>104</v>
      </c>
      <c r="Z41" s="4">
        <v>225</v>
      </c>
      <c r="AA41" t="s">
        <v>112</v>
      </c>
    </row>
    <row r="42" spans="1:27" x14ac:dyDescent="0.25">
      <c r="A42" s="2" t="s">
        <v>65</v>
      </c>
      <c r="B42" s="5"/>
      <c r="C42" s="1">
        <v>402554.1274616181</v>
      </c>
      <c r="D42" s="1">
        <v>472.7374577236709</v>
      </c>
      <c r="K42" s="1">
        <v>-22.463531328964901</v>
      </c>
      <c r="L42" s="1">
        <v>-4.286214672705956</v>
      </c>
      <c r="M42" s="1">
        <v>49.69620575575702</v>
      </c>
      <c r="N42" s="1">
        <v>52.404871599677797</v>
      </c>
      <c r="O42" s="1">
        <v>-15.1397957146006</v>
      </c>
      <c r="P42" s="1">
        <v>-8.939960560737461</v>
      </c>
      <c r="Q42" s="1">
        <v>-33.297872103174321</v>
      </c>
      <c r="R42" s="1">
        <v>7.845254721776171</v>
      </c>
      <c r="W42" s="3" t="s">
        <v>104</v>
      </c>
      <c r="X42" s="3">
        <v>202500</v>
      </c>
      <c r="Y42" s="4" t="s">
        <v>104</v>
      </c>
      <c r="Z42" s="4">
        <v>225</v>
      </c>
      <c r="AA42" t="s">
        <v>112</v>
      </c>
    </row>
    <row r="43" spans="1:27" x14ac:dyDescent="0.25">
      <c r="A43" s="2" t="s">
        <v>66</v>
      </c>
      <c r="B43" s="5"/>
      <c r="C43" s="1">
        <v>632525.55571052572</v>
      </c>
      <c r="D43" s="1">
        <v>742.80327228878343</v>
      </c>
      <c r="M43" s="1">
        <v>57.740837886030107</v>
      </c>
      <c r="N43" s="1">
        <v>60.016331230628481</v>
      </c>
      <c r="O43" s="1">
        <v>3.9564497409775199</v>
      </c>
      <c r="P43" s="1">
        <v>9.1280255241556354</v>
      </c>
      <c r="Q43" s="1">
        <v>100</v>
      </c>
      <c r="R43" s="1">
        <v>100</v>
      </c>
      <c r="W43" s="3" t="s">
        <v>104</v>
      </c>
      <c r="X43" s="3">
        <v>267300</v>
      </c>
      <c r="Y43" s="4" t="s">
        <v>104</v>
      </c>
      <c r="Z43" s="4">
        <v>297</v>
      </c>
      <c r="AA43" t="s">
        <v>112</v>
      </c>
    </row>
    <row r="44" spans="1:27" x14ac:dyDescent="0.25">
      <c r="A44" s="2" t="s">
        <v>67</v>
      </c>
      <c r="B44" s="5"/>
      <c r="C44" s="1">
        <v>365967.64167639712</v>
      </c>
      <c r="D44" s="1">
        <v>429.77229826496512</v>
      </c>
      <c r="M44" s="1">
        <v>-21.48615051413007</v>
      </c>
      <c r="N44" s="1">
        <v>-14.9445885633692</v>
      </c>
      <c r="O44" s="1">
        <v>-41.405944424341683</v>
      </c>
      <c r="P44" s="1">
        <v>-33.791778186107877</v>
      </c>
      <c r="Q44" s="1">
        <v>-92.071320755759388</v>
      </c>
      <c r="R44" s="1">
        <v>-36.462587832597293</v>
      </c>
      <c r="W44" s="3" t="s">
        <v>108</v>
      </c>
      <c r="X44" s="3">
        <v>365967.64167639712</v>
      </c>
      <c r="Y44" s="4" t="s">
        <v>108</v>
      </c>
      <c r="Z44" s="4">
        <v>429.77229826496512</v>
      </c>
      <c r="AA44" t="s">
        <v>108</v>
      </c>
    </row>
    <row r="45" spans="1:27" x14ac:dyDescent="0.25">
      <c r="A45" s="2" t="s">
        <v>68</v>
      </c>
      <c r="B45" s="5"/>
      <c r="C45" s="1">
        <v>516598.90029539471</v>
      </c>
      <c r="D45" s="1">
        <v>606.66537523397722</v>
      </c>
      <c r="M45" s="1">
        <v>13.937099024838281</v>
      </c>
      <c r="N45" s="1">
        <v>18.571255231193099</v>
      </c>
      <c r="O45" s="1">
        <v>-7.1430852221142942</v>
      </c>
      <c r="P45" s="1">
        <v>-1.373842171692806</v>
      </c>
      <c r="Q45" s="1">
        <v>-36.066662647680268</v>
      </c>
      <c r="R45" s="1">
        <v>3.327530473647287</v>
      </c>
      <c r="W45" s="3" t="s">
        <v>104</v>
      </c>
      <c r="X45" s="3">
        <v>444600</v>
      </c>
      <c r="Y45" s="4" t="s">
        <v>104</v>
      </c>
      <c r="Z45" s="4">
        <v>494</v>
      </c>
      <c r="AA45" t="s">
        <v>112</v>
      </c>
    </row>
    <row r="46" spans="1:27" x14ac:dyDescent="0.25">
      <c r="A46" s="2" t="s">
        <v>69</v>
      </c>
      <c r="B46" s="5"/>
      <c r="C46" s="1">
        <v>516598.90029539471</v>
      </c>
      <c r="D46" s="1">
        <v>606.66537523397722</v>
      </c>
      <c r="M46" s="1">
        <v>13.937099024838281</v>
      </c>
      <c r="N46" s="1">
        <v>18.571255231193099</v>
      </c>
      <c r="O46" s="1">
        <v>-0.1744292727084861</v>
      </c>
      <c r="P46" s="1">
        <v>5.2195784573603854</v>
      </c>
      <c r="Q46" s="1">
        <v>100</v>
      </c>
      <c r="R46" s="1">
        <v>100</v>
      </c>
      <c r="W46" s="3" t="s">
        <v>104</v>
      </c>
      <c r="X46" s="3">
        <v>444600</v>
      </c>
      <c r="Y46" s="4" t="s">
        <v>104</v>
      </c>
      <c r="Z46" s="4">
        <v>494</v>
      </c>
      <c r="AA46" t="s">
        <v>112</v>
      </c>
    </row>
    <row r="47" spans="1:27" x14ac:dyDescent="0.25">
      <c r="A47" s="2" t="s">
        <v>70</v>
      </c>
      <c r="B47" s="5"/>
      <c r="C47" s="1">
        <v>382259.36802355282</v>
      </c>
      <c r="D47" s="1">
        <v>448.90440689306098</v>
      </c>
      <c r="M47" s="1">
        <v>-2.1819300386467799</v>
      </c>
      <c r="N47" s="1">
        <v>3.3201738865111081</v>
      </c>
      <c r="O47" s="1">
        <v>-35.37928518945138</v>
      </c>
      <c r="P47" s="1">
        <v>-28.089631371557861</v>
      </c>
      <c r="Q47" s="1">
        <v>100</v>
      </c>
      <c r="R47" s="1">
        <v>100</v>
      </c>
      <c r="W47" s="3" t="s">
        <v>108</v>
      </c>
      <c r="X47" s="3">
        <v>382259.36802355282</v>
      </c>
      <c r="Y47" s="4" t="s">
        <v>104</v>
      </c>
      <c r="Z47" s="4">
        <v>434</v>
      </c>
      <c r="AA47" t="s">
        <v>108</v>
      </c>
    </row>
    <row r="48" spans="1:27" x14ac:dyDescent="0.25">
      <c r="A48" s="2" t="s">
        <v>71</v>
      </c>
      <c r="B48" s="5"/>
      <c r="C48" s="1">
        <v>402554.1274616181</v>
      </c>
      <c r="D48" s="1">
        <v>472.7374577236709</v>
      </c>
      <c r="M48" s="1">
        <v>2.9695702133268731</v>
      </c>
      <c r="N48" s="1">
        <v>8.1942856633785297</v>
      </c>
      <c r="O48" s="1">
        <v>-28.554140846398731</v>
      </c>
      <c r="P48" s="1">
        <v>-21.631994800823371</v>
      </c>
      <c r="Q48" s="1">
        <v>-76.046018348647891</v>
      </c>
      <c r="R48" s="1">
        <v>-25.076951347829109</v>
      </c>
      <c r="W48" s="3" t="s">
        <v>104</v>
      </c>
      <c r="X48" s="3">
        <v>390600</v>
      </c>
      <c r="Y48" s="4" t="s">
        <v>104</v>
      </c>
      <c r="Z48" s="4">
        <v>434</v>
      </c>
      <c r="AA48" t="s">
        <v>112</v>
      </c>
    </row>
    <row r="49" spans="1:27" x14ac:dyDescent="0.25">
      <c r="A49" s="2" t="s">
        <v>72</v>
      </c>
      <c r="B49" s="5"/>
      <c r="C49" s="1">
        <v>632525.55571052572</v>
      </c>
      <c r="D49" s="1">
        <v>742.80327228878343</v>
      </c>
      <c r="M49" s="1">
        <v>43.796737255831289</v>
      </c>
      <c r="N49" s="1">
        <v>46.823066788209587</v>
      </c>
      <c r="O49" s="1">
        <v>3.9564497409775199</v>
      </c>
      <c r="P49" s="1">
        <v>9.1280255241556354</v>
      </c>
      <c r="Q49" s="1">
        <v>100</v>
      </c>
      <c r="R49" s="1">
        <v>100</v>
      </c>
      <c r="W49" s="3" t="s">
        <v>104</v>
      </c>
      <c r="X49" s="3">
        <v>355500</v>
      </c>
      <c r="Y49" s="4" t="s">
        <v>104</v>
      </c>
      <c r="Z49" s="4">
        <v>395</v>
      </c>
      <c r="AA49" t="s">
        <v>112</v>
      </c>
    </row>
    <row r="50" spans="1:27" x14ac:dyDescent="0.25">
      <c r="A50" s="2" t="s">
        <v>73</v>
      </c>
      <c r="B50" s="5"/>
      <c r="C50" s="1">
        <v>591949.47885283246</v>
      </c>
      <c r="D50" s="1">
        <v>695.15295619573828</v>
      </c>
      <c r="M50" s="1">
        <v>52.259439344779182</v>
      </c>
      <c r="N50" s="1">
        <v>54.830084918521848</v>
      </c>
      <c r="O50" s="1">
        <v>-2.6270014085160871</v>
      </c>
      <c r="P50" s="1">
        <v>2.8990678980963289</v>
      </c>
      <c r="Q50" s="1">
        <v>100</v>
      </c>
      <c r="R50" s="1">
        <v>100</v>
      </c>
      <c r="W50" s="3" t="s">
        <v>104</v>
      </c>
      <c r="X50" s="3">
        <v>282600</v>
      </c>
      <c r="Y50" s="4" t="s">
        <v>104</v>
      </c>
      <c r="Z50" s="4">
        <v>314</v>
      </c>
      <c r="AA50" t="s">
        <v>112</v>
      </c>
    </row>
    <row r="51" spans="1:27" x14ac:dyDescent="0.25">
      <c r="A51" s="2" t="s">
        <v>74</v>
      </c>
      <c r="B51" s="5"/>
      <c r="C51" s="1">
        <v>218686.13405221081</v>
      </c>
      <c r="D51" s="1">
        <v>256.81298488516171</v>
      </c>
      <c r="G51" s="1">
        <v>-24.409050151215808</v>
      </c>
      <c r="H51" s="1">
        <v>-75.409451461902194</v>
      </c>
      <c r="M51" s="1">
        <v>27.978972840410059</v>
      </c>
      <c r="N51" s="1">
        <v>31.857028149003359</v>
      </c>
      <c r="O51" s="1">
        <v>-111.9475942125076</v>
      </c>
      <c r="P51" s="1">
        <v>-100.5350314472187</v>
      </c>
      <c r="Q51" s="1">
        <v>-73.851747319082577</v>
      </c>
      <c r="R51" s="1">
        <v>-15.11987999057046</v>
      </c>
      <c r="W51" s="3" t="s">
        <v>104</v>
      </c>
      <c r="X51" s="3">
        <v>157500</v>
      </c>
      <c r="Y51" s="4" t="s">
        <v>104</v>
      </c>
      <c r="Z51" s="4">
        <v>175</v>
      </c>
      <c r="AA51" t="s">
        <v>112</v>
      </c>
    </row>
    <row r="52" spans="1:27" x14ac:dyDescent="0.25">
      <c r="A52" s="2" t="s">
        <v>75</v>
      </c>
      <c r="B52" s="5"/>
      <c r="C52" s="1">
        <v>402554.1274616181</v>
      </c>
      <c r="D52" s="1">
        <v>472.7374577236709</v>
      </c>
      <c r="M52" s="1">
        <v>45.224757378490978</v>
      </c>
      <c r="N52" s="1">
        <v>48.174193519649172</v>
      </c>
      <c r="O52" s="1">
        <v>-15.1397957146006</v>
      </c>
      <c r="P52" s="1">
        <v>-8.939960560737461</v>
      </c>
      <c r="Q52" s="1">
        <v>-76.046018348647891</v>
      </c>
      <c r="R52" s="1">
        <v>-25.076951347829109</v>
      </c>
      <c r="W52" s="3" t="s">
        <v>104</v>
      </c>
      <c r="X52" s="3">
        <v>220500</v>
      </c>
      <c r="Y52" s="4" t="s">
        <v>104</v>
      </c>
      <c r="Z52" s="4">
        <v>245</v>
      </c>
      <c r="AA52" t="s">
        <v>112</v>
      </c>
    </row>
    <row r="53" spans="1:27" x14ac:dyDescent="0.25">
      <c r="A53" s="2" t="s">
        <v>76</v>
      </c>
      <c r="B53" s="5"/>
      <c r="C53" s="1">
        <v>342621.54405284941</v>
      </c>
      <c r="D53" s="1">
        <v>402.35592345863063</v>
      </c>
      <c r="G53" s="1">
        <v>-12.424775071317191</v>
      </c>
      <c r="H53" s="1">
        <v>-62.085659083643087</v>
      </c>
      <c r="M53" s="1">
        <v>40.896886516638787</v>
      </c>
      <c r="N53" s="1">
        <v>44.079361858050532</v>
      </c>
      <c r="O53" s="1">
        <v>-24.773239575984771</v>
      </c>
      <c r="P53" s="1">
        <v>-18.054680521893321</v>
      </c>
      <c r="Q53" s="1">
        <v>100</v>
      </c>
      <c r="R53" s="1">
        <v>100</v>
      </c>
      <c r="W53" s="3" t="s">
        <v>104</v>
      </c>
      <c r="X53" s="3">
        <v>202500</v>
      </c>
      <c r="Y53" s="4" t="s">
        <v>104</v>
      </c>
      <c r="Z53" s="4">
        <v>225</v>
      </c>
      <c r="AA53" t="s">
        <v>112</v>
      </c>
    </row>
    <row r="54" spans="1:27" x14ac:dyDescent="0.25">
      <c r="A54" s="2" t="s">
        <v>77</v>
      </c>
      <c r="B54" s="5"/>
      <c r="C54" s="1">
        <v>632525.55571052572</v>
      </c>
      <c r="D54" s="1">
        <v>742.80327228878343</v>
      </c>
      <c r="M54" s="1">
        <v>46.073325113822932</v>
      </c>
      <c r="N54" s="1">
        <v>48.977069146155543</v>
      </c>
      <c r="O54" s="1">
        <v>3.9564497409775199</v>
      </c>
      <c r="P54" s="1">
        <v>9.1280255241556354</v>
      </c>
      <c r="Q54" s="1">
        <v>100</v>
      </c>
      <c r="R54" s="1">
        <v>100</v>
      </c>
      <c r="W54" s="3" t="s">
        <v>104</v>
      </c>
      <c r="X54" s="3">
        <v>341100</v>
      </c>
      <c r="Y54" s="4" t="s">
        <v>104</v>
      </c>
      <c r="Z54" s="4">
        <v>379</v>
      </c>
      <c r="AA54" t="s">
        <v>112</v>
      </c>
    </row>
    <row r="55" spans="1:27" x14ac:dyDescent="0.25">
      <c r="A55" s="2" t="s">
        <v>78</v>
      </c>
      <c r="B55" s="5"/>
      <c r="C55" s="1">
        <v>632525.55571052572</v>
      </c>
      <c r="D55" s="1">
        <v>742.80327228878343</v>
      </c>
      <c r="M55" s="1">
        <v>46.073325113822932</v>
      </c>
      <c r="N55" s="1">
        <v>48.977069146155543</v>
      </c>
      <c r="O55" s="1">
        <v>3.9564497409775199</v>
      </c>
      <c r="P55" s="1">
        <v>9.1280255241556354</v>
      </c>
      <c r="Q55" s="1">
        <v>100</v>
      </c>
      <c r="R55" s="1">
        <v>100</v>
      </c>
      <c r="W55" s="3" t="s">
        <v>104</v>
      </c>
      <c r="X55" s="3">
        <v>341100</v>
      </c>
      <c r="Y55" s="4" t="s">
        <v>104</v>
      </c>
      <c r="Z55" s="4">
        <v>379</v>
      </c>
      <c r="AA55" t="s">
        <v>112</v>
      </c>
    </row>
    <row r="56" spans="1:27" x14ac:dyDescent="0.25">
      <c r="A56" s="2" t="s">
        <v>79</v>
      </c>
      <c r="B56" s="5"/>
      <c r="C56" s="1">
        <v>342621.54405284941</v>
      </c>
      <c r="D56" s="1">
        <v>402.35592345863063</v>
      </c>
      <c r="G56" s="1">
        <v>-12.424775071317191</v>
      </c>
      <c r="H56" s="1">
        <v>-62.085659083643087</v>
      </c>
      <c r="M56" s="1">
        <v>40.896886516638787</v>
      </c>
      <c r="N56" s="1">
        <v>44.079361858050532</v>
      </c>
      <c r="O56" s="1">
        <v>-24.773239575984771</v>
      </c>
      <c r="P56" s="1">
        <v>-18.054680521893321</v>
      </c>
      <c r="Q56" s="1">
        <v>100</v>
      </c>
      <c r="R56" s="1">
        <v>100</v>
      </c>
      <c r="W56" s="3" t="s">
        <v>104</v>
      </c>
      <c r="X56" s="3">
        <v>202500</v>
      </c>
      <c r="Y56" s="4" t="s">
        <v>104</v>
      </c>
      <c r="Z56" s="4">
        <v>225</v>
      </c>
      <c r="AA56" t="s">
        <v>112</v>
      </c>
    </row>
    <row r="57" spans="1:27" x14ac:dyDescent="0.25">
      <c r="A57" s="2" t="s">
        <v>80</v>
      </c>
      <c r="B57" s="5"/>
      <c r="C57" s="1">
        <v>439382.56957872788</v>
      </c>
      <c r="D57" s="1">
        <v>515.98675740952683</v>
      </c>
      <c r="G57" s="1">
        <v>38.080078495689698</v>
      </c>
      <c r="H57" s="1">
        <v>12.696548583616289</v>
      </c>
      <c r="M57" s="1">
        <v>-1.187445925830521</v>
      </c>
      <c r="N57" s="1">
        <v>4.261108854791102</v>
      </c>
      <c r="O57" s="1">
        <v>-5.4889365421107659</v>
      </c>
      <c r="P57" s="1">
        <v>0.1912369640028696</v>
      </c>
      <c r="Q57" s="1">
        <v>-61.290083439993907</v>
      </c>
      <c r="R57" s="1">
        <v>-14.59317346989784</v>
      </c>
      <c r="W57" s="3" t="s">
        <v>106</v>
      </c>
      <c r="X57" s="3">
        <v>272065.34218676988</v>
      </c>
      <c r="Y57" s="4" t="s">
        <v>106</v>
      </c>
      <c r="Z57" s="4">
        <v>450.47424806999987</v>
      </c>
      <c r="AA57" t="s">
        <v>106</v>
      </c>
    </row>
    <row r="58" spans="1:27" x14ac:dyDescent="0.25">
      <c r="A58" s="2" t="s">
        <v>81</v>
      </c>
      <c r="B58" s="5"/>
      <c r="C58" s="1">
        <v>901105.14931776666</v>
      </c>
      <c r="D58" s="1">
        <v>1058.2083957661209</v>
      </c>
      <c r="M58" s="1">
        <v>55.05518969604951</v>
      </c>
      <c r="N58" s="1">
        <v>57.475294866262217</v>
      </c>
      <c r="O58" s="1">
        <v>32.582784544074272</v>
      </c>
      <c r="P58" s="1">
        <v>36.212942299393319</v>
      </c>
      <c r="Q58" s="1">
        <v>100</v>
      </c>
      <c r="R58" s="1">
        <v>100</v>
      </c>
      <c r="W58" s="3" t="s">
        <v>104</v>
      </c>
      <c r="X58" s="3">
        <v>405000</v>
      </c>
      <c r="Y58" s="4" t="s">
        <v>104</v>
      </c>
      <c r="Z58" s="4">
        <v>450</v>
      </c>
      <c r="AA58" t="s">
        <v>112</v>
      </c>
    </row>
    <row r="59" spans="1:27" x14ac:dyDescent="0.25">
      <c r="A59" s="2" t="s">
        <v>82</v>
      </c>
      <c r="B59" s="5"/>
      <c r="C59" s="1">
        <v>671165.98191311094</v>
      </c>
      <c r="D59" s="1">
        <v>788.18046656462889</v>
      </c>
      <c r="G59" s="1">
        <v>3.2052735935692831</v>
      </c>
      <c r="H59" s="1">
        <v>-42.394371557033757</v>
      </c>
      <c r="M59" s="1">
        <v>39.657251572021543</v>
      </c>
      <c r="N59" s="1">
        <v>42.906476487374221</v>
      </c>
      <c r="O59" s="1">
        <v>9.4858773580322975</v>
      </c>
      <c r="P59" s="1">
        <v>14.35971473106132</v>
      </c>
      <c r="Q59" s="1">
        <v>27.402220139870849</v>
      </c>
      <c r="R59" s="1">
        <v>38.836431445555156</v>
      </c>
      <c r="W59" s="3" t="s">
        <v>104</v>
      </c>
      <c r="X59" s="3">
        <v>405000</v>
      </c>
      <c r="Y59" s="4" t="s">
        <v>104</v>
      </c>
      <c r="Z59" s="4">
        <v>450</v>
      </c>
      <c r="AA59" t="s">
        <v>112</v>
      </c>
    </row>
    <row r="60" spans="1:27" x14ac:dyDescent="0.25">
      <c r="A60" s="2" t="s">
        <v>83</v>
      </c>
      <c r="B60" s="5"/>
      <c r="C60" s="1">
        <v>218686.13405221081</v>
      </c>
      <c r="D60" s="1">
        <v>256.81298488516171</v>
      </c>
      <c r="M60" s="1">
        <v>-62.561747017360162</v>
      </c>
      <c r="N60" s="1">
        <v>-53.808422177963841</v>
      </c>
      <c r="O60" s="1">
        <v>-169.56441594017949</v>
      </c>
      <c r="P60" s="1">
        <v>-155.04940892801599</v>
      </c>
      <c r="Q60" s="1">
        <v>11.890815354872039</v>
      </c>
      <c r="R60" s="1">
        <v>39.668159665180461</v>
      </c>
      <c r="W60" s="3" t="s">
        <v>105</v>
      </c>
      <c r="X60" s="3">
        <v>192682.56964535441</v>
      </c>
      <c r="Y60" s="4" t="s">
        <v>105</v>
      </c>
      <c r="Z60" s="4">
        <v>154.94</v>
      </c>
      <c r="AA60" t="s">
        <v>113</v>
      </c>
    </row>
    <row r="61" spans="1:27" x14ac:dyDescent="0.25">
      <c r="A61" s="2" t="s">
        <v>84</v>
      </c>
      <c r="B61" s="5"/>
      <c r="C61" s="1">
        <v>862757.75911713531</v>
      </c>
      <c r="D61" s="1">
        <v>1013.175326876491</v>
      </c>
      <c r="M61" s="1">
        <v>40.887231136363731</v>
      </c>
      <c r="N61" s="1">
        <v>47.491812533562367</v>
      </c>
      <c r="O61" s="1">
        <v>19.154595524732741</v>
      </c>
      <c r="P61" s="1">
        <v>23.50780961186247</v>
      </c>
      <c r="Q61" s="1">
        <v>13.35058942728587</v>
      </c>
      <c r="R61" s="1">
        <v>23.870846482424589</v>
      </c>
      <c r="W61" s="3" t="s">
        <v>104</v>
      </c>
      <c r="X61" s="3">
        <v>510000</v>
      </c>
      <c r="Y61" s="4" t="s">
        <v>104</v>
      </c>
      <c r="Z61" s="4">
        <v>532</v>
      </c>
      <c r="AA61" t="s">
        <v>112</v>
      </c>
    </row>
    <row r="62" spans="1:27" x14ac:dyDescent="0.25">
      <c r="A62" s="2" t="s">
        <v>85</v>
      </c>
      <c r="B62" s="5"/>
      <c r="C62" s="1">
        <v>269453.94928978267</v>
      </c>
      <c r="D62" s="1">
        <v>316.43191876848908</v>
      </c>
      <c r="G62" s="1">
        <v>-0.96914255807728311</v>
      </c>
      <c r="H62" s="1">
        <v>-42.360558891525763</v>
      </c>
      <c r="M62" s="1">
        <v>24.848011864831658</v>
      </c>
      <c r="N62" s="1">
        <v>28.894657379802261</v>
      </c>
      <c r="O62" s="1">
        <v>-118.7757876823789</v>
      </c>
      <c r="P62" s="1">
        <v>-106.9955529610201</v>
      </c>
      <c r="Q62" s="1">
        <v>7.8121436705275364</v>
      </c>
      <c r="R62" s="1">
        <v>31.369123302985141</v>
      </c>
      <c r="W62" s="3" t="s">
        <v>104</v>
      </c>
      <c r="X62" s="3">
        <v>202500</v>
      </c>
      <c r="Y62" s="4" t="s">
        <v>105</v>
      </c>
      <c r="Z62" s="4">
        <v>217.17</v>
      </c>
      <c r="AA62" t="s">
        <v>108</v>
      </c>
    </row>
    <row r="63" spans="1:27" x14ac:dyDescent="0.25">
      <c r="A63" s="2" t="s">
        <v>86</v>
      </c>
      <c r="B63" s="5"/>
      <c r="C63" s="1">
        <v>632525.55571052572</v>
      </c>
      <c r="D63" s="1">
        <v>742.80327228878343</v>
      </c>
      <c r="M63" s="1">
        <v>46.073325113822932</v>
      </c>
      <c r="N63" s="1">
        <v>48.977069146155543</v>
      </c>
      <c r="O63" s="1">
        <v>3.9564497409775199</v>
      </c>
      <c r="P63" s="1">
        <v>9.1280255241556354</v>
      </c>
      <c r="Q63" s="1">
        <v>100</v>
      </c>
      <c r="R63" s="1">
        <v>100</v>
      </c>
      <c r="W63" s="3" t="s">
        <v>104</v>
      </c>
      <c r="X63" s="3">
        <v>341100</v>
      </c>
      <c r="Y63" s="4" t="s">
        <v>104</v>
      </c>
      <c r="Z63" s="4">
        <v>379</v>
      </c>
      <c r="AA63" t="s">
        <v>112</v>
      </c>
    </row>
    <row r="64" spans="1:27" x14ac:dyDescent="0.25">
      <c r="A64" s="2" t="s">
        <v>87</v>
      </c>
      <c r="B64" s="5"/>
      <c r="C64" s="1">
        <v>402554.1274616181</v>
      </c>
      <c r="D64" s="1">
        <v>472.7374577236709</v>
      </c>
      <c r="M64" s="1">
        <v>2.9695702133268731</v>
      </c>
      <c r="N64" s="1">
        <v>8.1942856633785297</v>
      </c>
      <c r="O64" s="1">
        <v>-15.1397957146006</v>
      </c>
      <c r="P64" s="1">
        <v>-8.939960560737461</v>
      </c>
      <c r="Q64" s="1">
        <v>-76.046018348647891</v>
      </c>
      <c r="R64" s="1">
        <v>-25.076951347829109</v>
      </c>
      <c r="W64" s="3" t="s">
        <v>104</v>
      </c>
      <c r="X64" s="3">
        <v>390600</v>
      </c>
      <c r="Y64" s="4" t="s">
        <v>104</v>
      </c>
      <c r="Z64" s="4">
        <v>434</v>
      </c>
      <c r="AA64" t="s">
        <v>112</v>
      </c>
    </row>
    <row r="65" spans="1:27" x14ac:dyDescent="0.25">
      <c r="A65" s="2" t="s">
        <v>88</v>
      </c>
      <c r="B65" s="5"/>
      <c r="C65" s="1">
        <v>460809.14696929348</v>
      </c>
      <c r="D65" s="1">
        <v>541.14895308047141</v>
      </c>
      <c r="M65" s="1">
        <v>56.055559805653388</v>
      </c>
      <c r="N65" s="1">
        <v>58.421798893041299</v>
      </c>
      <c r="O65" s="1">
        <v>7.2284040341571432</v>
      </c>
      <c r="P65" s="1">
        <v>12.223797663087179</v>
      </c>
      <c r="Q65" s="1">
        <v>100</v>
      </c>
      <c r="R65" s="1">
        <v>100</v>
      </c>
      <c r="W65" s="3" t="s">
        <v>104</v>
      </c>
      <c r="X65" s="3">
        <v>202500</v>
      </c>
      <c r="Y65" s="4" t="s">
        <v>104</v>
      </c>
      <c r="Z65" s="4">
        <v>225</v>
      </c>
      <c r="AA65" t="s">
        <v>112</v>
      </c>
    </row>
    <row r="66" spans="1:27" x14ac:dyDescent="0.25">
      <c r="A66" s="2" t="s">
        <v>89</v>
      </c>
      <c r="B66" s="5"/>
      <c r="C66" s="1">
        <v>342492.50067584228</v>
      </c>
      <c r="D66" s="1">
        <v>402.20438200415089</v>
      </c>
      <c r="M66" s="1">
        <v>40.87461780903066</v>
      </c>
      <c r="N66" s="1">
        <v>44.058292234698257</v>
      </c>
      <c r="O66" s="1">
        <v>-98.398504685252675</v>
      </c>
      <c r="P66" s="1">
        <v>-87.71550827912364</v>
      </c>
      <c r="Q66" s="1">
        <v>100</v>
      </c>
      <c r="R66" s="1">
        <v>100</v>
      </c>
      <c r="W66" s="3" t="s">
        <v>104</v>
      </c>
      <c r="X66" s="3">
        <v>202500</v>
      </c>
      <c r="Y66" s="4" t="s">
        <v>104</v>
      </c>
      <c r="Z66" s="4">
        <v>225</v>
      </c>
      <c r="AA66" t="s">
        <v>112</v>
      </c>
    </row>
    <row r="67" spans="1:27" x14ac:dyDescent="0.25">
      <c r="A67" s="2" t="s">
        <v>90</v>
      </c>
      <c r="B67" s="5"/>
      <c r="C67" s="1">
        <v>342621.54405284941</v>
      </c>
      <c r="D67" s="1">
        <v>402.35592345863063</v>
      </c>
      <c r="G67" s="1">
        <v>-12.424775071317191</v>
      </c>
      <c r="H67" s="1">
        <v>-62.085659083643087</v>
      </c>
      <c r="M67" s="1">
        <v>40.896886516638787</v>
      </c>
      <c r="N67" s="1">
        <v>44.079361858050532</v>
      </c>
      <c r="O67" s="1">
        <v>-24.773239575984771</v>
      </c>
      <c r="P67" s="1">
        <v>-18.054680521893321</v>
      </c>
      <c r="Q67" s="1">
        <v>100</v>
      </c>
      <c r="R67" s="1">
        <v>100</v>
      </c>
      <c r="W67" s="3" t="s">
        <v>104</v>
      </c>
      <c r="X67" s="3">
        <v>202500</v>
      </c>
      <c r="Y67" s="4" t="s">
        <v>104</v>
      </c>
      <c r="Z67" s="4">
        <v>225</v>
      </c>
      <c r="AA67" t="s">
        <v>112</v>
      </c>
    </row>
    <row r="68" spans="1:27" x14ac:dyDescent="0.25">
      <c r="A68" s="2" t="s">
        <v>91</v>
      </c>
      <c r="B68" s="5"/>
      <c r="C68" s="1">
        <v>1074843.2376321109</v>
      </c>
      <c r="D68" s="1">
        <v>1262.2368644279529</v>
      </c>
      <c r="M68" s="1">
        <v>56.375033718127042</v>
      </c>
      <c r="N68" s="1">
        <v>58.724070364074052</v>
      </c>
      <c r="O68" s="1">
        <v>33.432153178332058</v>
      </c>
      <c r="P68" s="1">
        <v>37.016575699498802</v>
      </c>
      <c r="Q68" s="1">
        <v>28.468558802295231</v>
      </c>
      <c r="R68" s="1">
        <v>36.871523684968253</v>
      </c>
      <c r="W68" s="3" t="s">
        <v>104</v>
      </c>
      <c r="X68" s="3">
        <v>468900</v>
      </c>
      <c r="Y68" s="4" t="s">
        <v>104</v>
      </c>
      <c r="Z68" s="4">
        <v>521</v>
      </c>
      <c r="AA68" t="s">
        <v>112</v>
      </c>
    </row>
    <row r="69" spans="1:27" x14ac:dyDescent="0.25">
      <c r="A69" s="2" t="s">
        <v>92</v>
      </c>
      <c r="B69" s="5"/>
      <c r="C69" s="1">
        <v>269453.94928978267</v>
      </c>
      <c r="D69" s="1">
        <v>316.43191876848908</v>
      </c>
      <c r="G69" s="1">
        <v>24.10943967828717</v>
      </c>
      <c r="H69" s="1">
        <v>-15.180456958469859</v>
      </c>
      <c r="M69" s="1">
        <v>55.242815955055299</v>
      </c>
      <c r="N69" s="1">
        <v>57.652818172860009</v>
      </c>
      <c r="O69" s="1">
        <v>-152.1766712980093</v>
      </c>
      <c r="P69" s="1">
        <v>-138.59792745888569</v>
      </c>
      <c r="Q69" s="1">
        <v>28.491465739054689</v>
      </c>
      <c r="R69" s="1">
        <v>51.035280953006954</v>
      </c>
      <c r="W69" s="3" t="s">
        <v>104</v>
      </c>
      <c r="X69" s="3">
        <v>120600</v>
      </c>
      <c r="Y69" s="4" t="s">
        <v>104</v>
      </c>
      <c r="Z69" s="4">
        <v>134</v>
      </c>
      <c r="AA69" t="s">
        <v>112</v>
      </c>
    </row>
    <row r="70" spans="1:27" x14ac:dyDescent="0.25">
      <c r="A70" s="2" t="s">
        <v>93</v>
      </c>
      <c r="B70" s="5"/>
      <c r="C70" s="1">
        <v>402554.1274616181</v>
      </c>
      <c r="D70" s="1">
        <v>472.7374577236709</v>
      </c>
      <c r="M70" s="1">
        <v>-10.444774918471261</v>
      </c>
      <c r="N70" s="1">
        <v>-4.4977485767073881</v>
      </c>
      <c r="O70" s="1">
        <v>-28.554140846398731</v>
      </c>
      <c r="P70" s="1">
        <v>-21.631994800823371</v>
      </c>
      <c r="Q70" s="1">
        <v>-76.046018348647891</v>
      </c>
      <c r="R70" s="1">
        <v>-25.076951347829109</v>
      </c>
      <c r="W70" s="3" t="s">
        <v>108</v>
      </c>
      <c r="X70" s="3">
        <v>402554.1274616181</v>
      </c>
      <c r="Y70" s="4" t="s">
        <v>108</v>
      </c>
      <c r="Z70" s="4">
        <v>472.7374577236709</v>
      </c>
      <c r="AA70" t="s">
        <v>108</v>
      </c>
    </row>
    <row r="71" spans="1:27" x14ac:dyDescent="0.25">
      <c r="A71" s="2" t="s">
        <v>94</v>
      </c>
      <c r="B71" s="5"/>
      <c r="C71" s="1">
        <v>218686.13405221081</v>
      </c>
      <c r="D71" s="1">
        <v>256.81298488516171</v>
      </c>
      <c r="G71" s="1">
        <v>-24.409050151215808</v>
      </c>
      <c r="H71" s="1">
        <v>-75.409451461902194</v>
      </c>
      <c r="M71" s="1">
        <v>27.978972840410059</v>
      </c>
      <c r="N71" s="1">
        <v>31.857028149003359</v>
      </c>
      <c r="O71" s="1">
        <v>-111.9475942125076</v>
      </c>
      <c r="P71" s="1">
        <v>-100.5350314472187</v>
      </c>
      <c r="Q71" s="1">
        <v>-73.851747319082577</v>
      </c>
      <c r="R71" s="1">
        <v>-15.11987999057046</v>
      </c>
      <c r="W71" s="3" t="s">
        <v>104</v>
      </c>
      <c r="X71" s="3">
        <v>157500</v>
      </c>
      <c r="Y71" s="4" t="s">
        <v>104</v>
      </c>
      <c r="Z71" s="4">
        <v>175</v>
      </c>
      <c r="AA71" t="s">
        <v>112</v>
      </c>
    </row>
    <row r="72" spans="1:27" x14ac:dyDescent="0.25">
      <c r="A72" s="2" t="s">
        <v>95</v>
      </c>
      <c r="B72" s="5"/>
      <c r="C72" s="1">
        <v>402554.1274616181</v>
      </c>
      <c r="D72" s="1">
        <v>472.7374577236709</v>
      </c>
      <c r="G72" s="1">
        <v>32.415214842702049</v>
      </c>
      <c r="H72" s="1">
        <v>4.7094236536433884</v>
      </c>
      <c r="M72" s="1">
        <v>49.69620575575702</v>
      </c>
      <c r="N72" s="1">
        <v>52.404871599677797</v>
      </c>
      <c r="O72" s="1">
        <v>-28.554140846398731</v>
      </c>
      <c r="P72" s="1">
        <v>-21.631994800823371</v>
      </c>
      <c r="Q72" s="1">
        <v>-31.165106149523549</v>
      </c>
      <c r="R72" s="1">
        <v>9.3197306462277485</v>
      </c>
      <c r="W72" s="3" t="s">
        <v>104</v>
      </c>
      <c r="X72" s="3">
        <v>202500</v>
      </c>
      <c r="Y72" s="4" t="s">
        <v>104</v>
      </c>
      <c r="Z72" s="4">
        <v>225</v>
      </c>
      <c r="AA72" t="s">
        <v>112</v>
      </c>
    </row>
    <row r="73" spans="1:27" x14ac:dyDescent="0.25">
      <c r="A73" s="2" t="s">
        <v>96</v>
      </c>
      <c r="B73" s="5" t="s">
        <v>110</v>
      </c>
      <c r="W73" s="3" t="s">
        <v>106</v>
      </c>
      <c r="X73" s="3">
        <v>43417.662859999997</v>
      </c>
      <c r="Y73" s="4" t="s">
        <v>106</v>
      </c>
      <c r="Z73" s="4">
        <v>44.575189999999999</v>
      </c>
      <c r="AA73" t="s">
        <v>106</v>
      </c>
    </row>
    <row r="74" spans="1:27" x14ac:dyDescent="0.25">
      <c r="A74" s="2" t="s">
        <v>97</v>
      </c>
      <c r="B74" s="5" t="s">
        <v>110</v>
      </c>
      <c r="W74" s="3" t="s">
        <v>106</v>
      </c>
      <c r="X74" s="3">
        <v>55552.60282</v>
      </c>
      <c r="Y74" s="4" t="s">
        <v>106</v>
      </c>
      <c r="Z74" s="4">
        <v>65.551749999999998</v>
      </c>
      <c r="AA74" t="s">
        <v>106</v>
      </c>
    </row>
    <row r="75" spans="1:27" x14ac:dyDescent="0.25">
      <c r="A75" s="2" t="s">
        <v>98</v>
      </c>
      <c r="B75" s="5" t="s">
        <v>110</v>
      </c>
      <c r="W75" s="3" t="s">
        <v>104</v>
      </c>
      <c r="X75" s="3">
        <v>90000</v>
      </c>
      <c r="Y75" s="4" t="s">
        <v>104</v>
      </c>
      <c r="Z75" s="4">
        <v>100</v>
      </c>
      <c r="AA75" t="s">
        <v>112</v>
      </c>
    </row>
    <row r="76" spans="1:27" x14ac:dyDescent="0.25">
      <c r="A76" s="2" t="s">
        <v>99</v>
      </c>
      <c r="B76" s="5" t="s">
        <v>110</v>
      </c>
      <c r="W76" s="3" t="s">
        <v>104</v>
      </c>
      <c r="X76" s="3">
        <v>90000</v>
      </c>
      <c r="Y76" s="4" t="s">
        <v>104</v>
      </c>
      <c r="Z76" s="4">
        <v>100</v>
      </c>
      <c r="AA76" t="s">
        <v>112</v>
      </c>
    </row>
    <row r="77" spans="1:27" x14ac:dyDescent="0.25">
      <c r="A77" s="2" t="s">
        <v>100</v>
      </c>
      <c r="B77" s="5" t="s">
        <v>110</v>
      </c>
      <c r="W77" s="3" t="s">
        <v>104</v>
      </c>
      <c r="X77" s="3">
        <v>90000</v>
      </c>
      <c r="Y77" s="4" t="s">
        <v>104</v>
      </c>
      <c r="Z77" s="4">
        <v>100</v>
      </c>
      <c r="AA77" t="s">
        <v>112</v>
      </c>
    </row>
    <row r="78" spans="1:27" x14ac:dyDescent="0.25">
      <c r="A78" s="2" t="s">
        <v>101</v>
      </c>
      <c r="B78" s="5" t="s">
        <v>110</v>
      </c>
      <c r="W78" s="3" t="s">
        <v>106</v>
      </c>
      <c r="X78" s="3">
        <v>61069.438099999992</v>
      </c>
      <c r="Y78" s="4" t="s">
        <v>106</v>
      </c>
      <c r="Z78" s="4">
        <v>76.040029999999987</v>
      </c>
      <c r="AA78" t="s">
        <v>106</v>
      </c>
    </row>
    <row r="79" spans="1:27" x14ac:dyDescent="0.25">
      <c r="A79" s="2" t="s">
        <v>102</v>
      </c>
      <c r="B79" s="5" t="s">
        <v>110</v>
      </c>
      <c r="W79" s="3" t="s">
        <v>106</v>
      </c>
      <c r="X79" s="3">
        <v>61069.438099999992</v>
      </c>
      <c r="Y79" s="4" t="s">
        <v>106</v>
      </c>
      <c r="Z79" s="4">
        <v>76.040029999999987</v>
      </c>
      <c r="AA79" t="s">
        <v>106</v>
      </c>
    </row>
    <row r="80" spans="1:27" x14ac:dyDescent="0.25">
      <c r="A80" s="2" t="s">
        <v>103</v>
      </c>
      <c r="B80" s="5" t="s">
        <v>110</v>
      </c>
      <c r="W80" s="3" t="s">
        <v>106</v>
      </c>
      <c r="X80" s="3">
        <v>61069.438099999992</v>
      </c>
      <c r="Y80" s="4" t="s">
        <v>106</v>
      </c>
      <c r="Z80" s="4">
        <v>76.040029999999987</v>
      </c>
      <c r="AA80" t="s">
        <v>106</v>
      </c>
    </row>
  </sheetData>
  <autoFilter ref="A1:AA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Analisis_Detallado_Rutas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Gomez, Fernando</cp:lastModifiedBy>
  <dcterms:created xsi:type="dcterms:W3CDTF">2025-09-23T13:05:01Z</dcterms:created>
  <dcterms:modified xsi:type="dcterms:W3CDTF">2025-10-16T12:44:43Z</dcterms:modified>
</cp:coreProperties>
</file>