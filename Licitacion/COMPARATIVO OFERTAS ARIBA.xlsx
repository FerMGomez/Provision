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gomez\Desktop\PY\SAP_PY\Provision\"/>
    </mc:Choice>
  </mc:AlternateContent>
  <xr:revisionPtr revIDLastSave="0" documentId="13_ncr:1_{1DA6767D-18FB-4ECF-B174-05599BE9FE2D}" xr6:coauthVersionLast="47" xr6:coauthVersionMax="47" xr10:uidLastSave="{00000000-0000-0000-0000-000000000000}"/>
  <bookViews>
    <workbookView xWindow="-120" yWindow="-120" windowWidth="29040" windowHeight="15720" xr2:uid="{A0151564-F73A-4640-AF50-A978445565DF}"/>
  </bookViews>
  <sheets>
    <sheet name="TODOS LOS PROVEEDORES" sheetId="1" r:id="rId1"/>
    <sheet name="GRUPO SILCO" sheetId="6" r:id="rId2"/>
    <sheet name="INCREMENTOS PORCENTUALES" sheetId="5" r:id="rId3"/>
  </sheets>
  <definedNames>
    <definedName name="_xlnm._FilterDatabase" localSheetId="2" hidden="1">'INCREMENTOS PORCENTUALES'!$A$2:$I$74</definedName>
    <definedName name="_xlnm._FilterDatabase" localSheetId="0" hidden="1">'TODOS LOS PROVEEDORES'!$A$2:$AE$81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55" i="1" l="1"/>
  <c r="AD15" i="1"/>
  <c r="AE15" i="1" s="1"/>
  <c r="AD14" i="1"/>
  <c r="AE14" i="1" s="1"/>
  <c r="AD13" i="1"/>
  <c r="AE13" i="1" s="1"/>
  <c r="AD9" i="1"/>
  <c r="AE9" i="1" s="1"/>
  <c r="AD8" i="1"/>
  <c r="AE8" i="1" s="1"/>
  <c r="AD59" i="1"/>
  <c r="AD36" i="1"/>
  <c r="AD81" i="1"/>
  <c r="AD38" i="1"/>
  <c r="AD60" i="1"/>
  <c r="AD16" i="1"/>
  <c r="AD37" i="1"/>
  <c r="AD62" i="1"/>
  <c r="AD61" i="1"/>
  <c r="AD29" i="1"/>
  <c r="AD28" i="1"/>
  <c r="M3" i="6"/>
  <c r="AD26" i="1"/>
  <c r="AD76" i="1"/>
  <c r="AD3" i="1"/>
  <c r="AD4" i="1"/>
  <c r="AD31" i="1"/>
  <c r="AD5" i="1"/>
  <c r="AD6" i="1"/>
  <c r="AD27" i="1"/>
  <c r="AD7" i="1"/>
  <c r="AD78" i="1"/>
  <c r="AD33" i="1"/>
  <c r="AD79" i="1"/>
  <c r="AD10" i="1"/>
  <c r="AE10" i="1" s="1"/>
  <c r="AD11" i="1"/>
  <c r="AE11" i="1" s="1"/>
  <c r="AD12" i="1"/>
  <c r="AE12" i="1" s="1"/>
  <c r="AD30" i="1"/>
  <c r="AC74" i="1"/>
  <c r="AC3" i="1"/>
  <c r="AC25" i="1"/>
  <c r="AC75" i="1"/>
  <c r="AC4" i="1"/>
  <c r="AC31" i="1"/>
  <c r="AC76" i="1"/>
  <c r="AC5" i="1"/>
  <c r="AC6" i="1"/>
  <c r="AC26" i="1"/>
  <c r="AC27" i="1"/>
  <c r="AC28" i="1"/>
  <c r="AC34" i="1"/>
  <c r="AC29" i="1"/>
  <c r="AC77" i="1"/>
  <c r="AC7" i="1"/>
  <c r="AC35" i="1"/>
  <c r="AC61" i="1"/>
  <c r="AC62" i="1"/>
  <c r="AC39" i="1"/>
  <c r="AC17" i="1"/>
  <c r="AC18" i="1"/>
  <c r="AC78" i="1"/>
  <c r="AC37" i="1"/>
  <c r="AC16" i="1"/>
  <c r="AC60" i="1"/>
  <c r="AC38" i="1"/>
  <c r="AC32" i="1"/>
  <c r="AC81" i="1"/>
  <c r="AC36" i="1"/>
  <c r="AC40" i="1"/>
  <c r="AC59" i="1"/>
  <c r="AC33" i="1"/>
  <c r="AC63" i="1"/>
  <c r="AC49" i="1"/>
  <c r="AC50" i="1"/>
  <c r="AC64" i="1"/>
  <c r="AC51" i="1"/>
  <c r="AC19" i="1"/>
  <c r="AC41" i="1"/>
  <c r="AC65" i="1"/>
  <c r="AC42" i="1"/>
  <c r="AC52" i="1"/>
  <c r="AC20" i="1"/>
  <c r="AC53" i="1"/>
  <c r="AC43" i="1"/>
  <c r="AC66" i="1"/>
  <c r="AC67" i="1"/>
  <c r="AC54" i="1"/>
  <c r="AC44" i="1"/>
  <c r="AC21" i="1"/>
  <c r="AC68" i="1"/>
  <c r="AC69" i="1"/>
  <c r="AC22" i="1"/>
  <c r="AC45" i="1"/>
  <c r="AC70" i="1"/>
  <c r="AC71" i="1"/>
  <c r="AC55" i="1"/>
  <c r="AC79" i="1"/>
  <c r="AC72" i="1"/>
  <c r="AC73" i="1"/>
  <c r="AC46" i="1"/>
  <c r="AC23" i="1"/>
  <c r="AC56" i="1"/>
  <c r="AC24" i="1"/>
  <c r="AC80" i="1"/>
  <c r="AC57" i="1"/>
  <c r="AC47" i="1"/>
  <c r="AC58" i="1"/>
  <c r="AC48" i="1"/>
  <c r="AC30" i="1"/>
  <c r="N48" i="1"/>
  <c r="AD48" i="1" s="1"/>
  <c r="N58" i="1"/>
  <c r="AD58" i="1" s="1"/>
  <c r="N47" i="1"/>
  <c r="AD47" i="1" s="1"/>
  <c r="N57" i="1"/>
  <c r="AD57" i="1" s="1"/>
  <c r="N80" i="1"/>
  <c r="AD80" i="1" s="1"/>
  <c r="N24" i="1"/>
  <c r="AD24" i="1" s="1"/>
  <c r="AE24" i="1" s="1"/>
  <c r="N56" i="1"/>
  <c r="AD56" i="1" s="1"/>
  <c r="N23" i="1"/>
  <c r="AD23" i="1" s="1"/>
  <c r="N46" i="1"/>
  <c r="AD46" i="1" s="1"/>
  <c r="N73" i="1"/>
  <c r="AD73" i="1" s="1"/>
  <c r="N72" i="1"/>
  <c r="AD72" i="1" s="1"/>
  <c r="N55" i="1"/>
  <c r="N71" i="1"/>
  <c r="AD71" i="1" s="1"/>
  <c r="N70" i="1"/>
  <c r="AD70" i="1" s="1"/>
  <c r="N45" i="1"/>
  <c r="AD45" i="1" s="1"/>
  <c r="N22" i="1"/>
  <c r="AD22" i="1" s="1"/>
  <c r="N69" i="1"/>
  <c r="AD69" i="1" s="1"/>
  <c r="N68" i="1"/>
  <c r="AD68" i="1" s="1"/>
  <c r="N21" i="1"/>
  <c r="AD21" i="1" s="1"/>
  <c r="N44" i="1"/>
  <c r="AD44" i="1" s="1"/>
  <c r="N54" i="1"/>
  <c r="AD54" i="1" s="1"/>
  <c r="N67" i="1"/>
  <c r="AD67" i="1" s="1"/>
  <c r="N66" i="1"/>
  <c r="AD66" i="1" s="1"/>
  <c r="N43" i="1"/>
  <c r="AD43" i="1" s="1"/>
  <c r="N53" i="1"/>
  <c r="AD53" i="1" s="1"/>
  <c r="N20" i="1"/>
  <c r="AD20" i="1" s="1"/>
  <c r="N52" i="1"/>
  <c r="AD52" i="1" s="1"/>
  <c r="N42" i="1"/>
  <c r="AD42" i="1" s="1"/>
  <c r="N65" i="1"/>
  <c r="AD65" i="1" s="1"/>
  <c r="N41" i="1"/>
  <c r="AD41" i="1" s="1"/>
  <c r="N19" i="1"/>
  <c r="AD19" i="1" s="1"/>
  <c r="N51" i="1"/>
  <c r="AD51" i="1" s="1"/>
  <c r="N64" i="1"/>
  <c r="AD64" i="1" s="1"/>
  <c r="N50" i="1"/>
  <c r="AD50" i="1" s="1"/>
  <c r="N49" i="1"/>
  <c r="AD49" i="1" s="1"/>
  <c r="N63" i="1"/>
  <c r="AD63" i="1" s="1"/>
  <c r="N40" i="1"/>
  <c r="AD40" i="1" s="1"/>
  <c r="N32" i="1"/>
  <c r="AD32" i="1" s="1"/>
  <c r="N18" i="1"/>
  <c r="AD18" i="1" s="1"/>
  <c r="N17" i="1"/>
  <c r="AD17" i="1" s="1"/>
  <c r="N39" i="1"/>
  <c r="AD39" i="1" s="1"/>
  <c r="N35" i="1"/>
  <c r="AD35" i="1" s="1"/>
  <c r="AE35" i="1" s="1"/>
  <c r="N77" i="1"/>
  <c r="AD77" i="1" s="1"/>
  <c r="N34" i="1"/>
  <c r="AD34" i="1" s="1"/>
  <c r="N76" i="1"/>
  <c r="N75" i="1"/>
  <c r="AD75" i="1" s="1"/>
  <c r="N25" i="1"/>
  <c r="AD25" i="1" s="1"/>
  <c r="N74" i="1"/>
  <c r="AD74" i="1" s="1"/>
  <c r="AE63" i="1" l="1"/>
  <c r="AE43" i="1"/>
  <c r="AE59" i="1"/>
  <c r="AE75" i="1"/>
  <c r="AE23" i="1"/>
  <c r="AE72" i="1"/>
  <c r="AE36" i="1"/>
  <c r="AE50" i="1"/>
  <c r="AE67" i="1"/>
  <c r="AE64" i="1"/>
  <c r="AE54" i="1"/>
  <c r="AE46" i="1"/>
  <c r="AE47" i="1"/>
  <c r="AE5" i="1"/>
  <c r="AE51" i="1"/>
  <c r="AE44" i="1"/>
  <c r="AE28" i="1"/>
  <c r="AE74" i="1"/>
  <c r="AE61" i="1"/>
  <c r="AE65" i="1"/>
  <c r="AE69" i="1"/>
  <c r="AE80" i="1"/>
  <c r="AE42" i="1"/>
  <c r="AE19" i="1"/>
  <c r="AE21" i="1"/>
  <c r="AE56" i="1"/>
  <c r="AE22" i="1"/>
  <c r="AE29" i="1"/>
  <c r="AE77" i="1"/>
  <c r="AE41" i="1"/>
  <c r="AE68" i="1"/>
  <c r="AE7" i="1"/>
  <c r="AE3" i="1"/>
  <c r="AE81" i="1"/>
  <c r="AE25" i="1"/>
  <c r="AE55" i="1"/>
  <c r="AE18" i="1"/>
  <c r="AE76" i="1"/>
  <c r="AE49" i="1"/>
  <c r="AE33" i="1"/>
  <c r="AE39" i="1"/>
  <c r="AE62" i="1"/>
  <c r="AE17" i="1"/>
  <c r="AE57" i="1"/>
  <c r="AE6" i="1"/>
  <c r="AE52" i="1"/>
  <c r="AE45" i="1"/>
  <c r="AE32" i="1"/>
  <c r="AE20" i="1"/>
  <c r="AE70" i="1"/>
  <c r="AE58" i="1"/>
  <c r="AE73" i="1"/>
  <c r="AE16" i="1"/>
  <c r="AE34" i="1"/>
  <c r="AE31" i="1"/>
  <c r="AE60" i="1"/>
  <c r="AE40" i="1"/>
  <c r="AE53" i="1"/>
  <c r="AE71" i="1"/>
  <c r="AE48" i="1"/>
  <c r="AE37" i="1"/>
  <c r="AE30" i="1"/>
  <c r="AE4" i="1"/>
  <c r="AE38" i="1"/>
  <c r="AE66" i="1"/>
  <c r="AE79" i="1"/>
  <c r="AE26" i="1"/>
  <c r="N31" i="5"/>
  <c r="M31" i="5"/>
  <c r="N28" i="5"/>
  <c r="M28" i="5"/>
  <c r="D7" i="5"/>
  <c r="D11" i="5"/>
  <c r="D5" i="5"/>
  <c r="D19" i="5"/>
  <c r="D8" i="5"/>
  <c r="D65" i="5"/>
  <c r="D60" i="5"/>
  <c r="D61" i="5"/>
  <c r="D57" i="5"/>
  <c r="D56" i="5"/>
  <c r="D52" i="5"/>
  <c r="D51" i="5"/>
  <c r="D45" i="5"/>
  <c r="D41" i="5"/>
  <c r="D38" i="5"/>
  <c r="D73" i="5"/>
  <c r="D71" i="5"/>
  <c r="D68" i="5"/>
  <c r="D64" i="5"/>
  <c r="D62" i="5"/>
  <c r="D49" i="5"/>
  <c r="D53" i="5"/>
  <c r="D47" i="5"/>
  <c r="D42" i="5"/>
  <c r="D40" i="5"/>
  <c r="D39" i="5"/>
  <c r="D74" i="5"/>
  <c r="D72" i="5"/>
  <c r="D66" i="5"/>
  <c r="D59" i="5"/>
  <c r="D54" i="5"/>
  <c r="D50" i="5"/>
  <c r="D44" i="5"/>
  <c r="D46" i="5"/>
  <c r="D35" i="5"/>
  <c r="D24" i="5"/>
  <c r="D17" i="5"/>
  <c r="D21" i="5"/>
  <c r="D32" i="5"/>
  <c r="D58" i="5"/>
  <c r="D69" i="5"/>
  <c r="D67" i="5"/>
  <c r="D55" i="5"/>
  <c r="D48" i="5"/>
  <c r="D43" i="5"/>
  <c r="D26" i="5"/>
  <c r="D25" i="5"/>
  <c r="M15" i="5" l="1"/>
  <c r="N15" i="5"/>
  <c r="M16" i="5"/>
  <c r="N16" i="5"/>
  <c r="M17" i="5"/>
  <c r="N17" i="5"/>
  <c r="N14" i="5"/>
  <c r="M14" i="5"/>
  <c r="K4" i="6"/>
  <c r="K5" i="6"/>
  <c r="K6" i="6"/>
  <c r="K7" i="6"/>
  <c r="K8" i="6"/>
  <c r="K3" i="6"/>
  <c r="J4" i="6"/>
  <c r="J5" i="6"/>
  <c r="J6" i="6"/>
  <c r="J7" i="6"/>
  <c r="J8" i="6"/>
  <c r="J3" i="6"/>
  <c r="I4" i="6" l="1"/>
  <c r="I5" i="6"/>
  <c r="I6" i="6"/>
  <c r="I7" i="6"/>
  <c r="I8" i="6"/>
  <c r="I3" i="6"/>
  <c r="H4" i="6"/>
  <c r="H5" i="6"/>
  <c r="H6" i="6"/>
  <c r="H7" i="6"/>
  <c r="H8" i="6"/>
  <c r="H3" i="6"/>
  <c r="P66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9" i="5"/>
  <c r="P40" i="5"/>
  <c r="P42" i="5"/>
  <c r="P44" i="5"/>
  <c r="P46" i="5"/>
  <c r="P47" i="5"/>
  <c r="P50" i="5"/>
  <c r="P53" i="5"/>
  <c r="P54" i="5"/>
  <c r="P59" i="5"/>
  <c r="P61" i="5"/>
  <c r="P62" i="5"/>
  <c r="P63" i="5"/>
  <c r="P64" i="5"/>
  <c r="P70" i="5"/>
  <c r="P71" i="5"/>
  <c r="P72" i="5"/>
  <c r="P73" i="5"/>
  <c r="P74" i="5"/>
  <c r="P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9" i="5"/>
  <c r="O40" i="5"/>
  <c r="O42" i="5"/>
  <c r="O44" i="5"/>
  <c r="O46" i="5"/>
  <c r="O47" i="5"/>
  <c r="O50" i="5"/>
  <c r="O53" i="5"/>
  <c r="O54" i="5"/>
  <c r="O59" i="5"/>
  <c r="O61" i="5"/>
  <c r="O62" i="5"/>
  <c r="O63" i="5"/>
  <c r="O64" i="5"/>
  <c r="O66" i="5"/>
  <c r="O70" i="5"/>
  <c r="O71" i="5"/>
  <c r="O72" i="5"/>
  <c r="O73" i="5"/>
  <c r="O74" i="5"/>
  <c r="O4" i="5"/>
  <c r="L5" i="5"/>
  <c r="L6" i="5"/>
  <c r="L7" i="5"/>
  <c r="L8" i="5"/>
  <c r="L9" i="5"/>
  <c r="L10" i="5"/>
  <c r="L11" i="5"/>
  <c r="L12" i="5"/>
  <c r="L13" i="5"/>
  <c r="L17" i="5"/>
  <c r="L19" i="5"/>
  <c r="L20" i="5"/>
  <c r="L21" i="5"/>
  <c r="L24" i="5"/>
  <c r="L25" i="5"/>
  <c r="L26" i="5"/>
  <c r="L32" i="5"/>
  <c r="L35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4" i="5"/>
  <c r="K5" i="5"/>
  <c r="K6" i="5"/>
  <c r="K11" i="5"/>
  <c r="K12" i="5"/>
  <c r="K24" i="5"/>
  <c r="K25" i="5"/>
  <c r="K55" i="5"/>
  <c r="K66" i="5"/>
  <c r="K74" i="5"/>
  <c r="K73" i="5"/>
  <c r="K72" i="5"/>
  <c r="K71" i="5"/>
  <c r="D70" i="5"/>
  <c r="K70" i="5" s="1"/>
  <c r="K69" i="5"/>
  <c r="K68" i="5"/>
  <c r="K67" i="5"/>
  <c r="K65" i="5"/>
  <c r="K64" i="5"/>
  <c r="K63" i="5"/>
  <c r="K62" i="5"/>
  <c r="K61" i="5"/>
  <c r="K60" i="5"/>
  <c r="K59" i="5"/>
  <c r="K58" i="5"/>
  <c r="K57" i="5"/>
  <c r="K56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5" i="5"/>
  <c r="K32" i="5"/>
  <c r="K26" i="5"/>
  <c r="K21" i="5"/>
  <c r="K20" i="5"/>
  <c r="K19" i="5"/>
  <c r="K17" i="5"/>
  <c r="K13" i="5"/>
  <c r="K10" i="5"/>
  <c r="K9" i="5"/>
  <c r="K8" i="5"/>
  <c r="K7" i="5"/>
  <c r="K4" i="5"/>
  <c r="P15" i="1"/>
  <c r="AF15" i="1" s="1"/>
  <c r="P14" i="1"/>
  <c r="AF14" i="1" s="1"/>
  <c r="P13" i="1"/>
  <c r="AF13" i="1" s="1"/>
  <c r="P12" i="1"/>
  <c r="AF12" i="1" s="1"/>
  <c r="P11" i="1"/>
  <c r="AF11" i="1" s="1"/>
  <c r="P10" i="1"/>
  <c r="AF10" i="1" s="1"/>
  <c r="P9" i="1"/>
  <c r="AF9" i="1" s="1"/>
  <c r="P8" i="1"/>
  <c r="AF8" i="1" s="1"/>
  <c r="P48" i="1"/>
  <c r="AF48" i="1" s="1"/>
  <c r="P58" i="1"/>
  <c r="AF58" i="1" s="1"/>
  <c r="P47" i="1"/>
  <c r="AF47" i="1" s="1"/>
  <c r="P57" i="1"/>
  <c r="AF57" i="1" s="1"/>
  <c r="P80" i="1"/>
  <c r="AF80" i="1" s="1"/>
  <c r="P24" i="1"/>
  <c r="AF24" i="1" s="1"/>
  <c r="P56" i="1"/>
  <c r="AF56" i="1" s="1"/>
  <c r="P23" i="1"/>
  <c r="AF23" i="1" s="1"/>
  <c r="P46" i="1"/>
  <c r="AF46" i="1" s="1"/>
  <c r="P73" i="1"/>
  <c r="AF73" i="1" s="1"/>
  <c r="P72" i="1"/>
  <c r="AF72" i="1" s="1"/>
  <c r="P79" i="1"/>
  <c r="AF79" i="1" s="1"/>
  <c r="P55" i="1"/>
  <c r="AF55" i="1" s="1"/>
  <c r="P71" i="1"/>
  <c r="AF71" i="1" s="1"/>
  <c r="P70" i="1"/>
  <c r="AF70" i="1" s="1"/>
  <c r="P45" i="1"/>
  <c r="AF45" i="1" s="1"/>
  <c r="P22" i="1"/>
  <c r="AF22" i="1" s="1"/>
  <c r="P69" i="1"/>
  <c r="AF69" i="1" s="1"/>
  <c r="P68" i="1"/>
  <c r="AF68" i="1" s="1"/>
  <c r="P21" i="1"/>
  <c r="AF21" i="1" s="1"/>
  <c r="P44" i="1"/>
  <c r="AF44" i="1" s="1"/>
  <c r="P54" i="1"/>
  <c r="AF54" i="1" s="1"/>
  <c r="P67" i="1"/>
  <c r="AF67" i="1" s="1"/>
  <c r="P66" i="1"/>
  <c r="AF66" i="1" s="1"/>
  <c r="P43" i="1"/>
  <c r="AF43" i="1" s="1"/>
  <c r="P53" i="1"/>
  <c r="AF53" i="1" s="1"/>
  <c r="P20" i="1"/>
  <c r="AF20" i="1" s="1"/>
  <c r="P52" i="1"/>
  <c r="AF52" i="1" s="1"/>
  <c r="P42" i="1"/>
  <c r="AF42" i="1" s="1"/>
  <c r="P65" i="1"/>
  <c r="AF65" i="1" s="1"/>
  <c r="P41" i="1"/>
  <c r="AF41" i="1" s="1"/>
  <c r="P19" i="1"/>
  <c r="AF19" i="1" s="1"/>
  <c r="P51" i="1"/>
  <c r="AF51" i="1" s="1"/>
  <c r="P64" i="1"/>
  <c r="AF64" i="1" s="1"/>
  <c r="P50" i="1"/>
  <c r="AF50" i="1" s="1"/>
  <c r="P49" i="1"/>
  <c r="AF49" i="1" s="1"/>
  <c r="P63" i="1"/>
  <c r="AF63" i="1" s="1"/>
  <c r="P33" i="1"/>
  <c r="AF33" i="1" s="1"/>
  <c r="P59" i="1"/>
  <c r="AF59" i="1" s="1"/>
  <c r="P40" i="1"/>
  <c r="AF40" i="1" s="1"/>
  <c r="P36" i="1"/>
  <c r="AF36" i="1" s="1"/>
  <c r="P81" i="1"/>
  <c r="AF81" i="1" s="1"/>
  <c r="P32" i="1"/>
  <c r="AF32" i="1" s="1"/>
  <c r="P38" i="1"/>
  <c r="AF38" i="1" s="1"/>
  <c r="P60" i="1"/>
  <c r="AF60" i="1" s="1"/>
  <c r="P16" i="1"/>
  <c r="AF16" i="1" s="1"/>
  <c r="P37" i="1"/>
  <c r="AF37" i="1" s="1"/>
  <c r="P78" i="1"/>
  <c r="AF78" i="1" s="1"/>
  <c r="P18" i="1"/>
  <c r="AF18" i="1" s="1"/>
  <c r="P17" i="1"/>
  <c r="AF17" i="1" s="1"/>
  <c r="P39" i="1"/>
  <c r="AF39" i="1" s="1"/>
  <c r="P62" i="1"/>
  <c r="AF62" i="1" s="1"/>
  <c r="P61" i="1"/>
  <c r="AF61" i="1" s="1"/>
  <c r="P35" i="1"/>
  <c r="AF35" i="1" s="1"/>
  <c r="P7" i="1"/>
  <c r="AF7" i="1" s="1"/>
  <c r="P77" i="1"/>
  <c r="AF77" i="1" s="1"/>
  <c r="P29" i="1"/>
  <c r="AF29" i="1" s="1"/>
  <c r="P34" i="1"/>
  <c r="AF34" i="1" s="1"/>
  <c r="P28" i="1"/>
  <c r="AF28" i="1" s="1"/>
  <c r="P27" i="1"/>
  <c r="AF27" i="1" s="1"/>
  <c r="P26" i="1"/>
  <c r="AF26" i="1" s="1"/>
  <c r="P6" i="1"/>
  <c r="AF6" i="1" s="1"/>
  <c r="P5" i="1"/>
  <c r="AF5" i="1" s="1"/>
  <c r="P76" i="1"/>
  <c r="AF76" i="1" s="1"/>
  <c r="P31" i="1"/>
  <c r="AF31" i="1" s="1"/>
  <c r="P4" i="1"/>
  <c r="AF4" i="1" s="1"/>
  <c r="P75" i="1"/>
  <c r="AF75" i="1" s="1"/>
  <c r="P25" i="1"/>
  <c r="AF25" i="1" s="1"/>
  <c r="P3" i="1"/>
  <c r="AF3" i="1" s="1"/>
  <c r="P74" i="1"/>
  <c r="AF74" i="1" s="1"/>
  <c r="P30" i="1"/>
  <c r="AF30" i="1" s="1"/>
</calcChain>
</file>

<file path=xl/sharedStrings.xml><?xml version="1.0" encoding="utf-8"?>
<sst xmlns="http://schemas.openxmlformats.org/spreadsheetml/2006/main" count="1304" uniqueCount="155">
  <si>
    <t>Delegacion Andreani</t>
  </si>
  <si>
    <t>GUALEGUAYCHU</t>
  </si>
  <si>
    <t>ROSARIO</t>
  </si>
  <si>
    <t>JUNIN</t>
  </si>
  <si>
    <t>VENADO TUERTO</t>
  </si>
  <si>
    <t>CASILDA</t>
  </si>
  <si>
    <t>PEHUAJO</t>
  </si>
  <si>
    <t>CONCORDIA</t>
  </si>
  <si>
    <t>SANTA FE</t>
  </si>
  <si>
    <t>MAR DEL PLATA</t>
  </si>
  <si>
    <t>TANDIL</t>
  </si>
  <si>
    <t>VILLA MARIA</t>
  </si>
  <si>
    <t>SAN FRANCISCO</t>
  </si>
  <si>
    <t>RIO CUARTO</t>
  </si>
  <si>
    <t>SANTA ROSA</t>
  </si>
  <si>
    <t>CORDOBA</t>
  </si>
  <si>
    <t>RECONQUISTA</t>
  </si>
  <si>
    <t>BAHIA BLANCA</t>
  </si>
  <si>
    <t>GENERAL PICO</t>
  </si>
  <si>
    <t>VILLA MERCEDES</t>
  </si>
  <si>
    <t>SAN LUIS</t>
  </si>
  <si>
    <t>POSADAS</t>
  </si>
  <si>
    <t>RESISTENCIA</t>
  </si>
  <si>
    <t>ROQUE SAENZ PEÑA</t>
  </si>
  <si>
    <t>SANTIAGO DEL ESTERO</t>
  </si>
  <si>
    <t>MENDOZA</t>
  </si>
  <si>
    <t>CATAMARCA</t>
  </si>
  <si>
    <t>SAN JUAN</t>
  </si>
  <si>
    <t>SAN RAFAEL</t>
  </si>
  <si>
    <t>FORMOSA</t>
  </si>
  <si>
    <t>TUCUMAN</t>
  </si>
  <si>
    <t>LA RIOJA</t>
  </si>
  <si>
    <t>NEUQUEN</t>
  </si>
  <si>
    <t>SALTA</t>
  </si>
  <si>
    <t>JUJUY</t>
  </si>
  <si>
    <t xml:space="preserve">
 CALAFATE </t>
  </si>
  <si>
    <t xml:space="preserve">
 BARILOCHE </t>
  </si>
  <si>
    <t xml:space="preserve">
 CATRIEL </t>
  </si>
  <si>
    <t xml:space="preserve">
 CALETA OLIVIA </t>
  </si>
  <si>
    <t xml:space="preserve">
 CHOELE CHOEL </t>
  </si>
  <si>
    <t xml:space="preserve">
 COMODORO RIVADAVIA </t>
  </si>
  <si>
    <t xml:space="preserve">
 CUTRAL CO </t>
  </si>
  <si>
    <t xml:space="preserve">
 CTE. PIEDRA BUENA </t>
  </si>
  <si>
    <t xml:space="preserve">
 CHOS MALAL </t>
  </si>
  <si>
    <t xml:space="preserve">
 EL BOLSON </t>
  </si>
  <si>
    <t xml:space="preserve">
 ESQUEL </t>
  </si>
  <si>
    <t xml:space="preserve">
 INGENIERO JACOBACCI </t>
  </si>
  <si>
    <t xml:space="preserve">
 JUNIN DE LOS ANDES </t>
  </si>
  <si>
    <t xml:space="preserve">
 PERITO MORENO </t>
  </si>
  <si>
    <t xml:space="preserve">
 PICO TRUNCADO </t>
  </si>
  <si>
    <t xml:space="preserve">
 GENERAL ROCA </t>
  </si>
  <si>
    <t xml:space="preserve">
 PIEDRA DEL AGUILA </t>
  </si>
  <si>
    <t xml:space="preserve">
 PUERTO MADRYN </t>
  </si>
  <si>
    <t xml:space="preserve">
 PTO. SANTA CRUZ </t>
  </si>
  <si>
    <t xml:space="preserve">
 PUERTO DESEADO </t>
  </si>
  <si>
    <t xml:space="preserve">
 RAWSON </t>
  </si>
  <si>
    <t xml:space="preserve">
 RINCON DE LOS SAUCES </t>
  </si>
  <si>
    <t xml:space="preserve">
 RÍO TURBIO </t>
  </si>
  <si>
    <t xml:space="preserve">
 RIO GALLEGOS </t>
  </si>
  <si>
    <t xml:space="preserve">
 RIO COLORADO </t>
  </si>
  <si>
    <t xml:space="preserve">
 RIO GRANDE </t>
  </si>
  <si>
    <t xml:space="preserve">
 SAN ANTIONIO OESTE </t>
  </si>
  <si>
    <t xml:space="preserve">
 SAN JULIAN </t>
  </si>
  <si>
    <t xml:space="preserve">
 SAN MARTIN DE LOS ANDES </t>
  </si>
  <si>
    <t xml:space="preserve">
 SARMIENTO </t>
  </si>
  <si>
    <t xml:space="preserve">
 SIERRA GRANDE </t>
  </si>
  <si>
    <t xml:space="preserve">
 TRELEW </t>
  </si>
  <si>
    <t xml:space="preserve">
 USHUAIA </t>
  </si>
  <si>
    <t xml:space="preserve">
 VIEDMA </t>
  </si>
  <si>
    <t xml:space="preserve">
 VILLA LA ANGOSTURA </t>
  </si>
  <si>
    <t xml:space="preserve">
 VILLA REGINA </t>
  </si>
  <si>
    <t xml:space="preserve">
 ZAPALA </t>
  </si>
  <si>
    <t xml:space="preserve">Precio x Dist. Cabecera 900kg  </t>
  </si>
  <si>
    <t>Costo Kg Exdente</t>
  </si>
  <si>
    <t>ANDREANI</t>
  </si>
  <si>
    <t>Precio hasta 900 kg
Cabecera ($)</t>
  </si>
  <si>
    <t>Línea ($)
Costo por kg excedente ($/kg)</t>
  </si>
  <si>
    <t>ANDESMAR</t>
  </si>
  <si>
    <t>CAPITAL FEDERAL</t>
  </si>
  <si>
    <t>PILAR</t>
  </si>
  <si>
    <t>CAMPANA</t>
  </si>
  <si>
    <t>MERCEDES</t>
  </si>
  <si>
    <t>ZARATE</t>
  </si>
  <si>
    <t>ZONA NORTE</t>
  </si>
  <si>
    <t>ZONA SUR</t>
  </si>
  <si>
    <t>ZONA OESTE</t>
  </si>
  <si>
    <t>-</t>
  </si>
  <si>
    <t>GRUPO SILCO</t>
  </si>
  <si>
    <t>ID Logistics</t>
  </si>
  <si>
    <t>Logicargo</t>
  </si>
  <si>
    <t>Logischer</t>
  </si>
  <si>
    <t>Synergia</t>
  </si>
  <si>
    <t>Tradelog</t>
  </si>
  <si>
    <t>Talcahuano</t>
  </si>
  <si>
    <t>FLEET S.A.</t>
  </si>
  <si>
    <t>Logicargo vs. Andreani</t>
  </si>
  <si>
    <t>Sinerlogic vs. Andreani</t>
  </si>
  <si>
    <t>% tarifas viejas</t>
  </si>
  <si>
    <t>% tarifas nuevas</t>
  </si>
  <si>
    <t>Grupo Silco</t>
  </si>
  <si>
    <t>Silco vs. Andreani</t>
  </si>
  <si>
    <t>El proveedor presentó en Ariba una propuesta, se volvió a conversar con él y volvió a presentarnos una nueva oferta más favorecedora</t>
  </si>
  <si>
    <t>Para Villa María, San Francisco y Río Cuarto cobra lo mismo para un viaje de 900 kg que otros de mayor kg. Se propone poner un máximo a la hora de hacer un contrato con el proveedor.</t>
  </si>
  <si>
    <r>
      <t xml:space="preserve">En verde se pueden ver todas las </t>
    </r>
    <r>
      <rPr>
        <b/>
        <sz val="11"/>
        <color theme="1"/>
        <rFont val="Calibri"/>
        <family val="2"/>
        <scheme val="minor"/>
      </rPr>
      <t>tarifas en las que Logicargo y Silco superan a Andrean</t>
    </r>
    <r>
      <rPr>
        <sz val="11"/>
        <color theme="1"/>
        <rFont val="Calibri"/>
        <family val="2"/>
        <scheme val="minor"/>
      </rPr>
      <t xml:space="preserve">i. En las que no lo supera, generalmente lo que está alto es el valor por kg excedente.
Las tarifas de Andreani </t>
    </r>
    <r>
      <rPr>
        <u/>
        <sz val="11"/>
        <color theme="1"/>
        <rFont val="Calibri"/>
        <family val="2"/>
        <scheme val="minor"/>
      </rPr>
      <t>no son las que actualmente tenemos vigentes</t>
    </r>
    <r>
      <rPr>
        <sz val="11"/>
        <color theme="1"/>
        <rFont val="Calibri"/>
        <family val="2"/>
        <scheme val="minor"/>
      </rPr>
      <t>, con última actualización en el mes de julio. Son las actuales del proveedor, que seguramente recién veamos reflejadas en octubre cuando le toque ajustar sus tarifas. Me pareció necesario que</t>
    </r>
    <r>
      <rPr>
        <b/>
        <sz val="11"/>
        <color theme="1"/>
        <rFont val="Calibri"/>
        <family val="2"/>
        <scheme val="minor"/>
      </rPr>
      <t xml:space="preserve"> a la hora de comparar, lo hagamos con tarifas del mismo momento.</t>
    </r>
  </si>
  <si>
    <t>MEJOR_PROVEEDOR_Precio_Cabecera</t>
  </si>
  <si>
    <t>MEJOR_TARIFA_Precio_Cabecera</t>
  </si>
  <si>
    <t>MEJOR_PROVEEDOR_Costo_Excedente</t>
  </si>
  <si>
    <t>MEJOR_TARIFA_Costo_Excedente</t>
  </si>
  <si>
    <t>TRANSPORTE</t>
  </si>
  <si>
    <t>LOGICARGO</t>
  </si>
  <si>
    <t>SYNERGIA</t>
  </si>
  <si>
    <t>Ejercicio Andreani</t>
  </si>
  <si>
    <t>Ejercicio 2do tte</t>
  </si>
  <si>
    <t>%</t>
  </si>
  <si>
    <t>Entre rios</t>
  </si>
  <si>
    <t>Santa Fe</t>
  </si>
  <si>
    <t>Buenos Aires</t>
  </si>
  <si>
    <t>Cordoba</t>
  </si>
  <si>
    <t>La Pampa</t>
  </si>
  <si>
    <t>San Luis</t>
  </si>
  <si>
    <t>Misiones</t>
  </si>
  <si>
    <t>Chaco</t>
  </si>
  <si>
    <t>Santiago del Estero</t>
  </si>
  <si>
    <t>Mendoza</t>
  </si>
  <si>
    <t>Catamarca</t>
  </si>
  <si>
    <t>San Juan</t>
  </si>
  <si>
    <t>Formosa</t>
  </si>
  <si>
    <t>Tucuman</t>
  </si>
  <si>
    <t>La Rioja</t>
  </si>
  <si>
    <t>Neuquen</t>
  </si>
  <si>
    <t>Salta</t>
  </si>
  <si>
    <t>Jujuy</t>
  </si>
  <si>
    <t>Santa Cruz</t>
  </si>
  <si>
    <t>Rio Negro</t>
  </si>
  <si>
    <t>Chubut</t>
  </si>
  <si>
    <t>Tierra del Fuego</t>
  </si>
  <si>
    <t>Provincia</t>
  </si>
  <si>
    <t>Transport Zone</t>
  </si>
  <si>
    <t>Precio hasta 900 kg
Cabecera ($)2</t>
  </si>
  <si>
    <t>Línea ($)
Costo por kg excedente ($/kg)3</t>
  </si>
  <si>
    <t>Precio hasta 900 kg
Cabecera ($)4</t>
  </si>
  <si>
    <t>Línea ($)
Costo por kg excedente ($/kg)5</t>
  </si>
  <si>
    <t>Precio hasta 900 kg
Cabecera ($)6</t>
  </si>
  <si>
    <t>Línea ($)
Costo por kg excedente ($/kg)7</t>
  </si>
  <si>
    <t>Precio hasta 900 kg
Cabecera ($)8</t>
  </si>
  <si>
    <t>Línea ($)
Costo por kg excedente ($/kg)9</t>
  </si>
  <si>
    <t>Precio hasta 900 kg
Cabecera ($)10</t>
  </si>
  <si>
    <t>Línea ($)
Costo por kg excedente ($/kg)11</t>
  </si>
  <si>
    <t>Precio hasta 900 kg
Cabecera ($)12</t>
  </si>
  <si>
    <t>Línea ($)
Costo por kg excedente ($/kg)13</t>
  </si>
  <si>
    <t>Precio hasta 900 kg
Cabecera ($)14</t>
  </si>
  <si>
    <t>Línea ($)
Costo por kg excedente ($/kg)15</t>
  </si>
  <si>
    <t>Precio hasta 900 kg
Cabecera ($)16</t>
  </si>
  <si>
    <t>Línea ($)
Costo por kg excedente ($/kg)17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</si>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</sst>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_-[$$-2C0A]\ * #,##0.00_-;\-[$$-2C0A]\ * #,##0.00_-;_-[$$-2C0A]\ * &quot;-&quot;??_-;_-@_-"/>
    <numFmt numFmtId="166" formatCode="&quot;$&quot;\ #,##0.00"/>
    <numFmt numFmtId="167" formatCode="\$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ACA8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149EAC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1"/>
      <color theme="0"/>
      <name val="Calibri"/>
      <family val="2"/>
      <scheme val="minor"/>
    </font>
    <font>
      <sz val="13"/>
      <color rgb="FF272D3A"/>
      <name val="Arial Black"/>
      <family val="2"/>
    </font>
    <font>
      <sz val="9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ACA8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149EA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257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22" borderId="8" applyNumberFormat="0" applyAlignment="0" applyProtection="0"/>
  </cellStyleXfs>
  <cellXfs count="9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4" fontId="4" fillId="0" borderId="1" xfId="1" applyFont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5" fillId="6" borderId="1" xfId="0" applyFont="1" applyFill="1" applyBorder="1" applyAlignment="1">
      <alignment horizontal="center" vertical="center" wrapText="1"/>
    </xf>
    <xf numFmtId="44" fontId="4" fillId="2" borderId="1" xfId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3" fontId="5" fillId="8" borderId="1" xfId="0" applyNumberFormat="1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13" borderId="1" xfId="0" applyFont="1" applyFill="1" applyBorder="1" applyAlignment="1">
      <alignment horizontal="center" vertical="center" wrapText="1"/>
    </xf>
    <xf numFmtId="44" fontId="4" fillId="2" borderId="1" xfId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vertical="center"/>
    </xf>
    <xf numFmtId="44" fontId="0" fillId="2" borderId="1" xfId="1" applyFont="1" applyFill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2" borderId="1" xfId="1" applyFont="1" applyFill="1" applyBorder="1" applyAlignment="1">
      <alignment horizontal="center"/>
    </xf>
    <xf numFmtId="3" fontId="16" fillId="14" borderId="1" xfId="0" applyNumberFormat="1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9" fontId="0" fillId="0" borderId="1" xfId="3" applyFont="1" applyBorder="1" applyAlignment="1">
      <alignment horizontal="center" vertical="center"/>
    </xf>
    <xf numFmtId="165" fontId="4" fillId="0" borderId="1" xfId="0" applyNumberFormat="1" applyFont="1" applyBorder="1"/>
    <xf numFmtId="44" fontId="4" fillId="0" borderId="1" xfId="1" applyFont="1" applyBorder="1"/>
    <xf numFmtId="43" fontId="0" fillId="0" borderId="0" xfId="2" applyFont="1"/>
    <xf numFmtId="43" fontId="0" fillId="0" borderId="0" xfId="0" applyNumberFormat="1"/>
    <xf numFmtId="3" fontId="5" fillId="16" borderId="1" xfId="0" applyNumberFormat="1" applyFont="1" applyFill="1" applyBorder="1" applyAlignment="1">
      <alignment horizontal="center" vertical="center" wrapText="1"/>
    </xf>
    <xf numFmtId="0" fontId="5" fillId="16" borderId="1" xfId="0" applyFont="1" applyFill="1" applyBorder="1" applyAlignment="1">
      <alignment horizontal="center" vertical="center" wrapText="1"/>
    </xf>
    <xf numFmtId="44" fontId="0" fillId="16" borderId="1" xfId="1" applyFont="1" applyFill="1" applyBorder="1" applyAlignment="1">
      <alignment horizontal="center" vertical="center"/>
    </xf>
    <xf numFmtId="9" fontId="17" fillId="18" borderId="1" xfId="3" applyFont="1" applyFill="1" applyBorder="1" applyAlignment="1">
      <alignment horizontal="center" vertical="center"/>
    </xf>
    <xf numFmtId="9" fontId="17" fillId="4" borderId="1" xfId="3" applyFont="1" applyFill="1" applyBorder="1" applyAlignment="1">
      <alignment horizontal="center" vertical="center"/>
    </xf>
    <xf numFmtId="165" fontId="4" fillId="2" borderId="1" xfId="0" applyNumberFormat="1" applyFont="1" applyFill="1" applyBorder="1"/>
    <xf numFmtId="44" fontId="4" fillId="2" borderId="1" xfId="1" applyFont="1" applyFill="1" applyBorder="1"/>
    <xf numFmtId="0" fontId="0" fillId="2" borderId="0" xfId="0" applyFill="1" applyAlignment="1">
      <alignment horizontal="center" vertical="center"/>
    </xf>
    <xf numFmtId="9" fontId="0" fillId="0" borderId="0" xfId="3" applyFont="1" applyAlignment="1">
      <alignment horizontal="center" vertical="center"/>
    </xf>
    <xf numFmtId="10" fontId="18" fillId="0" borderId="0" xfId="0" applyNumberFormat="1" applyFont="1" applyAlignment="1">
      <alignment vertical="center" wrapText="1"/>
    </xf>
    <xf numFmtId="10" fontId="0" fillId="0" borderId="0" xfId="0" applyNumberFormat="1" applyAlignment="1">
      <alignment horizontal="center" vertical="center"/>
    </xf>
    <xf numFmtId="164" fontId="4" fillId="17" borderId="1" xfId="1" applyNumberFormat="1" applyFont="1" applyFill="1" applyBorder="1" applyAlignment="1">
      <alignment vertical="center"/>
    </xf>
    <xf numFmtId="165" fontId="4" fillId="17" borderId="1" xfId="0" applyNumberFormat="1" applyFont="1" applyFill="1" applyBorder="1"/>
    <xf numFmtId="44" fontId="4" fillId="17" borderId="1" xfId="1" applyFont="1" applyFill="1" applyBorder="1"/>
    <xf numFmtId="166" fontId="19" fillId="0" borderId="1" xfId="0" applyNumberFormat="1" applyFont="1" applyBorder="1"/>
    <xf numFmtId="166" fontId="19" fillId="0" borderId="1" xfId="0" applyNumberFormat="1" applyFont="1" applyBorder="1" applyAlignment="1">
      <alignment horizontal="center"/>
    </xf>
    <xf numFmtId="9" fontId="4" fillId="19" borderId="1" xfId="3" applyFont="1" applyFill="1" applyBorder="1"/>
    <xf numFmtId="3" fontId="5" fillId="20" borderId="1" xfId="0" applyNumberFormat="1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9" fontId="20" fillId="19" borderId="1" xfId="3" applyFont="1" applyFill="1" applyBorder="1" applyAlignment="1">
      <alignment horizontal="center" vertical="center"/>
    </xf>
    <xf numFmtId="9" fontId="0" fillId="19" borderId="1" xfId="3" applyFont="1" applyFill="1" applyBorder="1" applyAlignment="1">
      <alignment horizontal="center" vertical="center"/>
    </xf>
    <xf numFmtId="9" fontId="0" fillId="0" borderId="1" xfId="3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4" fontId="4" fillId="3" borderId="1" xfId="1" applyFont="1" applyFill="1" applyBorder="1" applyAlignment="1">
      <alignment horizontal="center"/>
    </xf>
    <xf numFmtId="165" fontId="4" fillId="3" borderId="1" xfId="0" applyNumberFormat="1" applyFont="1" applyFill="1" applyBorder="1"/>
    <xf numFmtId="44" fontId="4" fillId="3" borderId="1" xfId="1" applyFont="1" applyFill="1" applyBorder="1"/>
    <xf numFmtId="3" fontId="5" fillId="21" borderId="1" xfId="0" applyNumberFormat="1" applyFont="1" applyFill="1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9" fontId="0" fillId="3" borderId="1" xfId="3" applyFont="1" applyFill="1" applyBorder="1"/>
    <xf numFmtId="9" fontId="4" fillId="2" borderId="1" xfId="3" applyFont="1" applyFill="1" applyBorder="1"/>
    <xf numFmtId="44" fontId="0" fillId="0" borderId="0" xfId="0" applyNumberFormat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4" fontId="7" fillId="3" borderId="4" xfId="0" applyNumberFormat="1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2" fillId="16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5" xfId="0" applyFont="1" applyBorder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167" fontId="0" fillId="23" borderId="0" xfId="0" applyNumberFormat="1" applyFill="1"/>
    <xf numFmtId="167" fontId="0" fillId="24" borderId="0" xfId="0" applyNumberFormat="1" applyFill="1"/>
    <xf numFmtId="0" fontId="23" fillId="22" borderId="8" xfId="4" applyAlignment="1">
      <alignment horizontal="center" vertical="center"/>
    </xf>
    <xf numFmtId="0" fontId="23" fillId="22" borderId="8" xfId="4" applyAlignment="1">
      <alignment vertical="center"/>
    </xf>
    <xf numFmtId="165" fontId="0" fillId="0" borderId="0" xfId="0" applyNumberFormat="1"/>
    <xf numFmtId="0" fontId="6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5" fontId="4" fillId="24" borderId="1" xfId="0" applyNumberFormat="1" applyFont="1" applyFill="1" applyBorder="1"/>
    <xf numFmtId="44" fontId="4" fillId="24" borderId="1" xfId="1" applyFont="1" applyFill="1" applyBorder="1"/>
    <xf numFmtId="44" fontId="4" fillId="24" borderId="1" xfId="1" applyFont="1" applyFill="1" applyBorder="1" applyAlignment="1">
      <alignment horizontal="center"/>
    </xf>
    <xf numFmtId="44" fontId="0" fillId="24" borderId="1" xfId="1" applyFont="1" applyFill="1" applyBorder="1" applyAlignment="1">
      <alignment horizontal="center"/>
    </xf>
  </cellXfs>
  <cellStyles count="5">
    <cellStyle name="Millares" xfId="2" builtinId="3"/>
    <cellStyle name="Moneda" xfId="1" builtinId="4"/>
    <cellStyle name="Normal" xfId="0" builtinId="0"/>
    <cellStyle name="Porcentaje" xfId="3" builtinId="5"/>
    <cellStyle name="Salida" xfId="4" builtinId="21"/>
  </cellStyles>
  <dxfs count="33">
    <dxf>
      <numFmt numFmtId="34" formatCode="_-&quot;$&quot;\ * #,##0.00_-;\-&quot;$&quot;\ * #,##0.00_-;_-&quot;$&quot;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34" formatCode="_-&quot;$&quot;\ * #,##0.00_-;\-&quot;$&quot;\ * #,##0.00_-;_-&quot;$&quot;\ * &quot;-&quot;??_-;_-@_-"/>
      <alignment horizontal="center" vertical="center" textRotation="0" wrapText="0" indent="0" justifyLastLine="0" shrinkToFit="0" readingOrder="0"/>
    </dxf>
    <dxf>
      <numFmt numFmtId="34" formatCode="_-&quot;$&quot;\ * #,##0.00_-;\-&quot;$&quot;\ * #,##0.00_-;_-&quot;$&quot;\ * &quot;-&quot;??_-;_-@_-"/>
      <alignment horizontal="center" vertical="center" textRotation="0" wrapText="0" indent="0" justifyLastLine="0" shrinkToFit="0" readingOrder="0"/>
    </dxf>
    <dxf>
      <numFmt numFmtId="167" formatCode="\$#,##0.00"/>
      <fill>
        <patternFill patternType="solid">
          <fgColor indexed="64"/>
          <bgColor theme="5" tint="0.59999389629810485"/>
        </patternFill>
      </fill>
    </dxf>
    <dxf>
      <numFmt numFmtId="167" formatCode="\$#,##0.00"/>
      <fill>
        <patternFill patternType="solid">
          <fgColor indexed="64"/>
          <bgColor theme="5" tint="0.59999389629810485"/>
        </patternFill>
      </fill>
    </dxf>
    <dxf>
      <numFmt numFmtId="167" formatCode="\$#,##0.00"/>
      <fill>
        <patternFill patternType="solid">
          <fgColor indexed="64"/>
          <bgColor theme="6" tint="0.59999389629810485"/>
        </patternFill>
      </fill>
    </dxf>
    <dxf>
      <numFmt numFmtId="167" formatCode="\$#,##0.00"/>
      <fill>
        <patternFill patternType="solid">
          <fgColor indexed="64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colors>
    <mruColors>
      <color rgb="FFFF257D"/>
      <color rgb="FFFF5050"/>
      <color rgb="FFFFCCFF"/>
      <color rgb="FF149EAC"/>
      <color rgb="FFACA800"/>
      <color rgb="FFFF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DA19F3-81BC-4FCD-9780-1D62E4087B0B}" name="Tabla1" displayName="Tabla1" ref="A2:AF81" totalsRowShown="0" headerRowDxfId="1" tableBorderDxfId="32" headerRowCellStyle="Salida">
  <autoFilter ref="A2:AF81" xr:uid="{9CDA19F3-81BC-4FCD-9780-1D62E4087B0B}">
    <filterColumn colId="1">
      <filters>
        <filter val="Cordoba"/>
      </filters>
    </filterColumn>
  </autoFilter>
  <sortState xmlns:xlrd2="http://schemas.microsoft.com/office/spreadsheetml/2017/richdata2" ref="A3:AE81">
    <sortCondition ref="B3:B81"/>
  </sortState>
  <tableColumns count="32">
    <tableColumn id="1" xr3:uid="{E3A9BB7E-E730-4ED9-82ED-1F83557213F0}" name="Delegacion Andreani" dataDxfId="31"/>
    <tableColumn id="2" xr3:uid="{24485FC8-EE98-442D-B63B-F003BC3857C6}" name="Provincia" dataDxfId="30"/>
    <tableColumn id="3" xr3:uid="{14E0C4A2-A46E-4C8A-8FF7-F99E3889A95A}" name="Transport Zone" dataDxfId="29"/>
    <tableColumn id="4" xr3:uid="{65468FBB-D8AD-4EE0-945A-25F627DA74D6}" name="Precio x Dist. Cabecera 900kg  " dataDxfId="28" dataCellStyle="Moneda"/>
    <tableColumn id="5" xr3:uid="{99CF088F-B285-43F5-A045-29E25649EC35}" name="Costo Kg Exdente" dataDxfId="27" dataCellStyle="Moneda"/>
    <tableColumn id="6" xr3:uid="{9AADE033-AE00-4EA6-A457-8CF4A4E5D228}" name="Precio hasta 900 kg_x000a_Cabecera ($)" dataDxfId="26" dataCellStyle="Moneda"/>
    <tableColumn id="7" xr3:uid="{8E15418B-3AB0-410C-ADEF-43D95A481C22}" name="Línea ($)_x000a_Costo por kg excedente ($/kg)" dataDxfId="25" dataCellStyle="Moneda"/>
    <tableColumn id="8" xr3:uid="{993FABF4-2187-4E89-AC2B-DB558FD004FE}" name="Precio hasta 900 kg_x000a_Cabecera ($)2" dataDxfId="24" dataCellStyle="Moneda"/>
    <tableColumn id="9" xr3:uid="{805EF64E-7B10-485E-88C9-717C5AAA5881}" name="Línea ($)_x000a_Costo por kg excedente ($/kg)3" dataDxfId="23" dataCellStyle="Moneda"/>
    <tableColumn id="10" xr3:uid="{11521FD9-C45B-4351-A70E-95DC164F43D1}" name="Precio hasta 900 kg_x000a_Cabecera ($)4" dataDxfId="22" dataCellStyle="Moneda"/>
    <tableColumn id="11" xr3:uid="{29CB6313-74DB-46FA-A792-51F04B8D1F9A}" name="Línea ($)_x000a_Costo por kg excedente ($/kg)5" dataDxfId="21" dataCellStyle="Moneda"/>
    <tableColumn id="12" xr3:uid="{2D6F68C7-8730-49D0-9630-2B0471A5E66F}" name="Precio hasta 900 kg_x000a_Cabecera ($)6" dataDxfId="20" dataCellStyle="Moneda"/>
    <tableColumn id="13" xr3:uid="{D3AE2083-61AB-499F-9B02-FDE47C0E7468}" name="Línea ($)_x000a_Costo por kg excedente ($/kg)7" dataDxfId="19" dataCellStyle="Moneda"/>
    <tableColumn id="14" xr3:uid="{405E14E7-43D4-4617-B379-67D38ADC8316}" name="Precio hasta 900 kg_x000a_Cabecera ($)8" dataDxfId="18" dataCellStyle="Moneda"/>
    <tableColumn id="15" xr3:uid="{9195A5B8-3E77-4B24-AF14-36798A0E9CD5}" name="Línea ($)_x000a_Costo por kg excedente ($/kg)9" dataDxfId="17" dataCellStyle="Moneda"/>
    <tableColumn id="16" xr3:uid="{97784FB0-0718-47C9-BF82-95410F71574B}" name="Precio hasta 900 kg_x000a_Cabecera ($)10" dataDxfId="16" dataCellStyle="Moneda">
      <calculatedColumnFormula>+Q3*900</calculatedColumnFormula>
    </tableColumn>
    <tableColumn id="17" xr3:uid="{A3521E15-495E-4038-AD3D-5A5D32AE6536}" name="Línea ($)_x000a_Costo por kg excedente ($/kg)11" dataDxfId="15" dataCellStyle="Moneda"/>
    <tableColumn id="18" xr3:uid="{6234E0F9-FFE7-459D-A576-375F3D137E86}" name="Precio hasta 900 kg_x000a_Cabecera ($)12" dataDxfId="14" dataCellStyle="Moneda"/>
    <tableColumn id="19" xr3:uid="{0E881819-269B-4069-AD9E-9E3D048E5C80}" name="Línea ($)_x000a_Costo por kg excedente ($/kg)13" dataDxfId="13" dataCellStyle="Moneda"/>
    <tableColumn id="20" xr3:uid="{678D904B-6013-4FE9-BE99-40F0DABDDDC7}" name="Precio hasta 900 kg_x000a_Cabecera ($)14" dataDxfId="12" dataCellStyle="Moneda"/>
    <tableColumn id="21" xr3:uid="{1F7A1404-FB43-47FE-8A17-2561DCB494FF}" name="Línea ($)_x000a_Costo por kg excedente ($/kg)15" dataDxfId="11" dataCellStyle="Moneda"/>
    <tableColumn id="22" xr3:uid="{2E569CE4-1CD4-4085-B74F-2E62150BCD51}" name="Precio hasta 900 kg_x000a_Cabecera ($)16" dataDxfId="10" dataCellStyle="Moneda"/>
    <tableColumn id="23" xr3:uid="{AE7E207D-59F4-4F23-BD78-404E4AFB989E}" name="Línea ($)_x000a_Costo por kg excedente ($/kg)17" dataDxfId="9" dataCellStyle="Moneda"/>
    <tableColumn id="24" xr3:uid="{7D708EE4-C7DF-4C6C-B11B-AFECD68FA4D7}" name="MEJOR_PROVEEDOR_Precio_Cabecera" dataDxfId="8"/>
    <tableColumn id="25" xr3:uid="{A7E142D3-EF7C-4FF9-803A-6A948EF50E98}" name="MEJOR_TARIFA_Precio_Cabecera" dataDxfId="7"/>
    <tableColumn id="26" xr3:uid="{C820ADBE-C78F-4C7D-B57A-9C48904D03F0}" name="MEJOR_PROVEEDOR_Costo_Excedente" dataDxfId="6"/>
    <tableColumn id="27" xr3:uid="{C5DA0B77-B887-492E-BA1D-97D635F79252}" name="MEJOR_TARIFA_Costo_Excedente" dataDxfId="5"/>
    <tableColumn id="28" xr3:uid="{EBEB7915-49E8-4B39-935F-512B18AF7030}" name="TRANSPORTE"/>
    <tableColumn id="29" xr3:uid="{28D28C24-77C9-4BFF-95B5-A0E345337A68}" name="Ejercicio Andreani" dataDxfId="4"/>
    <tableColumn id="30" xr3:uid="{D3F6CDC1-B235-4E48-9BDC-EDE2BF828027}" name="Ejercicio 2do tte" dataDxfId="3">
      <calculatedColumnFormula>(20000-900)*O3+N3</calculatedColumnFormula>
    </tableColumn>
    <tableColumn id="31" xr3:uid="{2FA534A9-74B2-45E5-AE5C-57A60F1777DC}" name="%" dataDxfId="2" dataCellStyle="Porcentaje">
      <calculatedColumnFormula>(AD3-AC3)/AC3</calculatedColumnFormula>
    </tableColumn>
    <tableColumn id="32" xr3:uid="{75CF3811-8A2A-4C64-8F89-3472A4664FB2}" name="Columna1" dataDxfId="0">
      <calculatedColumnFormula>(20000-900)*Q3+P3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E11E7-3F7F-418B-9AD1-F5CCB37622F1}">
  <dimension ref="A1:AF82"/>
  <sheetViews>
    <sheetView tabSelected="1" topLeftCell="S1" zoomScale="90" zoomScaleNormal="90" workbookViewId="0">
      <selection activeCell="AA25" sqref="AA25"/>
    </sheetView>
  </sheetViews>
  <sheetFormatPr baseColWidth="10" defaultColWidth="12" defaultRowHeight="15" x14ac:dyDescent="0.25"/>
  <cols>
    <col min="1" max="1" width="27.5703125" style="1" bestFit="1" customWidth="1"/>
    <col min="2" max="3" width="27.5703125" style="1" customWidth="1"/>
    <col min="4" max="4" width="28.7109375" style="1" customWidth="1"/>
    <col min="5" max="5" width="17.7109375" style="1" customWidth="1"/>
    <col min="6" max="6" width="13.7109375" style="1" bestFit="1" customWidth="1"/>
    <col min="7" max="7" width="15.7109375" style="1" bestFit="1" customWidth="1"/>
    <col min="8" max="8" width="13.7109375" style="1" bestFit="1" customWidth="1"/>
    <col min="9" max="9" width="15.7109375" style="1" bestFit="1" customWidth="1"/>
    <col min="10" max="10" width="13.7109375" style="1" bestFit="1" customWidth="1"/>
    <col min="11" max="11" width="15.7109375" style="1" bestFit="1" customWidth="1"/>
    <col min="12" max="12" width="13.7109375" style="1" bestFit="1" customWidth="1"/>
    <col min="13" max="13" width="15.7109375" style="1" bestFit="1" customWidth="1"/>
    <col min="14" max="14" width="13.7109375" style="1" bestFit="1" customWidth="1"/>
    <col min="15" max="15" width="15.7109375" style="1" bestFit="1" customWidth="1"/>
    <col min="16" max="16" width="13.7109375" style="1" bestFit="1" customWidth="1"/>
    <col min="17" max="17" width="15.7109375" style="1" bestFit="1" customWidth="1"/>
    <col min="18" max="18" width="13.7109375" style="1" bestFit="1" customWidth="1"/>
    <col min="19" max="19" width="15.7109375" style="1" bestFit="1" customWidth="1"/>
    <col min="20" max="20" width="13.7109375" style="1" bestFit="1" customWidth="1"/>
    <col min="21" max="21" width="15.7109375" style="1" bestFit="1" customWidth="1"/>
    <col min="22" max="22" width="13.7109375" style="1" bestFit="1" customWidth="1"/>
    <col min="23" max="23" width="15.7109375" style="1" bestFit="1" customWidth="1"/>
    <col min="24" max="24" width="35.5703125" style="1" customWidth="1"/>
    <col min="25" max="25" width="31.28515625" style="1" customWidth="1"/>
    <col min="26" max="26" width="35.85546875" style="1" bestFit="1" customWidth="1"/>
    <col min="27" max="27" width="31.7109375" style="1" customWidth="1"/>
    <col min="28" max="28" width="14.140625" style="1" customWidth="1"/>
    <col min="29" max="29" width="18.85546875" style="1" customWidth="1"/>
    <col min="30" max="30" width="21" style="1" bestFit="1" customWidth="1"/>
    <col min="31" max="31" width="13.7109375" style="1" bestFit="1" customWidth="1"/>
    <col min="32" max="32" width="15.42578125" style="1" bestFit="1" customWidth="1"/>
    <col min="33" max="16384" width="12" style="1"/>
  </cols>
  <sheetData>
    <row r="1" spans="1:32" x14ac:dyDescent="0.25">
      <c r="D1" s="73" t="s">
        <v>74</v>
      </c>
      <c r="E1" s="74"/>
      <c r="F1" s="69" t="s">
        <v>94</v>
      </c>
      <c r="G1" s="70"/>
      <c r="H1" s="66" t="s">
        <v>77</v>
      </c>
      <c r="I1" s="66"/>
      <c r="J1" s="67" t="s">
        <v>87</v>
      </c>
      <c r="K1" s="67"/>
      <c r="L1" s="68" t="s">
        <v>88</v>
      </c>
      <c r="M1" s="68"/>
      <c r="N1" s="64" t="s">
        <v>89</v>
      </c>
      <c r="O1" s="64"/>
      <c r="P1" s="71" t="s">
        <v>90</v>
      </c>
      <c r="Q1" s="71"/>
      <c r="R1" s="72" t="s">
        <v>91</v>
      </c>
      <c r="S1" s="72"/>
      <c r="T1" s="64" t="s">
        <v>92</v>
      </c>
      <c r="U1" s="64"/>
      <c r="V1" s="65" t="s">
        <v>93</v>
      </c>
      <c r="W1" s="65"/>
    </row>
    <row r="2" spans="1:32" ht="60" x14ac:dyDescent="0.25">
      <c r="A2" s="90" t="s">
        <v>0</v>
      </c>
      <c r="B2" s="5" t="s">
        <v>136</v>
      </c>
      <c r="C2" s="5" t="s">
        <v>137</v>
      </c>
      <c r="D2" s="3" t="s">
        <v>72</v>
      </c>
      <c r="E2" s="3" t="s">
        <v>73</v>
      </c>
      <c r="F2" s="19" t="s">
        <v>75</v>
      </c>
      <c r="G2" s="19" t="s">
        <v>76</v>
      </c>
      <c r="H2" s="4" t="s">
        <v>138</v>
      </c>
      <c r="I2" s="4" t="s">
        <v>139</v>
      </c>
      <c r="J2" s="9" t="s">
        <v>140</v>
      </c>
      <c r="K2" s="9" t="s">
        <v>141</v>
      </c>
      <c r="L2" s="11" t="s">
        <v>142</v>
      </c>
      <c r="M2" s="11" t="s">
        <v>143</v>
      </c>
      <c r="N2" s="12" t="s">
        <v>144</v>
      </c>
      <c r="O2" s="13" t="s">
        <v>145</v>
      </c>
      <c r="P2" s="14" t="s">
        <v>146</v>
      </c>
      <c r="Q2" s="14" t="s">
        <v>147</v>
      </c>
      <c r="R2" s="15" t="s">
        <v>148</v>
      </c>
      <c r="S2" s="15" t="s">
        <v>149</v>
      </c>
      <c r="T2" s="16" t="s">
        <v>150</v>
      </c>
      <c r="U2" s="16" t="s">
        <v>151</v>
      </c>
      <c r="V2" s="17" t="s">
        <v>152</v>
      </c>
      <c r="W2" s="17" t="s">
        <v>153</v>
      </c>
      <c r="X2" s="87" t="s">
        <v>104</v>
      </c>
      <c r="Y2" s="87" t="s">
        <v>105</v>
      </c>
      <c r="Z2" s="87" t="s">
        <v>106</v>
      </c>
      <c r="AA2" s="87" t="s">
        <v>107</v>
      </c>
      <c r="AB2" s="88" t="s">
        <v>108</v>
      </c>
      <c r="AC2" s="87" t="s">
        <v>111</v>
      </c>
      <c r="AD2" s="87" t="s">
        <v>112</v>
      </c>
      <c r="AE2" s="87" t="s">
        <v>113</v>
      </c>
      <c r="AF2" s="87" t="s">
        <v>154</v>
      </c>
    </row>
    <row r="3" spans="1:32" hidden="1" x14ac:dyDescent="0.25">
      <c r="A3" s="91" t="s">
        <v>3</v>
      </c>
      <c r="B3" s="2" t="s">
        <v>116</v>
      </c>
      <c r="C3" s="2"/>
      <c r="D3" s="7">
        <v>181508.87726140922</v>
      </c>
      <c r="E3" s="7">
        <v>72.439612513383409</v>
      </c>
      <c r="F3" s="7" t="s">
        <v>86</v>
      </c>
      <c r="G3" s="7" t="s">
        <v>86</v>
      </c>
      <c r="H3" s="7">
        <v>171394.08</v>
      </c>
      <c r="I3" s="7">
        <v>266.17</v>
      </c>
      <c r="J3" s="7" t="s">
        <v>86</v>
      </c>
      <c r="K3" s="7" t="s">
        <v>86</v>
      </c>
      <c r="L3" s="24">
        <v>308333</v>
      </c>
      <c r="M3" s="10">
        <v>308</v>
      </c>
      <c r="N3" s="24">
        <v>100000</v>
      </c>
      <c r="O3" s="10">
        <v>89</v>
      </c>
      <c r="P3" s="7">
        <f>+Q3*900</f>
        <v>355500</v>
      </c>
      <c r="Q3" s="7">
        <v>395</v>
      </c>
      <c r="R3" s="7">
        <v>148630.07964535445</v>
      </c>
      <c r="S3" s="7">
        <v>127</v>
      </c>
      <c r="T3" s="7" t="s">
        <v>86</v>
      </c>
      <c r="U3" s="7" t="s">
        <v>86</v>
      </c>
      <c r="V3" s="7">
        <v>413949.63133333344</v>
      </c>
      <c r="W3" s="7">
        <v>4599.4403481481495</v>
      </c>
      <c r="X3" s="85" t="s">
        <v>89</v>
      </c>
      <c r="Y3" s="85">
        <v>100000</v>
      </c>
      <c r="Z3" s="86" t="s">
        <v>74</v>
      </c>
      <c r="AA3" s="86">
        <v>72.439612513383409</v>
      </c>
      <c r="AB3" t="s">
        <v>74</v>
      </c>
      <c r="AC3" s="63">
        <f>(20000-900)*E3+D3</f>
        <v>1565105.4762670323</v>
      </c>
      <c r="AD3" s="63">
        <f>(20000-900)*O3+N3</f>
        <v>1799900</v>
      </c>
      <c r="AE3" s="40">
        <f>(AD3-AC3)/AC3</f>
        <v>0.15001833888728144</v>
      </c>
      <c r="AF3" s="63">
        <f t="shared" ref="AF3:AF34" si="0">(20000-900)*Q3+P3</f>
        <v>7900000</v>
      </c>
    </row>
    <row r="4" spans="1:32" hidden="1" x14ac:dyDescent="0.25">
      <c r="A4" s="91" t="s">
        <v>6</v>
      </c>
      <c r="B4" s="2" t="s">
        <v>116</v>
      </c>
      <c r="C4" s="2"/>
      <c r="D4" s="7">
        <v>191628.4693420266</v>
      </c>
      <c r="E4" s="7">
        <v>89.485571734545331</v>
      </c>
      <c r="F4" s="7" t="s">
        <v>86</v>
      </c>
      <c r="G4" s="7" t="s">
        <v>86</v>
      </c>
      <c r="H4" s="7">
        <v>171394.08</v>
      </c>
      <c r="I4" s="7">
        <v>266.17</v>
      </c>
      <c r="J4" s="7" t="s">
        <v>86</v>
      </c>
      <c r="K4" s="7" t="s">
        <v>86</v>
      </c>
      <c r="L4" s="24">
        <v>370000</v>
      </c>
      <c r="M4" s="10">
        <v>370</v>
      </c>
      <c r="N4" s="24">
        <v>100000</v>
      </c>
      <c r="O4" s="10">
        <v>89</v>
      </c>
      <c r="P4" s="24">
        <f>+Q4*900</f>
        <v>355500</v>
      </c>
      <c r="Q4" s="24">
        <v>395</v>
      </c>
      <c r="R4" s="24">
        <v>142089.57964535445</v>
      </c>
      <c r="S4" s="24">
        <v>104.14</v>
      </c>
      <c r="T4" s="7" t="s">
        <v>86</v>
      </c>
      <c r="U4" s="7" t="s">
        <v>86</v>
      </c>
      <c r="V4" s="7">
        <v>501737.18833333335</v>
      </c>
      <c r="W4" s="7">
        <v>5574.8576481481487</v>
      </c>
      <c r="X4" s="85" t="s">
        <v>89</v>
      </c>
      <c r="Y4" s="85">
        <v>100000</v>
      </c>
      <c r="Z4" s="86" t="s">
        <v>89</v>
      </c>
      <c r="AA4" s="86">
        <v>89</v>
      </c>
      <c r="AB4" t="s">
        <v>109</v>
      </c>
      <c r="AC4" s="63">
        <f>(20000-900)*E4+D4</f>
        <v>1900802.8894718424</v>
      </c>
      <c r="AD4" s="63">
        <f>(20000-900)*O4+N4</f>
        <v>1799900</v>
      </c>
      <c r="AE4" s="40">
        <f>(AD4-AC4)/AC4</f>
        <v>-5.3084351897149808E-2</v>
      </c>
      <c r="AF4" s="63">
        <f t="shared" si="0"/>
        <v>7900000</v>
      </c>
    </row>
    <row r="5" spans="1:32" hidden="1" x14ac:dyDescent="0.25">
      <c r="A5" s="91" t="s">
        <v>9</v>
      </c>
      <c r="B5" s="2" t="s">
        <v>116</v>
      </c>
      <c r="C5" s="2"/>
      <c r="D5" s="7">
        <v>194158.36736218093</v>
      </c>
      <c r="E5" s="7">
        <v>93.74706153983584</v>
      </c>
      <c r="F5" s="7" t="s">
        <v>86</v>
      </c>
      <c r="G5" s="7" t="s">
        <v>86</v>
      </c>
      <c r="H5" s="7">
        <v>171394.08</v>
      </c>
      <c r="I5" s="7">
        <v>266.17</v>
      </c>
      <c r="J5" s="7" t="s">
        <v>86</v>
      </c>
      <c r="K5" s="7" t="s">
        <v>86</v>
      </c>
      <c r="L5" s="24">
        <v>462500</v>
      </c>
      <c r="M5" s="10">
        <v>462</v>
      </c>
      <c r="N5" s="24">
        <v>100000</v>
      </c>
      <c r="O5" s="10">
        <v>85</v>
      </c>
      <c r="P5" s="24">
        <f>+Q5*900</f>
        <v>427500</v>
      </c>
      <c r="Q5" s="24">
        <v>475</v>
      </c>
      <c r="R5" s="24">
        <v>201970.07964535445</v>
      </c>
      <c r="S5" s="24">
        <v>125.73</v>
      </c>
      <c r="T5" s="7" t="s">
        <v>86</v>
      </c>
      <c r="U5" s="7" t="s">
        <v>86</v>
      </c>
      <c r="V5" s="7">
        <v>551244.21733333345</v>
      </c>
      <c r="W5" s="7">
        <v>6124.9357481481493</v>
      </c>
      <c r="X5" s="85" t="s">
        <v>89</v>
      </c>
      <c r="Y5" s="85">
        <v>100000</v>
      </c>
      <c r="Z5" s="86" t="s">
        <v>89</v>
      </c>
      <c r="AA5" s="86">
        <v>85</v>
      </c>
      <c r="AB5" t="s">
        <v>109</v>
      </c>
      <c r="AC5" s="63">
        <f>(20000-900)*E5+D5</f>
        <v>1984727.2427730456</v>
      </c>
      <c r="AD5" s="63">
        <f>(20000-900)*O5+N5</f>
        <v>1723500</v>
      </c>
      <c r="AE5" s="40">
        <f>(AD5-AC5)/AC5</f>
        <v>-0.13161871170169503</v>
      </c>
      <c r="AF5" s="63">
        <f t="shared" si="0"/>
        <v>9500000</v>
      </c>
    </row>
    <row r="6" spans="1:32" hidden="1" x14ac:dyDescent="0.25">
      <c r="A6" s="91" t="s">
        <v>10</v>
      </c>
      <c r="B6" s="2" t="s">
        <v>116</v>
      </c>
      <c r="C6" s="2"/>
      <c r="D6" s="7">
        <v>195423.31637225806</v>
      </c>
      <c r="E6" s="7">
        <v>95.877806442481031</v>
      </c>
      <c r="F6" s="7" t="s">
        <v>86</v>
      </c>
      <c r="G6" s="7" t="s">
        <v>86</v>
      </c>
      <c r="H6" s="7">
        <v>171394.08</v>
      </c>
      <c r="I6" s="7">
        <v>266.17</v>
      </c>
      <c r="J6" s="7" t="s">
        <v>86</v>
      </c>
      <c r="K6" s="7" t="s">
        <v>86</v>
      </c>
      <c r="L6" s="24">
        <v>462500</v>
      </c>
      <c r="M6" s="10">
        <v>462</v>
      </c>
      <c r="N6" s="24">
        <v>100000</v>
      </c>
      <c r="O6" s="10">
        <v>89</v>
      </c>
      <c r="P6" s="24">
        <f>+Q6*900</f>
        <v>427500</v>
      </c>
      <c r="Q6" s="24">
        <v>475</v>
      </c>
      <c r="R6" s="24">
        <v>148630.07964535445</v>
      </c>
      <c r="S6" s="24">
        <v>127</v>
      </c>
      <c r="T6" s="7" t="s">
        <v>86</v>
      </c>
      <c r="U6" s="7" t="s">
        <v>86</v>
      </c>
      <c r="V6" s="7">
        <v>511123.27933333337</v>
      </c>
      <c r="W6" s="7">
        <v>5679.1475481481484</v>
      </c>
      <c r="X6" s="85" t="s">
        <v>89</v>
      </c>
      <c r="Y6" s="85">
        <v>100000</v>
      </c>
      <c r="Z6" s="86" t="s">
        <v>89</v>
      </c>
      <c r="AA6" s="86">
        <v>89</v>
      </c>
      <c r="AB6" t="s">
        <v>109</v>
      </c>
      <c r="AC6" s="63">
        <f>(20000-900)*E6+D6</f>
        <v>2026689.4194236458</v>
      </c>
      <c r="AD6" s="63">
        <f>(20000-900)*O6+N6</f>
        <v>1799900</v>
      </c>
      <c r="AE6" s="40">
        <f>(AD6-AC6)/AC6</f>
        <v>-0.1119014177752705</v>
      </c>
      <c r="AF6" s="63">
        <f t="shared" si="0"/>
        <v>9500000</v>
      </c>
    </row>
    <row r="7" spans="1:32" hidden="1" x14ac:dyDescent="0.25">
      <c r="A7" s="91" t="s">
        <v>17</v>
      </c>
      <c r="B7" s="2" t="s">
        <v>116</v>
      </c>
      <c r="C7" s="2"/>
      <c r="D7" s="7">
        <v>211867.65350326127</v>
      </c>
      <c r="E7" s="7">
        <v>123.57749017686922</v>
      </c>
      <c r="F7" s="7" t="s">
        <v>86</v>
      </c>
      <c r="G7" s="7" t="s">
        <v>86</v>
      </c>
      <c r="H7" s="7">
        <v>176672.77581645999</v>
      </c>
      <c r="I7" s="7">
        <v>281.47659242999998</v>
      </c>
      <c r="J7" s="7" t="s">
        <v>86</v>
      </c>
      <c r="K7" s="7" t="s">
        <v>86</v>
      </c>
      <c r="L7" s="24">
        <v>462500</v>
      </c>
      <c r="M7" s="10">
        <v>462</v>
      </c>
      <c r="N7" s="24">
        <v>115000</v>
      </c>
      <c r="O7" s="10">
        <v>93</v>
      </c>
      <c r="P7" s="24">
        <f>+Q7*900</f>
        <v>427500</v>
      </c>
      <c r="Q7" s="24">
        <v>475</v>
      </c>
      <c r="R7" s="24">
        <v>148236.37964535443</v>
      </c>
      <c r="S7" s="24">
        <v>105.41</v>
      </c>
      <c r="T7" s="7" t="s">
        <v>86</v>
      </c>
      <c r="U7" s="7" t="s">
        <v>86</v>
      </c>
      <c r="V7" s="7">
        <v>240583.00933333335</v>
      </c>
      <c r="W7" s="7">
        <v>2673.1445481481483</v>
      </c>
      <c r="X7" s="85" t="s">
        <v>89</v>
      </c>
      <c r="Y7" s="85">
        <v>115000</v>
      </c>
      <c r="Z7" s="86" t="s">
        <v>89</v>
      </c>
      <c r="AA7" s="86">
        <v>93</v>
      </c>
      <c r="AB7" t="s">
        <v>109</v>
      </c>
      <c r="AC7" s="63">
        <f>(20000-900)*E7+D7</f>
        <v>2572197.7158814631</v>
      </c>
      <c r="AD7" s="63">
        <f>(20000-900)*O7+N7</f>
        <v>1891300</v>
      </c>
      <c r="AE7" s="40">
        <f>(AD7-AC7)/AC7</f>
        <v>-0.26471437700041933</v>
      </c>
      <c r="AF7" s="63">
        <f t="shared" si="0"/>
        <v>9500000</v>
      </c>
    </row>
    <row r="8" spans="1:32" hidden="1" x14ac:dyDescent="0.25">
      <c r="A8" s="91" t="s">
        <v>78</v>
      </c>
      <c r="B8" s="2" t="s">
        <v>116</v>
      </c>
      <c r="C8" s="2"/>
      <c r="D8" s="22" t="s">
        <v>86</v>
      </c>
      <c r="E8" s="22" t="s">
        <v>86</v>
      </c>
      <c r="F8" s="8">
        <v>413999.99999999994</v>
      </c>
      <c r="G8" s="7">
        <v>528.99999999999989</v>
      </c>
      <c r="H8" s="7">
        <v>43417.662859999997</v>
      </c>
      <c r="I8" s="7">
        <v>44.575189999999999</v>
      </c>
      <c r="J8" s="7" t="s">
        <v>86</v>
      </c>
      <c r="K8" s="7" t="s">
        <v>86</v>
      </c>
      <c r="L8" s="7" t="s">
        <v>86</v>
      </c>
      <c r="M8" s="7" t="s">
        <v>86</v>
      </c>
      <c r="N8" s="7" t="s">
        <v>86</v>
      </c>
      <c r="O8" s="7" t="s">
        <v>86</v>
      </c>
      <c r="P8" s="24">
        <f>+Q8*900</f>
        <v>270000</v>
      </c>
      <c r="Q8" s="24">
        <v>300</v>
      </c>
      <c r="R8" s="24">
        <v>116880.07964535446</v>
      </c>
      <c r="S8" s="24">
        <v>103.1875</v>
      </c>
      <c r="T8" s="7" t="s">
        <v>86</v>
      </c>
      <c r="U8" s="7" t="s">
        <v>86</v>
      </c>
      <c r="V8" s="7" t="s">
        <v>86</v>
      </c>
      <c r="W8" s="7" t="s">
        <v>86</v>
      </c>
      <c r="X8" s="85" t="s">
        <v>77</v>
      </c>
      <c r="Y8" s="85">
        <v>43417.662859999997</v>
      </c>
      <c r="Z8" s="86" t="s">
        <v>77</v>
      </c>
      <c r="AA8" s="86">
        <v>44.575189999999999</v>
      </c>
      <c r="AB8" t="s">
        <v>77</v>
      </c>
      <c r="AC8" s="63"/>
      <c r="AD8" s="63" t="e">
        <f>(20000-900)*O8+N8</f>
        <v>#VALUE!</v>
      </c>
      <c r="AE8" s="40" t="e">
        <f>(AD8-AC8)/AC8</f>
        <v>#VALUE!</v>
      </c>
      <c r="AF8" s="63">
        <f t="shared" si="0"/>
        <v>6000000</v>
      </c>
    </row>
    <row r="9" spans="1:32" hidden="1" x14ac:dyDescent="0.25">
      <c r="A9" s="91" t="s">
        <v>79</v>
      </c>
      <c r="B9" s="2" t="s">
        <v>116</v>
      </c>
      <c r="C9" s="2"/>
      <c r="D9" s="22" t="s">
        <v>86</v>
      </c>
      <c r="E9" s="22" t="s">
        <v>86</v>
      </c>
      <c r="F9" s="8">
        <v>413999.99999999994</v>
      </c>
      <c r="G9" s="7">
        <v>528.99999999999989</v>
      </c>
      <c r="H9" s="7">
        <v>55552.60282</v>
      </c>
      <c r="I9" s="7">
        <v>65.551749999999998</v>
      </c>
      <c r="J9" s="7" t="s">
        <v>86</v>
      </c>
      <c r="K9" s="7" t="s">
        <v>86</v>
      </c>
      <c r="L9" s="7" t="s">
        <v>86</v>
      </c>
      <c r="M9" s="7" t="s">
        <v>86</v>
      </c>
      <c r="N9" s="7" t="s">
        <v>86</v>
      </c>
      <c r="O9" s="7" t="s">
        <v>86</v>
      </c>
      <c r="P9" s="24">
        <f>+Q9*900</f>
        <v>270000</v>
      </c>
      <c r="Q9" s="24">
        <v>300</v>
      </c>
      <c r="R9" s="24">
        <v>148630.07964535445</v>
      </c>
      <c r="S9" s="24">
        <v>142.875</v>
      </c>
      <c r="T9" s="7" t="s">
        <v>86</v>
      </c>
      <c r="U9" s="7" t="s">
        <v>86</v>
      </c>
      <c r="V9" s="7" t="s">
        <v>86</v>
      </c>
      <c r="W9" s="7" t="s">
        <v>86</v>
      </c>
      <c r="X9" s="85" t="s">
        <v>77</v>
      </c>
      <c r="Y9" s="85">
        <v>55552.60282</v>
      </c>
      <c r="Z9" s="86" t="s">
        <v>77</v>
      </c>
      <c r="AA9" s="86">
        <v>65.551749999999998</v>
      </c>
      <c r="AB9" t="s">
        <v>77</v>
      </c>
      <c r="AC9" s="63"/>
      <c r="AD9" s="63" t="e">
        <f>(20000-900)*O9+N9</f>
        <v>#VALUE!</v>
      </c>
      <c r="AE9" s="40" t="e">
        <f>(AD9-AC9)/AC9</f>
        <v>#VALUE!</v>
      </c>
      <c r="AF9" s="63">
        <f t="shared" si="0"/>
        <v>6000000</v>
      </c>
    </row>
    <row r="10" spans="1:32" hidden="1" x14ac:dyDescent="0.25">
      <c r="A10" s="91" t="s">
        <v>80</v>
      </c>
      <c r="B10" s="2" t="s">
        <v>116</v>
      </c>
      <c r="C10" s="2"/>
      <c r="D10" s="22" t="s">
        <v>86</v>
      </c>
      <c r="E10" s="22" t="s">
        <v>86</v>
      </c>
      <c r="F10" s="8">
        <v>413999.99999999994</v>
      </c>
      <c r="G10" s="7">
        <v>528.99999999999989</v>
      </c>
      <c r="H10" s="7">
        <v>171393.03334999998</v>
      </c>
      <c r="I10" s="7">
        <v>298.91597999999999</v>
      </c>
      <c r="J10" s="7" t="s">
        <v>86</v>
      </c>
      <c r="K10" s="7" t="s">
        <v>86</v>
      </c>
      <c r="L10" s="7" t="s">
        <v>86</v>
      </c>
      <c r="M10" s="7" t="s">
        <v>86</v>
      </c>
      <c r="N10" s="7">
        <v>90000</v>
      </c>
      <c r="O10" s="7">
        <v>100</v>
      </c>
      <c r="P10" s="24">
        <f>+Q10*900</f>
        <v>270000</v>
      </c>
      <c r="Q10" s="24">
        <v>300</v>
      </c>
      <c r="R10" s="24">
        <v>148630.07964535445</v>
      </c>
      <c r="S10" s="24">
        <v>127</v>
      </c>
      <c r="T10" s="7" t="s">
        <v>86</v>
      </c>
      <c r="U10" s="7" t="s">
        <v>86</v>
      </c>
      <c r="V10" s="7" t="s">
        <v>86</v>
      </c>
      <c r="W10" s="7" t="s">
        <v>86</v>
      </c>
      <c r="X10" s="85" t="s">
        <v>89</v>
      </c>
      <c r="Y10" s="85">
        <v>90000</v>
      </c>
      <c r="Z10" s="86" t="s">
        <v>89</v>
      </c>
      <c r="AA10" s="86">
        <v>100</v>
      </c>
      <c r="AB10" t="s">
        <v>109</v>
      </c>
      <c r="AC10" s="63"/>
      <c r="AD10" s="63">
        <f>(20000-900)*O10+N10</f>
        <v>2000000</v>
      </c>
      <c r="AE10" s="40" t="e">
        <f>(AD10-AC10)/AC10</f>
        <v>#DIV/0!</v>
      </c>
      <c r="AF10" s="63">
        <f t="shared" si="0"/>
        <v>6000000</v>
      </c>
    </row>
    <row r="11" spans="1:32" hidden="1" x14ac:dyDescent="0.25">
      <c r="A11" s="91" t="s">
        <v>81</v>
      </c>
      <c r="B11" s="2" t="s">
        <v>116</v>
      </c>
      <c r="C11" s="2"/>
      <c r="D11" s="22" t="s">
        <v>86</v>
      </c>
      <c r="E11" s="22" t="s">
        <v>86</v>
      </c>
      <c r="F11" s="8">
        <v>413999.99999999994</v>
      </c>
      <c r="G11" s="7">
        <v>528.99999999999989</v>
      </c>
      <c r="H11" s="7">
        <v>171394.08</v>
      </c>
      <c r="I11" s="7">
        <v>266.17</v>
      </c>
      <c r="J11" s="7" t="s">
        <v>86</v>
      </c>
      <c r="K11" s="7" t="s">
        <v>86</v>
      </c>
      <c r="L11" s="7" t="s">
        <v>86</v>
      </c>
      <c r="M11" s="7" t="s">
        <v>86</v>
      </c>
      <c r="N11" s="7">
        <v>90000</v>
      </c>
      <c r="O11" s="7">
        <v>100</v>
      </c>
      <c r="P11" s="24">
        <f>+Q11*900</f>
        <v>355500</v>
      </c>
      <c r="Q11" s="24">
        <v>395</v>
      </c>
      <c r="R11" s="24">
        <v>148630.07964535445</v>
      </c>
      <c r="S11" s="24">
        <v>127</v>
      </c>
      <c r="T11" s="7" t="s">
        <v>86</v>
      </c>
      <c r="U11" s="7" t="s">
        <v>86</v>
      </c>
      <c r="V11" s="7" t="s">
        <v>86</v>
      </c>
      <c r="W11" s="7" t="s">
        <v>86</v>
      </c>
      <c r="X11" s="85" t="s">
        <v>89</v>
      </c>
      <c r="Y11" s="85">
        <v>90000</v>
      </c>
      <c r="Z11" s="86" t="s">
        <v>89</v>
      </c>
      <c r="AA11" s="86">
        <v>100</v>
      </c>
      <c r="AB11" t="s">
        <v>109</v>
      </c>
      <c r="AC11" s="63"/>
      <c r="AD11" s="63">
        <f>(20000-900)*O11+N11</f>
        <v>2000000</v>
      </c>
      <c r="AE11" s="40" t="e">
        <f>(AD11-AC11)/AC11</f>
        <v>#DIV/0!</v>
      </c>
      <c r="AF11" s="63">
        <f t="shared" si="0"/>
        <v>7900000</v>
      </c>
    </row>
    <row r="12" spans="1:32" hidden="1" x14ac:dyDescent="0.25">
      <c r="A12" s="91" t="s">
        <v>82</v>
      </c>
      <c r="B12" s="2" t="s">
        <v>116</v>
      </c>
      <c r="C12" s="2"/>
      <c r="D12" s="22" t="s">
        <v>86</v>
      </c>
      <c r="E12" s="22" t="s">
        <v>86</v>
      </c>
      <c r="F12" s="8">
        <v>413999.99999999994</v>
      </c>
      <c r="G12" s="7">
        <v>528.99999999999989</v>
      </c>
      <c r="H12" s="8">
        <v>171393.03334999998</v>
      </c>
      <c r="I12" s="8">
        <v>298.91597999999999</v>
      </c>
      <c r="J12" s="7" t="s">
        <v>86</v>
      </c>
      <c r="K12" s="7" t="s">
        <v>86</v>
      </c>
      <c r="L12" s="7" t="s">
        <v>86</v>
      </c>
      <c r="M12" s="7" t="s">
        <v>86</v>
      </c>
      <c r="N12" s="7">
        <v>90000</v>
      </c>
      <c r="O12" s="7">
        <v>100</v>
      </c>
      <c r="P12" s="24">
        <f>+Q12*900</f>
        <v>270000</v>
      </c>
      <c r="Q12" s="24">
        <v>300</v>
      </c>
      <c r="R12" s="24">
        <v>148630.07964535445</v>
      </c>
      <c r="S12" s="24">
        <v>127</v>
      </c>
      <c r="T12" s="7" t="s">
        <v>86</v>
      </c>
      <c r="U12" s="7" t="s">
        <v>86</v>
      </c>
      <c r="V12" s="7" t="s">
        <v>86</v>
      </c>
      <c r="W12" s="7" t="s">
        <v>86</v>
      </c>
      <c r="X12" s="85" t="s">
        <v>89</v>
      </c>
      <c r="Y12" s="85">
        <v>90000</v>
      </c>
      <c r="Z12" s="86" t="s">
        <v>89</v>
      </c>
      <c r="AA12" s="86">
        <v>100</v>
      </c>
      <c r="AB12" t="s">
        <v>109</v>
      </c>
      <c r="AC12" s="63"/>
      <c r="AD12" s="63">
        <f>(20000-900)*O12+N12</f>
        <v>2000000</v>
      </c>
      <c r="AE12" s="40" t="e">
        <f>(AD12-AC12)/AC12</f>
        <v>#DIV/0!</v>
      </c>
      <c r="AF12" s="63">
        <f t="shared" si="0"/>
        <v>6000000</v>
      </c>
    </row>
    <row r="13" spans="1:32" hidden="1" x14ac:dyDescent="0.25">
      <c r="A13" s="92" t="s">
        <v>83</v>
      </c>
      <c r="B13" s="6" t="s">
        <v>116</v>
      </c>
      <c r="C13" s="6"/>
      <c r="D13" s="22" t="s">
        <v>86</v>
      </c>
      <c r="E13" s="22" t="s">
        <v>86</v>
      </c>
      <c r="F13" s="8">
        <v>413999.99999999994</v>
      </c>
      <c r="G13" s="7">
        <v>528.99999999999989</v>
      </c>
      <c r="H13" s="8">
        <v>61069.438099999992</v>
      </c>
      <c r="I13" s="8">
        <v>76.040029999999987</v>
      </c>
      <c r="J13" s="7" t="s">
        <v>86</v>
      </c>
      <c r="K13" s="7" t="s">
        <v>86</v>
      </c>
      <c r="L13" s="7" t="s">
        <v>86</v>
      </c>
      <c r="M13" s="7" t="s">
        <v>86</v>
      </c>
      <c r="N13" s="7" t="s">
        <v>86</v>
      </c>
      <c r="O13" s="7" t="s">
        <v>86</v>
      </c>
      <c r="P13" s="24">
        <f>+Q13*900</f>
        <v>270000</v>
      </c>
      <c r="Q13" s="24">
        <v>300</v>
      </c>
      <c r="R13" s="24">
        <v>135930.07964535445</v>
      </c>
      <c r="S13" s="24">
        <v>127</v>
      </c>
      <c r="T13" s="7" t="s">
        <v>86</v>
      </c>
      <c r="U13" s="7" t="s">
        <v>86</v>
      </c>
      <c r="V13" s="7" t="s">
        <v>86</v>
      </c>
      <c r="W13" s="7" t="s">
        <v>86</v>
      </c>
      <c r="X13" s="85" t="s">
        <v>77</v>
      </c>
      <c r="Y13" s="85">
        <v>61069.438099999992</v>
      </c>
      <c r="Z13" s="86" t="s">
        <v>77</v>
      </c>
      <c r="AA13" s="86">
        <v>76.040029999999987</v>
      </c>
      <c r="AB13" t="s">
        <v>77</v>
      </c>
      <c r="AC13" s="63"/>
      <c r="AD13" s="63" t="e">
        <f>(20000-900)*O13+N13</f>
        <v>#VALUE!</v>
      </c>
      <c r="AE13" s="40" t="e">
        <f>(AD13-AC13)/AC13</f>
        <v>#VALUE!</v>
      </c>
      <c r="AF13" s="63">
        <f t="shared" si="0"/>
        <v>6000000</v>
      </c>
    </row>
    <row r="14" spans="1:32" hidden="1" x14ac:dyDescent="0.25">
      <c r="A14" s="92" t="s">
        <v>84</v>
      </c>
      <c r="B14" s="6" t="s">
        <v>116</v>
      </c>
      <c r="C14" s="6"/>
      <c r="D14" s="22" t="s">
        <v>86</v>
      </c>
      <c r="E14" s="22" t="s">
        <v>86</v>
      </c>
      <c r="F14" s="8">
        <v>413999.99999999994</v>
      </c>
      <c r="G14" s="7">
        <v>528.99999999999989</v>
      </c>
      <c r="H14" s="8">
        <v>61069.438099999992</v>
      </c>
      <c r="I14" s="8">
        <v>76.040029999999987</v>
      </c>
      <c r="J14" s="7" t="s">
        <v>86</v>
      </c>
      <c r="K14" s="7" t="s">
        <v>86</v>
      </c>
      <c r="L14" s="7" t="s">
        <v>86</v>
      </c>
      <c r="M14" s="7" t="s">
        <v>86</v>
      </c>
      <c r="N14" s="24" t="s">
        <v>86</v>
      </c>
      <c r="O14" s="10" t="s">
        <v>86</v>
      </c>
      <c r="P14" s="24">
        <f>+Q14*900</f>
        <v>270000</v>
      </c>
      <c r="Q14" s="24">
        <v>300</v>
      </c>
      <c r="R14" s="24">
        <v>123230.07964535446</v>
      </c>
      <c r="S14" s="24">
        <v>111.125</v>
      </c>
      <c r="T14" s="7" t="s">
        <v>86</v>
      </c>
      <c r="U14" s="7" t="s">
        <v>86</v>
      </c>
      <c r="V14" s="7" t="s">
        <v>86</v>
      </c>
      <c r="W14" s="7" t="s">
        <v>86</v>
      </c>
      <c r="X14" s="85" t="s">
        <v>77</v>
      </c>
      <c r="Y14" s="85">
        <v>61069.438099999992</v>
      </c>
      <c r="Z14" s="86" t="s">
        <v>77</v>
      </c>
      <c r="AA14" s="86">
        <v>76.040029999999987</v>
      </c>
      <c r="AB14" t="s">
        <v>77</v>
      </c>
      <c r="AC14" s="63"/>
      <c r="AD14" s="63" t="e">
        <f>(20000-900)*O14+N14</f>
        <v>#VALUE!</v>
      </c>
      <c r="AE14" s="40" t="e">
        <f>(AD14-AC14)/AC14</f>
        <v>#VALUE!</v>
      </c>
      <c r="AF14" s="63">
        <f t="shared" si="0"/>
        <v>6000000</v>
      </c>
    </row>
    <row r="15" spans="1:32" hidden="1" x14ac:dyDescent="0.25">
      <c r="A15" s="92" t="s">
        <v>85</v>
      </c>
      <c r="B15" s="6" t="s">
        <v>116</v>
      </c>
      <c r="C15" s="6"/>
      <c r="D15" s="23" t="s">
        <v>86</v>
      </c>
      <c r="E15" s="23" t="s">
        <v>86</v>
      </c>
      <c r="F15" s="8">
        <v>413999.99999999994</v>
      </c>
      <c r="G15" s="7">
        <v>528.99999999999989</v>
      </c>
      <c r="H15" s="8">
        <v>61069.438099999992</v>
      </c>
      <c r="I15" s="8">
        <v>76.040029999999987</v>
      </c>
      <c r="J15" s="7" t="s">
        <v>86</v>
      </c>
      <c r="K15" s="7" t="s">
        <v>86</v>
      </c>
      <c r="L15" s="7" t="s">
        <v>86</v>
      </c>
      <c r="M15" s="7" t="s">
        <v>86</v>
      </c>
      <c r="N15" s="24" t="s">
        <v>86</v>
      </c>
      <c r="O15" s="10" t="s">
        <v>86</v>
      </c>
      <c r="P15" s="24">
        <f>+Q15*900</f>
        <v>270000</v>
      </c>
      <c r="Q15" s="24">
        <v>300</v>
      </c>
      <c r="R15" s="24">
        <v>135930.07964535445</v>
      </c>
      <c r="S15" s="24">
        <v>127</v>
      </c>
      <c r="T15" s="7" t="s">
        <v>86</v>
      </c>
      <c r="U15" s="7" t="s">
        <v>86</v>
      </c>
      <c r="V15" s="7" t="s">
        <v>86</v>
      </c>
      <c r="W15" s="7" t="s">
        <v>86</v>
      </c>
      <c r="X15" s="85" t="s">
        <v>77</v>
      </c>
      <c r="Y15" s="85">
        <v>61069.438099999992</v>
      </c>
      <c r="Z15" s="86" t="s">
        <v>77</v>
      </c>
      <c r="AA15" s="86">
        <v>76.040029999999987</v>
      </c>
      <c r="AB15" t="s">
        <v>77</v>
      </c>
      <c r="AC15" s="63"/>
      <c r="AD15" s="63" t="e">
        <f>(20000-900)*O15+N15</f>
        <v>#VALUE!</v>
      </c>
      <c r="AE15" s="40" t="e">
        <f>(AD15-AC15)/AC15</f>
        <v>#VALUE!</v>
      </c>
      <c r="AF15" s="63">
        <f t="shared" si="0"/>
        <v>6000000</v>
      </c>
    </row>
    <row r="16" spans="1:32" hidden="1" x14ac:dyDescent="0.25">
      <c r="A16" s="91" t="s">
        <v>26</v>
      </c>
      <c r="B16" s="2" t="s">
        <v>124</v>
      </c>
      <c r="C16" s="2"/>
      <c r="D16" s="7">
        <v>247091.39612939535</v>
      </c>
      <c r="E16" s="7">
        <v>182.91016639924416</v>
      </c>
      <c r="F16" s="7" t="s">
        <v>86</v>
      </c>
      <c r="G16" s="7" t="s">
        <v>86</v>
      </c>
      <c r="H16" s="7">
        <v>216629.446</v>
      </c>
      <c r="I16" s="7">
        <v>429.49768806999992</v>
      </c>
      <c r="J16" s="7" t="s">
        <v>86</v>
      </c>
      <c r="K16" s="7" t="s">
        <v>86</v>
      </c>
      <c r="L16" s="24">
        <v>789333</v>
      </c>
      <c r="M16" s="10">
        <v>789</v>
      </c>
      <c r="N16" s="24" t="s">
        <v>86</v>
      </c>
      <c r="O16" s="10" t="s">
        <v>86</v>
      </c>
      <c r="P16" s="24">
        <f>+Q16*900</f>
        <v>391500</v>
      </c>
      <c r="Q16" s="24">
        <v>435</v>
      </c>
      <c r="R16" s="24">
        <v>245923.50964535444</v>
      </c>
      <c r="S16" s="24">
        <v>236.22</v>
      </c>
      <c r="T16" s="7">
        <v>403260</v>
      </c>
      <c r="U16" s="7">
        <v>575</v>
      </c>
      <c r="V16" s="7" t="s">
        <v>86</v>
      </c>
      <c r="W16" s="7" t="s">
        <v>86</v>
      </c>
      <c r="X16" s="85" t="s">
        <v>77</v>
      </c>
      <c r="Y16" s="85">
        <v>216629.446</v>
      </c>
      <c r="Z16" s="86" t="s">
        <v>74</v>
      </c>
      <c r="AA16" s="86">
        <v>182.91016639924419</v>
      </c>
      <c r="AB16" t="s">
        <v>74</v>
      </c>
      <c r="AC16" s="63">
        <f>(20000-900)*E16+D16</f>
        <v>3740675.5743549587</v>
      </c>
      <c r="AD16" s="63">
        <f>(20000-900)*I16+H16</f>
        <v>8420035.2881369982</v>
      </c>
      <c r="AE16" s="40">
        <f>(AD16-AC16)/AC16</f>
        <v>1.2509397355553742</v>
      </c>
      <c r="AF16" s="63">
        <f t="shared" si="0"/>
        <v>8700000</v>
      </c>
    </row>
    <row r="17" spans="1:32" hidden="1" x14ac:dyDescent="0.25">
      <c r="A17" s="91" t="s">
        <v>22</v>
      </c>
      <c r="B17" s="2" t="s">
        <v>121</v>
      </c>
      <c r="C17" s="2"/>
      <c r="D17" s="7">
        <v>237907.0260733921</v>
      </c>
      <c r="E17" s="7">
        <v>167.43954305795839</v>
      </c>
      <c r="F17" s="8">
        <v>448403.4</v>
      </c>
      <c r="G17" s="7">
        <v>572.95989999999995</v>
      </c>
      <c r="H17" s="7">
        <v>204490.111925</v>
      </c>
      <c r="I17" s="7">
        <v>364.46772999999996</v>
      </c>
      <c r="J17" s="7" t="s">
        <v>86</v>
      </c>
      <c r="K17" s="7" t="s">
        <v>86</v>
      </c>
      <c r="L17" s="24">
        <v>462500</v>
      </c>
      <c r="M17" s="10">
        <v>462</v>
      </c>
      <c r="N17" s="24">
        <f>O17*900</f>
        <v>162900</v>
      </c>
      <c r="O17" s="10">
        <v>181</v>
      </c>
      <c r="P17" s="24">
        <f>+Q17*900</f>
        <v>355500</v>
      </c>
      <c r="Q17" s="24">
        <v>395</v>
      </c>
      <c r="R17" s="24">
        <v>205933.85124535445</v>
      </c>
      <c r="S17" s="24">
        <v>175.5521</v>
      </c>
      <c r="T17" s="7" t="s">
        <v>86</v>
      </c>
      <c r="U17" s="7" t="s">
        <v>86</v>
      </c>
      <c r="V17" s="8">
        <v>251625.46933333334</v>
      </c>
      <c r="W17" s="8">
        <v>2795.8385481481482</v>
      </c>
      <c r="X17" s="85" t="s">
        <v>89</v>
      </c>
      <c r="Y17" s="85">
        <v>162900</v>
      </c>
      <c r="Z17" s="86" t="s">
        <v>74</v>
      </c>
      <c r="AA17" s="86">
        <v>167.43954305795839</v>
      </c>
      <c r="AB17" t="s">
        <v>74</v>
      </c>
      <c r="AC17" s="63">
        <f>(20000-900)*E17+D17</f>
        <v>3436002.2984803971</v>
      </c>
      <c r="AD17" s="63">
        <f>(20000-900)*O17+N17</f>
        <v>3620000</v>
      </c>
      <c r="AE17" s="40">
        <f>(AD17-AC17)/AC17</f>
        <v>5.3549935516916725E-2</v>
      </c>
      <c r="AF17" s="63">
        <f t="shared" si="0"/>
        <v>7900000</v>
      </c>
    </row>
    <row r="18" spans="1:32" hidden="1" x14ac:dyDescent="0.25">
      <c r="A18" s="91" t="s">
        <v>23</v>
      </c>
      <c r="B18" s="2" t="s">
        <v>121</v>
      </c>
      <c r="C18" s="2"/>
      <c r="D18" s="7">
        <v>237907.0260733921</v>
      </c>
      <c r="E18" s="7">
        <v>167.43954305795839</v>
      </c>
      <c r="F18" s="8">
        <v>448403.4</v>
      </c>
      <c r="G18" s="7">
        <v>572.95989999999995</v>
      </c>
      <c r="H18" s="7" t="s">
        <v>86</v>
      </c>
      <c r="I18" s="7" t="s">
        <v>86</v>
      </c>
      <c r="J18" s="7" t="s">
        <v>86</v>
      </c>
      <c r="K18" s="7" t="s">
        <v>86</v>
      </c>
      <c r="L18" s="24">
        <v>462500</v>
      </c>
      <c r="M18" s="10">
        <v>462</v>
      </c>
      <c r="N18" s="24">
        <f>O18*900</f>
        <v>162900</v>
      </c>
      <c r="O18" s="10">
        <v>181</v>
      </c>
      <c r="P18" s="24">
        <f>+Q18*900</f>
        <v>409500</v>
      </c>
      <c r="Q18" s="24">
        <v>455</v>
      </c>
      <c r="R18" s="24">
        <v>265257.79914535442</v>
      </c>
      <c r="S18" s="24">
        <v>243.8527</v>
      </c>
      <c r="T18" s="7" t="s">
        <v>86</v>
      </c>
      <c r="U18" s="7" t="s">
        <v>86</v>
      </c>
      <c r="V18" s="8">
        <v>272054.02033333335</v>
      </c>
      <c r="W18" s="8">
        <v>3022.8224481481484</v>
      </c>
      <c r="X18" s="85" t="s">
        <v>89</v>
      </c>
      <c r="Y18" s="85">
        <v>162900</v>
      </c>
      <c r="Z18" s="86" t="s">
        <v>74</v>
      </c>
      <c r="AA18" s="86">
        <v>167.43954305795839</v>
      </c>
      <c r="AB18" t="s">
        <v>74</v>
      </c>
      <c r="AC18" s="63">
        <f>(20000-900)*E18+D18</f>
        <v>3436002.2984803971</v>
      </c>
      <c r="AD18" s="63">
        <f>(20000-900)*O18+N18</f>
        <v>3620000</v>
      </c>
      <c r="AE18" s="40">
        <f>(AD18-AC18)/AC18</f>
        <v>5.3549935516916725E-2</v>
      </c>
      <c r="AF18" s="63">
        <f t="shared" si="0"/>
        <v>9100000</v>
      </c>
    </row>
    <row r="19" spans="1:32" hidden="1" x14ac:dyDescent="0.25">
      <c r="A19" s="91" t="s">
        <v>40</v>
      </c>
      <c r="B19" s="2" t="s">
        <v>134</v>
      </c>
      <c r="C19" s="2"/>
      <c r="D19" s="7">
        <v>402554.1274616181</v>
      </c>
      <c r="E19" s="7">
        <v>472.7374577236709</v>
      </c>
      <c r="F19" s="7" t="s">
        <v>86</v>
      </c>
      <c r="G19" s="7" t="s">
        <v>86</v>
      </c>
      <c r="H19" s="7">
        <v>397326.44020728988</v>
      </c>
      <c r="I19" s="7">
        <v>673.13781039999992</v>
      </c>
      <c r="J19" s="7" t="s">
        <v>86</v>
      </c>
      <c r="K19" s="7" t="s">
        <v>86</v>
      </c>
      <c r="L19" s="10">
        <v>492982</v>
      </c>
      <c r="M19" s="10">
        <v>493</v>
      </c>
      <c r="N19" s="10">
        <f>O19*900</f>
        <v>202500</v>
      </c>
      <c r="O19" s="10">
        <v>225</v>
      </c>
      <c r="P19" s="24">
        <f>+Q19*900</f>
        <v>517500</v>
      </c>
      <c r="Q19" s="24">
        <v>575</v>
      </c>
      <c r="R19" s="24">
        <v>0</v>
      </c>
      <c r="S19" s="24">
        <v>0</v>
      </c>
      <c r="T19" s="7" t="s">
        <v>86</v>
      </c>
      <c r="U19" s="7" t="s">
        <v>86</v>
      </c>
      <c r="V19" s="7" t="s">
        <v>86</v>
      </c>
      <c r="W19" s="7" t="s">
        <v>86</v>
      </c>
      <c r="X19" s="85" t="s">
        <v>89</v>
      </c>
      <c r="Y19" s="85">
        <v>202500</v>
      </c>
      <c r="Z19" s="86" t="s">
        <v>89</v>
      </c>
      <c r="AA19" s="86">
        <v>225</v>
      </c>
      <c r="AB19" t="s">
        <v>109</v>
      </c>
      <c r="AC19" s="63">
        <f>(20000-900)*E19+D19</f>
        <v>9431839.569983732</v>
      </c>
      <c r="AD19" s="63">
        <f>(20000-900)*O19+N19</f>
        <v>4500000</v>
      </c>
      <c r="AE19" s="40">
        <f>(AD19-AC19)/AC19</f>
        <v>-0.52289264818275938</v>
      </c>
      <c r="AF19" s="63">
        <f t="shared" si="0"/>
        <v>11500000</v>
      </c>
    </row>
    <row r="20" spans="1:32" hidden="1" x14ac:dyDescent="0.25">
      <c r="A20" s="91" t="s">
        <v>45</v>
      </c>
      <c r="B20" s="2" t="s">
        <v>134</v>
      </c>
      <c r="C20" s="2"/>
      <c r="D20" s="7">
        <v>516598.90029539471</v>
      </c>
      <c r="E20" s="7">
        <v>606.66537523397722</v>
      </c>
      <c r="F20" s="7" t="s">
        <v>86</v>
      </c>
      <c r="G20" s="7" t="s">
        <v>86</v>
      </c>
      <c r="H20" s="7" t="s">
        <v>86</v>
      </c>
      <c r="I20" s="7" t="s">
        <v>86</v>
      </c>
      <c r="J20" s="7" t="s">
        <v>86</v>
      </c>
      <c r="K20" s="7" t="s">
        <v>86</v>
      </c>
      <c r="L20" s="7" t="s">
        <v>86</v>
      </c>
      <c r="M20" s="7" t="s">
        <v>86</v>
      </c>
      <c r="N20" s="7">
        <f>O20*900</f>
        <v>444600</v>
      </c>
      <c r="O20" s="7">
        <v>494</v>
      </c>
      <c r="P20" s="24">
        <f>+Q20*900</f>
        <v>517500</v>
      </c>
      <c r="Q20" s="24">
        <v>575</v>
      </c>
      <c r="R20" s="24">
        <v>0</v>
      </c>
      <c r="S20" s="24">
        <v>0</v>
      </c>
      <c r="T20" s="7" t="s">
        <v>86</v>
      </c>
      <c r="U20" s="7" t="s">
        <v>86</v>
      </c>
      <c r="V20" s="7" t="s">
        <v>86</v>
      </c>
      <c r="W20" s="7" t="s">
        <v>86</v>
      </c>
      <c r="X20" s="85" t="s">
        <v>89</v>
      </c>
      <c r="Y20" s="85">
        <v>444600</v>
      </c>
      <c r="Z20" s="86" t="s">
        <v>89</v>
      </c>
      <c r="AA20" s="86">
        <v>494</v>
      </c>
      <c r="AB20" t="s">
        <v>109</v>
      </c>
      <c r="AC20" s="63">
        <f>(20000-900)*E20+D20</f>
        <v>12103907.567264359</v>
      </c>
      <c r="AD20" s="63">
        <f>(20000-900)*O20+N20</f>
        <v>9880000</v>
      </c>
      <c r="AE20" s="40">
        <f>(AD20-AC20)/AC20</f>
        <v>-0.18373467864865656</v>
      </c>
      <c r="AF20" s="63">
        <f t="shared" si="0"/>
        <v>11500000</v>
      </c>
    </row>
    <row r="21" spans="1:32" hidden="1" x14ac:dyDescent="0.25">
      <c r="A21" s="91" t="s">
        <v>52</v>
      </c>
      <c r="B21" s="2" t="s">
        <v>134</v>
      </c>
      <c r="C21" s="2"/>
      <c r="D21" s="7">
        <v>342621.54405284941</v>
      </c>
      <c r="E21" s="7">
        <v>402.35592345863063</v>
      </c>
      <c r="F21" s="7" t="s">
        <v>86</v>
      </c>
      <c r="G21" s="7" t="s">
        <v>86</v>
      </c>
      <c r="H21" s="7">
        <v>385191.50024728989</v>
      </c>
      <c r="I21" s="7">
        <v>652.16125039999997</v>
      </c>
      <c r="J21" s="7" t="s">
        <v>86</v>
      </c>
      <c r="K21" s="7" t="s">
        <v>86</v>
      </c>
      <c r="L21" s="7" t="s">
        <v>86</v>
      </c>
      <c r="M21" s="7" t="s">
        <v>86</v>
      </c>
      <c r="N21" s="7">
        <f>O21*900</f>
        <v>202500</v>
      </c>
      <c r="O21" s="7">
        <v>225</v>
      </c>
      <c r="P21" s="24">
        <f>+Q21*900</f>
        <v>427500</v>
      </c>
      <c r="Q21" s="24">
        <v>475</v>
      </c>
      <c r="R21" s="24">
        <v>0</v>
      </c>
      <c r="S21" s="24">
        <v>0</v>
      </c>
      <c r="T21" s="7" t="s">
        <v>86</v>
      </c>
      <c r="U21" s="7" t="s">
        <v>86</v>
      </c>
      <c r="V21" s="7" t="s">
        <v>86</v>
      </c>
      <c r="W21" s="7" t="s">
        <v>86</v>
      </c>
      <c r="X21" s="85" t="s">
        <v>89</v>
      </c>
      <c r="Y21" s="85">
        <v>202500</v>
      </c>
      <c r="Z21" s="86" t="s">
        <v>89</v>
      </c>
      <c r="AA21" s="86">
        <v>225</v>
      </c>
      <c r="AB21" t="s">
        <v>109</v>
      </c>
      <c r="AC21" s="63">
        <f>(20000-900)*E21+D21</f>
        <v>8027619.6821126947</v>
      </c>
      <c r="AD21" s="63">
        <f>(20000-900)*O21+N21</f>
        <v>4500000</v>
      </c>
      <c r="AE21" s="40">
        <f>(AD21-AC21)/AC21</f>
        <v>-0.43943532725809226</v>
      </c>
      <c r="AF21" s="63">
        <f t="shared" si="0"/>
        <v>9500000</v>
      </c>
    </row>
    <row r="22" spans="1:32" hidden="1" x14ac:dyDescent="0.25">
      <c r="A22" s="91" t="s">
        <v>55</v>
      </c>
      <c r="B22" s="2" t="s">
        <v>134</v>
      </c>
      <c r="C22" s="2"/>
      <c r="D22" s="7">
        <v>342621.54405284941</v>
      </c>
      <c r="E22" s="7">
        <v>402.35592345863063</v>
      </c>
      <c r="F22" s="7" t="s">
        <v>86</v>
      </c>
      <c r="G22" s="7" t="s">
        <v>86</v>
      </c>
      <c r="H22" s="7">
        <v>385191.50024728989</v>
      </c>
      <c r="I22" s="7">
        <v>652.16125039999997</v>
      </c>
      <c r="J22" s="7" t="s">
        <v>86</v>
      </c>
      <c r="K22" s="7" t="s">
        <v>86</v>
      </c>
      <c r="L22" s="7" t="s">
        <v>86</v>
      </c>
      <c r="M22" s="7" t="s">
        <v>86</v>
      </c>
      <c r="N22" s="7">
        <f>O22*900</f>
        <v>202500</v>
      </c>
      <c r="O22" s="7">
        <v>225</v>
      </c>
      <c r="P22" s="24">
        <f>+Q22*900</f>
        <v>427500</v>
      </c>
      <c r="Q22" s="24">
        <v>475</v>
      </c>
      <c r="R22" s="24">
        <v>0</v>
      </c>
      <c r="S22" s="24">
        <v>0</v>
      </c>
      <c r="T22" s="7" t="s">
        <v>86</v>
      </c>
      <c r="U22" s="7" t="s">
        <v>86</v>
      </c>
      <c r="V22" s="7" t="s">
        <v>86</v>
      </c>
      <c r="W22" s="7" t="s">
        <v>86</v>
      </c>
      <c r="X22" s="85" t="s">
        <v>89</v>
      </c>
      <c r="Y22" s="85">
        <v>202500</v>
      </c>
      <c r="Z22" s="86" t="s">
        <v>89</v>
      </c>
      <c r="AA22" s="86">
        <v>225</v>
      </c>
      <c r="AB22" t="s">
        <v>109</v>
      </c>
      <c r="AC22" s="63">
        <f>(20000-900)*E22+D22</f>
        <v>8027619.6821126947</v>
      </c>
      <c r="AD22" s="63">
        <f>(20000-900)*O22+N22</f>
        <v>4500000</v>
      </c>
      <c r="AE22" s="40">
        <f>(AD22-AC22)/AC22</f>
        <v>-0.43943532725809226</v>
      </c>
      <c r="AF22" s="63">
        <f t="shared" si="0"/>
        <v>9500000</v>
      </c>
    </row>
    <row r="23" spans="1:32" hidden="1" x14ac:dyDescent="0.25">
      <c r="A23" s="91" t="s">
        <v>64</v>
      </c>
      <c r="B23" s="2" t="s">
        <v>134</v>
      </c>
      <c r="C23" s="2"/>
      <c r="D23" s="7">
        <v>460809.14696929354</v>
      </c>
      <c r="E23" s="7">
        <v>541.14895308047141</v>
      </c>
      <c r="F23" s="7" t="s">
        <v>86</v>
      </c>
      <c r="G23" s="7" t="s">
        <v>86</v>
      </c>
      <c r="H23" s="7" t="s">
        <v>86</v>
      </c>
      <c r="I23" s="7" t="s">
        <v>86</v>
      </c>
      <c r="J23" s="7" t="s">
        <v>86</v>
      </c>
      <c r="K23" s="7" t="s">
        <v>86</v>
      </c>
      <c r="L23" s="7" t="s">
        <v>86</v>
      </c>
      <c r="M23" s="7" t="s">
        <v>86</v>
      </c>
      <c r="N23" s="7">
        <f>O23*900</f>
        <v>202500</v>
      </c>
      <c r="O23" s="7">
        <v>225</v>
      </c>
      <c r="P23" s="24">
        <f>+Q23*900</f>
        <v>427500</v>
      </c>
      <c r="Q23" s="24">
        <v>475</v>
      </c>
      <c r="R23" s="24">
        <v>0</v>
      </c>
      <c r="S23" s="24">
        <v>0</v>
      </c>
      <c r="T23" s="7" t="s">
        <v>86</v>
      </c>
      <c r="U23" s="7" t="s">
        <v>86</v>
      </c>
      <c r="V23" s="7" t="s">
        <v>86</v>
      </c>
      <c r="W23" s="7" t="s">
        <v>86</v>
      </c>
      <c r="X23" s="85" t="s">
        <v>89</v>
      </c>
      <c r="Y23" s="85">
        <v>202500</v>
      </c>
      <c r="Z23" s="86" t="s">
        <v>89</v>
      </c>
      <c r="AA23" s="86">
        <v>225</v>
      </c>
      <c r="AB23" t="s">
        <v>109</v>
      </c>
      <c r="AC23" s="63">
        <f>(20000-900)*E23+D23</f>
        <v>10796754.150806298</v>
      </c>
      <c r="AD23" s="63">
        <f>(20000-900)*O23+N23</f>
        <v>4500000</v>
      </c>
      <c r="AE23" s="40">
        <f>(AD23-AC23)/AC23</f>
        <v>-0.58320807002316144</v>
      </c>
      <c r="AF23" s="63">
        <f t="shared" si="0"/>
        <v>9500000</v>
      </c>
    </row>
    <row r="24" spans="1:32" hidden="1" x14ac:dyDescent="0.25">
      <c r="A24" s="91" t="s">
        <v>66</v>
      </c>
      <c r="B24" s="2" t="s">
        <v>134</v>
      </c>
      <c r="C24" s="2"/>
      <c r="D24" s="7">
        <v>342621.54405284941</v>
      </c>
      <c r="E24" s="7">
        <v>402.35592345863063</v>
      </c>
      <c r="F24" s="7" t="s">
        <v>86</v>
      </c>
      <c r="G24" s="7" t="s">
        <v>86</v>
      </c>
      <c r="H24" s="7">
        <v>385191.50024728989</v>
      </c>
      <c r="I24" s="7">
        <v>652.16125039999997</v>
      </c>
      <c r="J24" s="7" t="s">
        <v>86</v>
      </c>
      <c r="K24" s="7" t="s">
        <v>86</v>
      </c>
      <c r="L24" s="7" t="s">
        <v>86</v>
      </c>
      <c r="M24" s="7" t="s">
        <v>86</v>
      </c>
      <c r="N24" s="7">
        <f>O24*900</f>
        <v>202500</v>
      </c>
      <c r="O24" s="7">
        <v>225</v>
      </c>
      <c r="P24" s="24">
        <f>+Q24*900</f>
        <v>427500</v>
      </c>
      <c r="Q24" s="24">
        <v>475</v>
      </c>
      <c r="R24" s="24">
        <v>0</v>
      </c>
      <c r="S24" s="24">
        <v>0</v>
      </c>
      <c r="T24" s="7" t="s">
        <v>86</v>
      </c>
      <c r="U24" s="7" t="s">
        <v>86</v>
      </c>
      <c r="V24" s="7" t="s">
        <v>86</v>
      </c>
      <c r="W24" s="7" t="s">
        <v>86</v>
      </c>
      <c r="X24" s="85" t="s">
        <v>89</v>
      </c>
      <c r="Y24" s="85">
        <v>202500</v>
      </c>
      <c r="Z24" s="86" t="s">
        <v>89</v>
      </c>
      <c r="AA24" s="86">
        <v>225</v>
      </c>
      <c r="AB24" t="s">
        <v>109</v>
      </c>
      <c r="AC24" s="63">
        <f>(20000-900)*E24+D24</f>
        <v>8027619.6821126947</v>
      </c>
      <c r="AD24" s="63">
        <f>(20000-900)*O24+N24</f>
        <v>4500000</v>
      </c>
      <c r="AE24" s="40">
        <f>(AD24-AC24)/AC24</f>
        <v>-0.43943532725809226</v>
      </c>
      <c r="AF24" s="63">
        <f t="shared" si="0"/>
        <v>9500000</v>
      </c>
    </row>
    <row r="25" spans="1:32" x14ac:dyDescent="0.25">
      <c r="A25" s="91" t="s">
        <v>4</v>
      </c>
      <c r="B25" s="2" t="s">
        <v>117</v>
      </c>
      <c r="C25" s="2"/>
      <c r="D25" s="7">
        <v>183406.30077652496</v>
      </c>
      <c r="E25" s="7">
        <v>75.635729867351259</v>
      </c>
      <c r="F25" s="8">
        <v>448403.4</v>
      </c>
      <c r="G25" s="7">
        <v>572.95989999999995</v>
      </c>
      <c r="H25" s="7">
        <v>138848.10503146</v>
      </c>
      <c r="I25" s="7">
        <v>213.62528703999999</v>
      </c>
      <c r="J25" s="7" t="s">
        <v>86</v>
      </c>
      <c r="K25" s="7" t="s">
        <v>86</v>
      </c>
      <c r="L25" s="24">
        <v>308333</v>
      </c>
      <c r="M25" s="10">
        <v>308</v>
      </c>
      <c r="N25" s="24">
        <f>O25*900</f>
        <v>98100</v>
      </c>
      <c r="O25" s="10">
        <v>109</v>
      </c>
      <c r="P25" s="95">
        <f>+Q25*900</f>
        <v>337500</v>
      </c>
      <c r="Q25" s="95">
        <v>375</v>
      </c>
      <c r="R25" s="7">
        <v>218480.07964535445</v>
      </c>
      <c r="S25" s="7">
        <v>177.8</v>
      </c>
      <c r="T25" s="7" t="s">
        <v>86</v>
      </c>
      <c r="U25" s="7" t="s">
        <v>86</v>
      </c>
      <c r="V25" s="7">
        <v>486277.74433333334</v>
      </c>
      <c r="W25" s="7">
        <v>5403.0860481481486</v>
      </c>
      <c r="X25" s="85" t="s">
        <v>89</v>
      </c>
      <c r="Y25" s="85">
        <v>98100</v>
      </c>
      <c r="Z25" s="86" t="s">
        <v>74</v>
      </c>
      <c r="AA25" s="86">
        <v>75.635729867351259</v>
      </c>
      <c r="AB25" t="s">
        <v>74</v>
      </c>
      <c r="AC25" s="63">
        <f>(20000-900)*E25+D25</f>
        <v>1628048.741242934</v>
      </c>
      <c r="AD25" s="63">
        <f>(20000-900)*O25+N25</f>
        <v>2180000</v>
      </c>
      <c r="AE25" s="40">
        <f>(AD25-AC25)/AC25</f>
        <v>0.33902624950631316</v>
      </c>
      <c r="AF25" s="63">
        <f t="shared" si="0"/>
        <v>7500000</v>
      </c>
    </row>
    <row r="26" spans="1:32" x14ac:dyDescent="0.25">
      <c r="A26" s="91" t="s">
        <v>11</v>
      </c>
      <c r="B26" s="2" t="s">
        <v>117</v>
      </c>
      <c r="C26" s="2"/>
      <c r="D26" s="7">
        <v>196055.79087729665</v>
      </c>
      <c r="E26" s="7">
        <v>96.943178893803648</v>
      </c>
      <c r="F26" s="8">
        <v>413999.99999999994</v>
      </c>
      <c r="G26" s="7">
        <v>528.99999999999989</v>
      </c>
      <c r="H26" s="7">
        <v>154348.01716952198</v>
      </c>
      <c r="I26" s="7">
        <v>241.87101170099999</v>
      </c>
      <c r="J26" s="37">
        <v>156100</v>
      </c>
      <c r="K26" s="7" t="s">
        <v>86</v>
      </c>
      <c r="L26" s="24">
        <v>318214</v>
      </c>
      <c r="M26" s="10">
        <v>318</v>
      </c>
      <c r="N26" s="24" t="s">
        <v>86</v>
      </c>
      <c r="O26" s="10" t="s">
        <v>86</v>
      </c>
      <c r="P26" s="96">
        <f>+Q26*900</f>
        <v>373500</v>
      </c>
      <c r="Q26" s="96">
        <v>415</v>
      </c>
      <c r="R26" s="24">
        <v>281312.05964535446</v>
      </c>
      <c r="S26" s="24">
        <v>274.32</v>
      </c>
      <c r="T26" s="7">
        <v>425100</v>
      </c>
      <c r="U26" s="7">
        <v>510</v>
      </c>
      <c r="V26" s="7">
        <v>637007.32333333336</v>
      </c>
      <c r="W26" s="7">
        <v>7077.8591481481481</v>
      </c>
      <c r="X26" s="85" t="s">
        <v>77</v>
      </c>
      <c r="Y26" s="85">
        <v>154348.01716952201</v>
      </c>
      <c r="Z26" s="86" t="s">
        <v>74</v>
      </c>
      <c r="AA26" s="86">
        <v>96.943178893803648</v>
      </c>
      <c r="AB26" t="s">
        <v>74</v>
      </c>
      <c r="AC26" s="63">
        <f>(20000-900)*E26+D26</f>
        <v>2047670.5077489463</v>
      </c>
      <c r="AD26" s="63">
        <f>(20000-900)*I26+H26</f>
        <v>4774084.3406586219</v>
      </c>
      <c r="AE26" s="40">
        <f>(AD26-AC26)/AC26</f>
        <v>1.3314709679082539</v>
      </c>
      <c r="AF26" s="63">
        <f t="shared" si="0"/>
        <v>8300000</v>
      </c>
    </row>
    <row r="27" spans="1:32" x14ac:dyDescent="0.25">
      <c r="A27" s="91" t="s">
        <v>12</v>
      </c>
      <c r="B27" s="2" t="s">
        <v>117</v>
      </c>
      <c r="C27" s="2"/>
      <c r="D27" s="7">
        <v>199218.16340248962</v>
      </c>
      <c r="E27" s="7">
        <v>102.27004115041679</v>
      </c>
      <c r="F27" s="8">
        <v>448403.4</v>
      </c>
      <c r="G27" s="7">
        <v>572.95989999999995</v>
      </c>
      <c r="H27" s="7">
        <v>170895.90093952199</v>
      </c>
      <c r="I27" s="7">
        <v>265.469641701</v>
      </c>
      <c r="J27" s="37">
        <v>149000</v>
      </c>
      <c r="K27" s="7" t="s">
        <v>86</v>
      </c>
      <c r="L27" s="24">
        <v>318214</v>
      </c>
      <c r="M27" s="10">
        <v>318</v>
      </c>
      <c r="N27" s="24" t="s">
        <v>86</v>
      </c>
      <c r="O27" s="10" t="s">
        <v>86</v>
      </c>
      <c r="P27" s="96">
        <f>+Q27*900</f>
        <v>373500</v>
      </c>
      <c r="Q27" s="96">
        <v>415</v>
      </c>
      <c r="R27" s="24">
        <v>281312.05964535446</v>
      </c>
      <c r="S27" s="24">
        <v>274.32</v>
      </c>
      <c r="T27" s="7">
        <v>425100</v>
      </c>
      <c r="U27" s="7">
        <v>510</v>
      </c>
      <c r="V27" s="7">
        <v>644184.92233333341</v>
      </c>
      <c r="W27" s="7">
        <v>7157.6102481481494</v>
      </c>
      <c r="X27" s="85" t="s">
        <v>87</v>
      </c>
      <c r="Y27" s="85">
        <v>149000</v>
      </c>
      <c r="Z27" s="86" t="s">
        <v>74</v>
      </c>
      <c r="AA27" s="86">
        <v>102.2700411504168</v>
      </c>
      <c r="AB27" t="s">
        <v>74</v>
      </c>
      <c r="AC27" s="63">
        <f>(20000-900)*E27+D27</f>
        <v>2152575.9493754501</v>
      </c>
      <c r="AD27" s="63" t="e">
        <f>(20000-900)*O27+N27</f>
        <v>#VALUE!</v>
      </c>
      <c r="AE27" s="40"/>
      <c r="AF27" s="63">
        <f t="shared" si="0"/>
        <v>8300000</v>
      </c>
    </row>
    <row r="28" spans="1:32" x14ac:dyDescent="0.25">
      <c r="A28" s="91" t="s">
        <v>13</v>
      </c>
      <c r="B28" s="2" t="s">
        <v>117</v>
      </c>
      <c r="C28" s="2"/>
      <c r="D28" s="7">
        <v>201115.5869176054</v>
      </c>
      <c r="E28" s="7">
        <v>105.46615850438461</v>
      </c>
      <c r="F28" s="8">
        <v>413999.99999999994</v>
      </c>
      <c r="G28" s="7">
        <v>528.99999999999989</v>
      </c>
      <c r="H28" s="7">
        <v>136696.24192952199</v>
      </c>
      <c r="I28" s="7">
        <v>210.40617170099998</v>
      </c>
      <c r="J28" s="37">
        <v>149000</v>
      </c>
      <c r="K28" s="7" t="s">
        <v>86</v>
      </c>
      <c r="L28" s="24">
        <v>458333</v>
      </c>
      <c r="M28" s="10">
        <v>458</v>
      </c>
      <c r="N28" s="24" t="s">
        <v>86</v>
      </c>
      <c r="O28" s="10" t="s">
        <v>86</v>
      </c>
      <c r="P28" s="96">
        <f>+Q28*900</f>
        <v>373500</v>
      </c>
      <c r="Q28" s="96">
        <v>415</v>
      </c>
      <c r="R28" s="24">
        <v>281312.05964535446</v>
      </c>
      <c r="S28" s="24">
        <v>274.32</v>
      </c>
      <c r="T28" s="7">
        <v>425100</v>
      </c>
      <c r="U28" s="7">
        <v>510</v>
      </c>
      <c r="V28" s="7">
        <v>685042.02433333336</v>
      </c>
      <c r="W28" s="7">
        <v>7611.5780481481488</v>
      </c>
      <c r="X28" s="85" t="s">
        <v>77</v>
      </c>
      <c r="Y28" s="85">
        <v>136696.24192952199</v>
      </c>
      <c r="Z28" s="86" t="s">
        <v>74</v>
      </c>
      <c r="AA28" s="86">
        <v>105.46615850438459</v>
      </c>
      <c r="AB28" t="s">
        <v>74</v>
      </c>
      <c r="AC28" s="63">
        <f>(20000-900)*E28+D28</f>
        <v>2215519.2143513514</v>
      </c>
      <c r="AD28" s="63">
        <f>(20000-900)*I28+H28</f>
        <v>4155454.1214186214</v>
      </c>
      <c r="AE28" s="40">
        <f>(AD28-AC28)/AC28</f>
        <v>0.87561186312493089</v>
      </c>
      <c r="AF28" s="63">
        <f t="shared" si="0"/>
        <v>8300000</v>
      </c>
    </row>
    <row r="29" spans="1:32" x14ac:dyDescent="0.25">
      <c r="A29" s="91" t="s">
        <v>15</v>
      </c>
      <c r="B29" s="2" t="s">
        <v>117</v>
      </c>
      <c r="C29" s="2"/>
      <c r="D29" s="7">
        <v>208705.28097806845</v>
      </c>
      <c r="E29" s="7">
        <v>118.25062792025605</v>
      </c>
      <c r="F29" s="8">
        <v>413999.99999999994</v>
      </c>
      <c r="G29" s="7">
        <v>528.99999999999989</v>
      </c>
      <c r="H29" s="7">
        <v>136696.24192952199</v>
      </c>
      <c r="I29" s="7">
        <v>210.40617170099998</v>
      </c>
      <c r="J29" s="7">
        <v>165466</v>
      </c>
      <c r="K29" s="7">
        <v>298</v>
      </c>
      <c r="L29" s="24">
        <v>318214</v>
      </c>
      <c r="M29" s="10">
        <v>318</v>
      </c>
      <c r="N29" s="24" t="s">
        <v>86</v>
      </c>
      <c r="O29" s="10" t="s">
        <v>86</v>
      </c>
      <c r="P29" s="96">
        <f>+Q29*900</f>
        <v>337500</v>
      </c>
      <c r="Q29" s="96">
        <v>375</v>
      </c>
      <c r="R29" s="24">
        <v>180085.43964535443</v>
      </c>
      <c r="S29" s="24">
        <v>162.56</v>
      </c>
      <c r="T29" s="7">
        <v>236140</v>
      </c>
      <c r="U29" s="7">
        <v>285</v>
      </c>
      <c r="V29" s="7">
        <v>831354.61933333334</v>
      </c>
      <c r="W29" s="7">
        <v>9237.2735481481486</v>
      </c>
      <c r="X29" s="85" t="s">
        <v>77</v>
      </c>
      <c r="Y29" s="85">
        <v>136696.24192952199</v>
      </c>
      <c r="Z29" s="86" t="s">
        <v>74</v>
      </c>
      <c r="AA29" s="86">
        <v>118.25062792025609</v>
      </c>
      <c r="AB29" t="s">
        <v>74</v>
      </c>
      <c r="AC29" s="63">
        <f>(20000-900)*E29+D29</f>
        <v>2467292.2742549586</v>
      </c>
      <c r="AD29" s="63">
        <f>(20000-900)*I29+H29</f>
        <v>4155454.1214186214</v>
      </c>
      <c r="AE29" s="40">
        <f>(AD29-AC29)/AC29</f>
        <v>0.68421640386055693</v>
      </c>
      <c r="AF29" s="63">
        <f t="shared" si="0"/>
        <v>7500000</v>
      </c>
    </row>
    <row r="30" spans="1:32" hidden="1" x14ac:dyDescent="0.25">
      <c r="A30" s="91" t="s">
        <v>1</v>
      </c>
      <c r="B30" s="2" t="s">
        <v>114</v>
      </c>
      <c r="C30" s="2"/>
      <c r="D30" s="7">
        <v>177714.0302311776</v>
      </c>
      <c r="E30" s="7">
        <v>66.047377805447709</v>
      </c>
      <c r="F30" s="7" t="s">
        <v>86</v>
      </c>
      <c r="G30" s="7" t="s">
        <v>86</v>
      </c>
      <c r="H30" s="7">
        <v>204490.111925</v>
      </c>
      <c r="I30" s="7">
        <v>364.46772999999996</v>
      </c>
      <c r="J30" s="7" t="s">
        <v>86</v>
      </c>
      <c r="K30" s="7" t="s">
        <v>86</v>
      </c>
      <c r="L30" s="24">
        <v>462500</v>
      </c>
      <c r="M30" s="10">
        <v>462</v>
      </c>
      <c r="N30" s="24">
        <v>100000</v>
      </c>
      <c r="O30" s="10">
        <v>89</v>
      </c>
      <c r="P30" s="7">
        <f>+Q30*900</f>
        <v>409500</v>
      </c>
      <c r="Q30" s="7">
        <v>455</v>
      </c>
      <c r="R30" s="7">
        <v>190540.07964535445</v>
      </c>
      <c r="S30" s="7">
        <v>114.3</v>
      </c>
      <c r="T30" s="7" t="s">
        <v>86</v>
      </c>
      <c r="U30" s="7" t="s">
        <v>86</v>
      </c>
      <c r="V30" s="7">
        <v>368085.9325</v>
      </c>
      <c r="W30" s="7">
        <v>4089.8436944444443</v>
      </c>
      <c r="X30" s="85" t="s">
        <v>89</v>
      </c>
      <c r="Y30" s="85">
        <v>100000</v>
      </c>
      <c r="Z30" s="86" t="s">
        <v>74</v>
      </c>
      <c r="AA30" s="86">
        <v>66.047377805447709</v>
      </c>
      <c r="AB30" t="s">
        <v>74</v>
      </c>
      <c r="AC30" s="63">
        <f>(20000-900)*E30+D30</f>
        <v>1439218.9463152289</v>
      </c>
      <c r="AD30" s="63">
        <f>(20000-900)*O30+N30</f>
        <v>1799900</v>
      </c>
      <c r="AE30" s="40">
        <f>(AD30-AC30)/AC30</f>
        <v>0.25060888380340424</v>
      </c>
      <c r="AF30" s="63">
        <f t="shared" si="0"/>
        <v>9100000</v>
      </c>
    </row>
    <row r="31" spans="1:32" hidden="1" x14ac:dyDescent="0.25">
      <c r="A31" s="91" t="s">
        <v>7</v>
      </c>
      <c r="B31" s="2" t="s">
        <v>114</v>
      </c>
      <c r="C31" s="2"/>
      <c r="D31" s="7">
        <v>192893.41835210373</v>
      </c>
      <c r="E31" s="7">
        <v>91.616316637190593</v>
      </c>
      <c r="F31" s="7" t="s">
        <v>86</v>
      </c>
      <c r="G31" s="7" t="s">
        <v>86</v>
      </c>
      <c r="H31" s="7">
        <v>204490.111925</v>
      </c>
      <c r="I31" s="7">
        <v>364.46772999999996</v>
      </c>
      <c r="J31" s="7" t="s">
        <v>86</v>
      </c>
      <c r="K31" s="7" t="s">
        <v>86</v>
      </c>
      <c r="L31" s="24">
        <v>462500</v>
      </c>
      <c r="M31" s="10">
        <v>462</v>
      </c>
      <c r="N31" s="24">
        <v>105000</v>
      </c>
      <c r="O31" s="10">
        <v>99</v>
      </c>
      <c r="P31" s="24">
        <f>+Q31*900</f>
        <v>409500</v>
      </c>
      <c r="Q31" s="24">
        <v>455</v>
      </c>
      <c r="R31" s="24">
        <v>190540.07964535445</v>
      </c>
      <c r="S31" s="24">
        <v>114.3</v>
      </c>
      <c r="T31" s="7" t="s">
        <v>86</v>
      </c>
      <c r="U31" s="7" t="s">
        <v>86</v>
      </c>
      <c r="V31" s="7">
        <v>533208.19933333341</v>
      </c>
      <c r="W31" s="7">
        <v>5924.5355481481492</v>
      </c>
      <c r="X31" s="85" t="s">
        <v>89</v>
      </c>
      <c r="Y31" s="85">
        <v>105000</v>
      </c>
      <c r="Z31" s="86" t="s">
        <v>74</v>
      </c>
      <c r="AA31" s="86">
        <v>91.616316637190593</v>
      </c>
      <c r="AB31" t="s">
        <v>74</v>
      </c>
      <c r="AC31" s="63">
        <f>(20000-900)*E31+D31</f>
        <v>1942765.0661224441</v>
      </c>
      <c r="AD31" s="63">
        <f>(20000-900)*O31+N31</f>
        <v>1995900</v>
      </c>
      <c r="AE31" s="40">
        <f>(AD31-AC31)/AC31</f>
        <v>2.7350159215909546E-2</v>
      </c>
      <c r="AF31" s="63">
        <f t="shared" si="0"/>
        <v>9100000</v>
      </c>
    </row>
    <row r="32" spans="1:32" hidden="1" x14ac:dyDescent="0.25">
      <c r="A32" s="91" t="s">
        <v>29</v>
      </c>
      <c r="B32" s="2" t="s">
        <v>126</v>
      </c>
      <c r="C32" s="2"/>
      <c r="D32" s="7">
        <v>250397.76934955647</v>
      </c>
      <c r="E32" s="7">
        <v>188.47959080210714</v>
      </c>
      <c r="F32" s="8">
        <v>492660</v>
      </c>
      <c r="G32" s="7">
        <v>629.50999999999988</v>
      </c>
      <c r="H32" s="7">
        <v>325845.74</v>
      </c>
      <c r="I32" s="7">
        <v>547.93658997</v>
      </c>
      <c r="J32" s="7" t="s">
        <v>86</v>
      </c>
      <c r="K32" s="7" t="s">
        <v>86</v>
      </c>
      <c r="L32" s="24">
        <v>462500</v>
      </c>
      <c r="M32" s="10">
        <v>462</v>
      </c>
      <c r="N32" s="24">
        <f>O32*900</f>
        <v>197100</v>
      </c>
      <c r="O32" s="10">
        <v>219</v>
      </c>
      <c r="P32" s="24">
        <f>+Q32*900</f>
        <v>445500</v>
      </c>
      <c r="Q32" s="24">
        <v>495</v>
      </c>
      <c r="R32" s="24">
        <v>326466.02064535441</v>
      </c>
      <c r="S32" s="24">
        <v>314.1472</v>
      </c>
      <c r="T32" s="7" t="s">
        <v>86</v>
      </c>
      <c r="U32" s="7" t="s">
        <v>86</v>
      </c>
      <c r="V32" s="7" t="s">
        <v>86</v>
      </c>
      <c r="W32" s="7" t="s">
        <v>86</v>
      </c>
      <c r="X32" s="85" t="s">
        <v>89</v>
      </c>
      <c r="Y32" s="85">
        <v>197100</v>
      </c>
      <c r="Z32" s="86" t="s">
        <v>74</v>
      </c>
      <c r="AA32" s="86">
        <v>188.47959080210711</v>
      </c>
      <c r="AB32" t="s">
        <v>74</v>
      </c>
      <c r="AC32" s="63">
        <f>(20000-900)*E32+D32</f>
        <v>3850357.9536698028</v>
      </c>
      <c r="AD32" s="63">
        <f>(20000-900)*O32+N32</f>
        <v>4380000</v>
      </c>
      <c r="AE32" s="40">
        <f>(AD32-AC32)/AC32</f>
        <v>0.13755657336362501</v>
      </c>
      <c r="AF32" s="63">
        <f t="shared" si="0"/>
        <v>9900000</v>
      </c>
    </row>
    <row r="33" spans="1:32" hidden="1" x14ac:dyDescent="0.25">
      <c r="A33" s="91" t="s">
        <v>34</v>
      </c>
      <c r="B33" s="2" t="s">
        <v>131</v>
      </c>
      <c r="C33" s="2"/>
      <c r="D33" s="7">
        <v>280155.12833100645</v>
      </c>
      <c r="E33" s="7">
        <v>238.60441042787295</v>
      </c>
      <c r="F33" s="8">
        <v>492660</v>
      </c>
      <c r="G33" s="7">
        <v>629.50999999999988</v>
      </c>
      <c r="H33" s="7">
        <v>284093.60100000002</v>
      </c>
      <c r="I33" s="7">
        <v>547.93658997</v>
      </c>
      <c r="J33" s="7" t="s">
        <v>86</v>
      </c>
      <c r="K33" s="7" t="s">
        <v>86</v>
      </c>
      <c r="L33" s="10">
        <v>492982</v>
      </c>
      <c r="M33" s="10">
        <v>493</v>
      </c>
      <c r="N33" s="10" t="s">
        <v>86</v>
      </c>
      <c r="O33" s="10" t="s">
        <v>86</v>
      </c>
      <c r="P33" s="24">
        <f>+Q33*900</f>
        <v>445500</v>
      </c>
      <c r="Q33" s="24">
        <v>495</v>
      </c>
      <c r="R33" s="24">
        <v>298005.69846983702</v>
      </c>
      <c r="S33" s="24">
        <v>293.75</v>
      </c>
      <c r="T33" s="7">
        <v>403260</v>
      </c>
      <c r="U33" s="7">
        <v>575</v>
      </c>
      <c r="V33" s="7" t="s">
        <v>86</v>
      </c>
      <c r="W33" s="7" t="s">
        <v>86</v>
      </c>
      <c r="X33" s="85" t="s">
        <v>74</v>
      </c>
      <c r="Y33" s="85">
        <v>280155.12833100639</v>
      </c>
      <c r="Z33" s="86" t="s">
        <v>74</v>
      </c>
      <c r="AA33" s="86">
        <v>238.60441042787289</v>
      </c>
      <c r="AB33" t="s">
        <v>74</v>
      </c>
      <c r="AC33" s="63">
        <f>(20000-900)*E33+D33</f>
        <v>4837499.3675033795</v>
      </c>
      <c r="AD33" s="63" t="e">
        <f>(20000-900)*O33+N33</f>
        <v>#VALUE!</v>
      </c>
      <c r="AE33" s="40" t="e">
        <f>(AD33-AC33)/AC33</f>
        <v>#VALUE!</v>
      </c>
      <c r="AF33" s="63">
        <f t="shared" si="0"/>
        <v>9900000</v>
      </c>
    </row>
    <row r="34" spans="1:32" hidden="1" x14ac:dyDescent="0.25">
      <c r="A34" s="91" t="s">
        <v>14</v>
      </c>
      <c r="B34" s="2" t="s">
        <v>118</v>
      </c>
      <c r="C34" s="2"/>
      <c r="D34" s="7">
        <v>206807.85746295273</v>
      </c>
      <c r="E34" s="7">
        <v>115.05451056628819</v>
      </c>
      <c r="F34" s="7" t="s">
        <v>86</v>
      </c>
      <c r="G34" s="7" t="s">
        <v>86</v>
      </c>
      <c r="H34" s="7">
        <v>204490.111925</v>
      </c>
      <c r="I34" s="7">
        <v>364.46772999999996</v>
      </c>
      <c r="J34" s="37">
        <v>156100</v>
      </c>
      <c r="K34" s="38">
        <v>40</v>
      </c>
      <c r="L34" s="24">
        <v>370000</v>
      </c>
      <c r="M34" s="10">
        <v>370</v>
      </c>
      <c r="N34" s="24">
        <f>O34*900</f>
        <v>107100</v>
      </c>
      <c r="O34" s="10">
        <v>119</v>
      </c>
      <c r="P34" s="24">
        <f>+Q34*900</f>
        <v>463500</v>
      </c>
      <c r="Q34" s="24">
        <v>515</v>
      </c>
      <c r="R34" s="24">
        <v>145836.07964535445</v>
      </c>
      <c r="S34" s="24">
        <v>107.95</v>
      </c>
      <c r="T34" s="7" t="s">
        <v>86</v>
      </c>
      <c r="U34" s="7" t="s">
        <v>86</v>
      </c>
      <c r="V34" s="7">
        <v>756265.89133333345</v>
      </c>
      <c r="W34" s="7">
        <v>8402.9543481481487</v>
      </c>
      <c r="X34" s="85" t="s">
        <v>89</v>
      </c>
      <c r="Y34" s="85">
        <v>107100</v>
      </c>
      <c r="Z34" s="86" t="s">
        <v>87</v>
      </c>
      <c r="AA34" s="86">
        <v>40</v>
      </c>
      <c r="AB34" t="s">
        <v>74</v>
      </c>
      <c r="AC34" s="63">
        <f>(20000-900)*E34+D34</f>
        <v>2404349.0092790574</v>
      </c>
      <c r="AD34" s="63">
        <f>(20000-900)*O34+N34</f>
        <v>2380000</v>
      </c>
      <c r="AE34" s="40">
        <f>(AD34-AC34)/AC34</f>
        <v>-1.0127069400111101E-2</v>
      </c>
      <c r="AF34" s="63">
        <f t="shared" si="0"/>
        <v>10300000</v>
      </c>
    </row>
    <row r="35" spans="1:32" hidden="1" x14ac:dyDescent="0.25">
      <c r="A35" s="91" t="s">
        <v>18</v>
      </c>
      <c r="B35" s="2" t="s">
        <v>118</v>
      </c>
      <c r="C35" s="2"/>
      <c r="D35" s="7">
        <v>213132.60251333856</v>
      </c>
      <c r="E35" s="7">
        <v>125.7082350795144</v>
      </c>
      <c r="F35" s="7" t="s">
        <v>86</v>
      </c>
      <c r="G35" s="7" t="s">
        <v>86</v>
      </c>
      <c r="H35" s="7">
        <v>204490.111925</v>
      </c>
      <c r="I35" s="7">
        <v>364.46772999999996</v>
      </c>
      <c r="J35" s="7" t="s">
        <v>86</v>
      </c>
      <c r="K35" s="7" t="s">
        <v>86</v>
      </c>
      <c r="L35" s="24">
        <v>308333</v>
      </c>
      <c r="M35" s="10">
        <v>308</v>
      </c>
      <c r="N35" s="24">
        <f>O35*900</f>
        <v>107100</v>
      </c>
      <c r="O35" s="10">
        <v>119</v>
      </c>
      <c r="P35" s="24">
        <f>+Q35*900</f>
        <v>463500</v>
      </c>
      <c r="Q35" s="24">
        <v>515</v>
      </c>
      <c r="R35" s="24">
        <v>145836.07964535445</v>
      </c>
      <c r="S35" s="24">
        <v>107.95</v>
      </c>
      <c r="T35" s="7" t="s">
        <v>86</v>
      </c>
      <c r="U35" s="7" t="s">
        <v>86</v>
      </c>
      <c r="V35" s="7">
        <v>257146.69933333335</v>
      </c>
      <c r="W35" s="7">
        <v>2857.1855481481484</v>
      </c>
      <c r="X35" s="85" t="s">
        <v>89</v>
      </c>
      <c r="Y35" s="85">
        <v>107100</v>
      </c>
      <c r="Z35" s="86" t="s">
        <v>91</v>
      </c>
      <c r="AA35" s="86">
        <v>107.95</v>
      </c>
      <c r="AB35" t="s">
        <v>74</v>
      </c>
      <c r="AC35" s="63">
        <f>(20000-900)*E35+D35</f>
        <v>2614159.8925320632</v>
      </c>
      <c r="AD35" s="63">
        <f>(20000-900)*O35+N35</f>
        <v>2380000</v>
      </c>
      <c r="AE35" s="40">
        <f>(AD35-AC35)/AC35</f>
        <v>-8.9573668849022459E-2</v>
      </c>
      <c r="AF35" s="63">
        <f t="shared" ref="AF35:AF66" si="1">(20000-900)*Q35+P35</f>
        <v>10300000</v>
      </c>
    </row>
    <row r="36" spans="1:32" hidden="1" x14ac:dyDescent="0.25">
      <c r="A36" s="91" t="s">
        <v>31</v>
      </c>
      <c r="B36" s="2" t="s">
        <v>128</v>
      </c>
      <c r="C36" s="2"/>
      <c r="D36" s="7">
        <v>255541.01658091822</v>
      </c>
      <c r="E36" s="7">
        <v>197.14313987322714</v>
      </c>
      <c r="F36" s="7" t="s">
        <v>86</v>
      </c>
      <c r="G36" s="7" t="s">
        <v>86</v>
      </c>
      <c r="H36" s="7">
        <v>227455.13450000001</v>
      </c>
      <c r="I36" s="7">
        <v>429.49768806999992</v>
      </c>
      <c r="J36" s="7" t="s">
        <v>86</v>
      </c>
      <c r="K36" s="7" t="s">
        <v>86</v>
      </c>
      <c r="L36" s="24">
        <v>789333</v>
      </c>
      <c r="M36" s="10">
        <v>789</v>
      </c>
      <c r="N36" s="24" t="s">
        <v>86</v>
      </c>
      <c r="O36" s="10" t="s">
        <v>86</v>
      </c>
      <c r="P36" s="24">
        <f>+Q36*900</f>
        <v>391500</v>
      </c>
      <c r="Q36" s="24">
        <v>435</v>
      </c>
      <c r="R36" s="24">
        <v>302773.78964535444</v>
      </c>
      <c r="S36" s="24">
        <v>298.45</v>
      </c>
      <c r="T36" s="7">
        <v>451675</v>
      </c>
      <c r="U36" s="7">
        <v>510</v>
      </c>
      <c r="V36" s="7" t="s">
        <v>86</v>
      </c>
      <c r="W36" s="7" t="s">
        <v>86</v>
      </c>
      <c r="X36" s="85" t="s">
        <v>77</v>
      </c>
      <c r="Y36" s="85">
        <v>227455.13449999999</v>
      </c>
      <c r="Z36" s="86" t="s">
        <v>74</v>
      </c>
      <c r="AA36" s="86">
        <v>197.14313987322711</v>
      </c>
      <c r="AB36" t="s">
        <v>74</v>
      </c>
      <c r="AC36" s="63">
        <f>(20000-900)*E36+D36</f>
        <v>4020974.9881595569</v>
      </c>
      <c r="AD36" s="63">
        <f>(20000-900)*I36+H36</f>
        <v>8430860.9766369984</v>
      </c>
      <c r="AE36" s="40">
        <f>(AD36-AC36)/AC36</f>
        <v>1.096720571867047</v>
      </c>
      <c r="AF36" s="63">
        <f t="shared" si="1"/>
        <v>8700000</v>
      </c>
    </row>
    <row r="37" spans="1:32" hidden="1" x14ac:dyDescent="0.25">
      <c r="A37" s="91" t="s">
        <v>25</v>
      </c>
      <c r="B37" s="2" t="s">
        <v>123</v>
      </c>
      <c r="C37" s="2"/>
      <c r="D37" s="7">
        <v>241580.77409579352</v>
      </c>
      <c r="E37" s="7">
        <v>173.62779239447275</v>
      </c>
      <c r="F37" s="7" t="s">
        <v>86</v>
      </c>
      <c r="G37" s="7" t="s">
        <v>86</v>
      </c>
      <c r="H37" s="7">
        <v>151675.315</v>
      </c>
      <c r="I37" s="7">
        <v>314.02093864899996</v>
      </c>
      <c r="J37" s="28">
        <v>203520</v>
      </c>
      <c r="K37" s="29">
        <v>290</v>
      </c>
      <c r="L37" s="24">
        <v>458333</v>
      </c>
      <c r="M37" s="10">
        <v>458</v>
      </c>
      <c r="N37" s="24" t="s">
        <v>86</v>
      </c>
      <c r="O37" s="10" t="s">
        <v>86</v>
      </c>
      <c r="P37" s="24">
        <f>+Q37*900</f>
        <v>319500</v>
      </c>
      <c r="Q37" s="24">
        <v>355</v>
      </c>
      <c r="R37" s="24">
        <v>206796.07964535445</v>
      </c>
      <c r="S37" s="24">
        <v>219.1657142857143</v>
      </c>
      <c r="T37" s="7">
        <v>316720</v>
      </c>
      <c r="U37" s="7">
        <v>440</v>
      </c>
      <c r="V37" s="7" t="s">
        <v>86</v>
      </c>
      <c r="W37" s="7" t="s">
        <v>86</v>
      </c>
      <c r="X37" s="85" t="s">
        <v>77</v>
      </c>
      <c r="Y37" s="85">
        <v>151675.315</v>
      </c>
      <c r="Z37" s="86" t="s">
        <v>74</v>
      </c>
      <c r="AA37" s="86">
        <v>173.62779239447269</v>
      </c>
      <c r="AB37" t="s">
        <v>74</v>
      </c>
      <c r="AC37" s="63">
        <f>(20000-900)*E37+D37</f>
        <v>3557871.6088302233</v>
      </c>
      <c r="AD37" s="63">
        <f>(20000-900)*I37+H37</f>
        <v>6149475.2431958998</v>
      </c>
      <c r="AE37" s="40">
        <f>(AD37-AC37)/AC37</f>
        <v>0.72841404055548764</v>
      </c>
      <c r="AF37" s="63">
        <f t="shared" si="1"/>
        <v>7100000</v>
      </c>
    </row>
    <row r="38" spans="1:32" hidden="1" x14ac:dyDescent="0.25">
      <c r="A38" s="91" t="s">
        <v>28</v>
      </c>
      <c r="B38" s="2" t="s">
        <v>123</v>
      </c>
      <c r="C38" s="2"/>
      <c r="D38" s="7">
        <v>248928.27014059594</v>
      </c>
      <c r="E38" s="7">
        <v>186.0042910675013</v>
      </c>
      <c r="F38" s="7" t="s">
        <v>86</v>
      </c>
      <c r="G38" s="7" t="s">
        <v>86</v>
      </c>
      <c r="H38" s="7">
        <v>194976.58041673902</v>
      </c>
      <c r="I38" s="7">
        <v>314.02093864899996</v>
      </c>
      <c r="J38" s="28">
        <v>215180</v>
      </c>
      <c r="K38" s="29">
        <v>307</v>
      </c>
      <c r="L38" s="24">
        <v>458333</v>
      </c>
      <c r="M38" s="10">
        <v>458</v>
      </c>
      <c r="N38" s="24" t="s">
        <v>86</v>
      </c>
      <c r="O38" s="10" t="s">
        <v>86</v>
      </c>
      <c r="P38" s="24">
        <f>+Q38*900</f>
        <v>409500</v>
      </c>
      <c r="Q38" s="24">
        <v>455</v>
      </c>
      <c r="R38" s="24">
        <v>281980.07964535442</v>
      </c>
      <c r="S38" s="24">
        <v>304.8</v>
      </c>
      <c r="T38" s="7">
        <v>706320</v>
      </c>
      <c r="U38" s="7">
        <v>790</v>
      </c>
      <c r="V38" s="7" t="s">
        <v>86</v>
      </c>
      <c r="W38" s="7" t="s">
        <v>86</v>
      </c>
      <c r="X38" s="85" t="s">
        <v>77</v>
      </c>
      <c r="Y38" s="85">
        <v>194976.58041673899</v>
      </c>
      <c r="Z38" s="86" t="s">
        <v>74</v>
      </c>
      <c r="AA38" s="86">
        <v>186.0042910675013</v>
      </c>
      <c r="AB38" t="s">
        <v>74</v>
      </c>
      <c r="AC38" s="63">
        <f>(20000-900)*E38+D38</f>
        <v>3801610.2295298707</v>
      </c>
      <c r="AD38" s="63">
        <f>(20000-900)*I38+H38</f>
        <v>6192776.5086126383</v>
      </c>
      <c r="AE38" s="40">
        <f>(AD38-AC38)/AC38</f>
        <v>0.62898775379675709</v>
      </c>
      <c r="AF38" s="63">
        <f t="shared" si="1"/>
        <v>9100000</v>
      </c>
    </row>
    <row r="39" spans="1:32" hidden="1" x14ac:dyDescent="0.25">
      <c r="A39" s="91" t="s">
        <v>21</v>
      </c>
      <c r="B39" s="2" t="s">
        <v>120</v>
      </c>
      <c r="C39" s="2"/>
      <c r="D39" s="7">
        <v>237907.0260733921</v>
      </c>
      <c r="E39" s="7">
        <v>167.43954305795839</v>
      </c>
      <c r="F39" s="8">
        <v>448403.4</v>
      </c>
      <c r="G39" s="7">
        <v>572.95989999999995</v>
      </c>
      <c r="H39" s="7">
        <v>204491.21</v>
      </c>
      <c r="I39" s="7">
        <v>364.54</v>
      </c>
      <c r="J39" s="7" t="s">
        <v>86</v>
      </c>
      <c r="K39" s="7" t="s">
        <v>86</v>
      </c>
      <c r="L39" s="24">
        <v>462500</v>
      </c>
      <c r="M39" s="10">
        <v>462</v>
      </c>
      <c r="N39" s="24">
        <f>O39*900</f>
        <v>162900</v>
      </c>
      <c r="O39" s="10">
        <v>181</v>
      </c>
      <c r="P39" s="24">
        <f>+Q39*900</f>
        <v>355500</v>
      </c>
      <c r="Q39" s="24">
        <v>395</v>
      </c>
      <c r="R39" s="24">
        <v>183826.85964535445</v>
      </c>
      <c r="S39" s="24">
        <v>144.90699999999998</v>
      </c>
      <c r="T39" s="7" t="s">
        <v>86</v>
      </c>
      <c r="U39" s="7" t="s">
        <v>86</v>
      </c>
      <c r="V39" s="8">
        <v>290274.07933333336</v>
      </c>
      <c r="W39" s="8">
        <v>3225.2675481481483</v>
      </c>
      <c r="X39" s="85" t="s">
        <v>89</v>
      </c>
      <c r="Y39" s="85">
        <v>162900</v>
      </c>
      <c r="Z39" s="86" t="s">
        <v>91</v>
      </c>
      <c r="AA39" s="86">
        <v>144.90700000000001</v>
      </c>
      <c r="AB39" t="s">
        <v>74</v>
      </c>
      <c r="AC39" s="63">
        <f>(20000-900)*E39+D39</f>
        <v>3436002.2984803971</v>
      </c>
      <c r="AD39" s="63">
        <f>(20000-900)*O39+N39</f>
        <v>3620000</v>
      </c>
      <c r="AE39" s="40">
        <f>(AD39-AC39)/AC39</f>
        <v>5.3549935516916725E-2</v>
      </c>
      <c r="AF39" s="63">
        <f t="shared" si="1"/>
        <v>7900000</v>
      </c>
    </row>
    <row r="40" spans="1:32" hidden="1" x14ac:dyDescent="0.25">
      <c r="A40" s="91" t="s">
        <v>32</v>
      </c>
      <c r="B40" s="2" t="s">
        <v>129</v>
      </c>
      <c r="C40" s="2"/>
      <c r="D40" s="7">
        <v>259949.51420779972</v>
      </c>
      <c r="E40" s="7">
        <v>204.56903907704418</v>
      </c>
      <c r="F40" s="7" t="s">
        <v>86</v>
      </c>
      <c r="G40" s="7" t="s">
        <v>86</v>
      </c>
      <c r="H40" s="7">
        <v>194978.06899999999</v>
      </c>
      <c r="I40" s="7">
        <v>429.49768806999992</v>
      </c>
      <c r="J40" s="7" t="s">
        <v>86</v>
      </c>
      <c r="K40" s="7" t="s">
        <v>86</v>
      </c>
      <c r="L40" s="24">
        <v>935233</v>
      </c>
      <c r="M40" s="10">
        <v>935</v>
      </c>
      <c r="N40" s="24">
        <f>O40*900</f>
        <v>157500</v>
      </c>
      <c r="O40" s="10">
        <v>175</v>
      </c>
      <c r="P40" s="24">
        <f>+Q40*900</f>
        <v>463500</v>
      </c>
      <c r="Q40" s="24">
        <v>515</v>
      </c>
      <c r="R40" s="24">
        <v>379571.47061676794</v>
      </c>
      <c r="S40" s="24">
        <v>295.16208</v>
      </c>
      <c r="T40" s="7" t="s">
        <v>86</v>
      </c>
      <c r="U40" s="7" t="s">
        <v>86</v>
      </c>
      <c r="V40" s="7" t="s">
        <v>86</v>
      </c>
      <c r="W40" s="7" t="s">
        <v>86</v>
      </c>
      <c r="X40" s="85" t="s">
        <v>89</v>
      </c>
      <c r="Y40" s="85">
        <v>157500</v>
      </c>
      <c r="Z40" s="86" t="s">
        <v>89</v>
      </c>
      <c r="AA40" s="86">
        <v>175</v>
      </c>
      <c r="AB40" t="s">
        <v>109</v>
      </c>
      <c r="AC40" s="63">
        <f>(20000-900)*E40+D40</f>
        <v>4167218.1605793438</v>
      </c>
      <c r="AD40" s="63">
        <f>(20000-900)*O40+N40</f>
        <v>3500000</v>
      </c>
      <c r="AE40" s="40">
        <f>(AD40-AC40)/AC40</f>
        <v>-0.16011116645896561</v>
      </c>
      <c r="AF40" s="63">
        <f t="shared" si="1"/>
        <v>10300000</v>
      </c>
    </row>
    <row r="41" spans="1:32" hidden="1" x14ac:dyDescent="0.25">
      <c r="A41" s="91" t="s">
        <v>41</v>
      </c>
      <c r="B41" s="2" t="s">
        <v>129</v>
      </c>
      <c r="C41" s="2"/>
      <c r="D41" s="7">
        <v>402554.1274616181</v>
      </c>
      <c r="E41" s="7">
        <v>472.7374577236709</v>
      </c>
      <c r="F41" s="7" t="s">
        <v>86</v>
      </c>
      <c r="G41" s="7" t="s">
        <v>86</v>
      </c>
      <c r="H41" s="7" t="s">
        <v>86</v>
      </c>
      <c r="I41" s="7" t="s">
        <v>86</v>
      </c>
      <c r="J41" s="7" t="s">
        <v>86</v>
      </c>
      <c r="K41" s="7" t="s">
        <v>86</v>
      </c>
      <c r="L41" s="10">
        <v>492982</v>
      </c>
      <c r="M41" s="10">
        <v>493</v>
      </c>
      <c r="N41" s="10">
        <f>O41*900</f>
        <v>202500</v>
      </c>
      <c r="O41" s="10">
        <v>225</v>
      </c>
      <c r="P41" s="24">
        <f>+Q41*900</f>
        <v>463500</v>
      </c>
      <c r="Q41" s="24">
        <v>515</v>
      </c>
      <c r="R41" s="24">
        <v>536596.08596983703</v>
      </c>
      <c r="S41" s="24">
        <v>435.65</v>
      </c>
      <c r="T41" s="7" t="s">
        <v>86</v>
      </c>
      <c r="U41" s="7" t="s">
        <v>86</v>
      </c>
      <c r="V41" s="7" t="s">
        <v>86</v>
      </c>
      <c r="W41" s="7" t="s">
        <v>86</v>
      </c>
      <c r="X41" s="85" t="s">
        <v>89</v>
      </c>
      <c r="Y41" s="85">
        <v>202500</v>
      </c>
      <c r="Z41" s="86" t="s">
        <v>89</v>
      </c>
      <c r="AA41" s="86">
        <v>225</v>
      </c>
      <c r="AB41" t="s">
        <v>109</v>
      </c>
      <c r="AC41" s="63">
        <f>(20000-900)*E41+D41</f>
        <v>9431839.569983732</v>
      </c>
      <c r="AD41" s="63">
        <f>(20000-900)*O41+N41</f>
        <v>4500000</v>
      </c>
      <c r="AE41" s="40">
        <f>(AD41-AC41)/AC41</f>
        <v>-0.52289264818275938</v>
      </c>
      <c r="AF41" s="63">
        <f t="shared" si="1"/>
        <v>10300000</v>
      </c>
    </row>
    <row r="42" spans="1:32" hidden="1" x14ac:dyDescent="0.25">
      <c r="A42" s="91" t="s">
        <v>43</v>
      </c>
      <c r="B42" s="2" t="s">
        <v>129</v>
      </c>
      <c r="C42" s="2"/>
      <c r="D42" s="7">
        <v>365967.64167639712</v>
      </c>
      <c r="E42" s="7">
        <v>429.77229826496506</v>
      </c>
      <c r="F42" s="7" t="s">
        <v>86</v>
      </c>
      <c r="G42" s="7" t="s">
        <v>86</v>
      </c>
      <c r="H42" s="7" t="s">
        <v>86</v>
      </c>
      <c r="I42" s="7" t="s">
        <v>86</v>
      </c>
      <c r="J42" s="7" t="s">
        <v>86</v>
      </c>
      <c r="K42" s="7" t="s">
        <v>86</v>
      </c>
      <c r="L42" s="10" t="s">
        <v>86</v>
      </c>
      <c r="M42" s="10" t="s">
        <v>86</v>
      </c>
      <c r="N42" s="10">
        <f>O42*900</f>
        <v>444600</v>
      </c>
      <c r="O42" s="10">
        <v>494</v>
      </c>
      <c r="P42" s="24">
        <f>+Q42*900</f>
        <v>517500</v>
      </c>
      <c r="Q42" s="24">
        <v>575</v>
      </c>
      <c r="R42" s="24">
        <v>702918.8829065609</v>
      </c>
      <c r="S42" s="24">
        <v>586.47839999999997</v>
      </c>
      <c r="T42" s="7" t="s">
        <v>86</v>
      </c>
      <c r="U42" s="7" t="s">
        <v>86</v>
      </c>
      <c r="V42" s="7" t="s">
        <v>86</v>
      </c>
      <c r="W42" s="7" t="s">
        <v>86</v>
      </c>
      <c r="X42" s="85" t="s">
        <v>74</v>
      </c>
      <c r="Y42" s="85">
        <v>365967.64167639712</v>
      </c>
      <c r="Z42" s="86" t="s">
        <v>74</v>
      </c>
      <c r="AA42" s="86">
        <v>429.77229826496512</v>
      </c>
      <c r="AB42" t="s">
        <v>74</v>
      </c>
      <c r="AC42" s="63">
        <f>(20000-900)*E42+D42</f>
        <v>8574618.5385372303</v>
      </c>
      <c r="AD42" s="63">
        <f>(20000-900)*O42+N42</f>
        <v>9880000</v>
      </c>
      <c r="AE42" s="40">
        <f>(AD42-AC42)/AC42</f>
        <v>0.15223784656961062</v>
      </c>
      <c r="AF42" s="63">
        <f t="shared" si="1"/>
        <v>11500000</v>
      </c>
    </row>
    <row r="43" spans="1:32" hidden="1" x14ac:dyDescent="0.25">
      <c r="A43" s="91" t="s">
        <v>47</v>
      </c>
      <c r="B43" s="2" t="s">
        <v>129</v>
      </c>
      <c r="C43" s="2"/>
      <c r="D43" s="7">
        <v>402554.1274616181</v>
      </c>
      <c r="E43" s="7">
        <v>472.7374577236709</v>
      </c>
      <c r="F43" s="7" t="s">
        <v>86</v>
      </c>
      <c r="G43" s="7" t="s">
        <v>86</v>
      </c>
      <c r="H43" s="7" t="s">
        <v>86</v>
      </c>
      <c r="I43" s="7" t="s">
        <v>86</v>
      </c>
      <c r="J43" s="7" t="s">
        <v>86</v>
      </c>
      <c r="K43" s="7" t="s">
        <v>86</v>
      </c>
      <c r="L43" s="7" t="s">
        <v>86</v>
      </c>
      <c r="M43" s="7" t="s">
        <v>86</v>
      </c>
      <c r="N43" s="7">
        <f>O43*900</f>
        <v>390600</v>
      </c>
      <c r="O43" s="7">
        <v>434</v>
      </c>
      <c r="P43" s="24">
        <f>+Q43*900</f>
        <v>517500</v>
      </c>
      <c r="Q43" s="24">
        <v>575</v>
      </c>
      <c r="R43" s="24">
        <v>708680.51309431961</v>
      </c>
      <c r="S43" s="24">
        <v>591.28560000000004</v>
      </c>
      <c r="T43" s="7" t="s">
        <v>86</v>
      </c>
      <c r="U43" s="7" t="s">
        <v>86</v>
      </c>
      <c r="V43" s="7" t="s">
        <v>86</v>
      </c>
      <c r="W43" s="7" t="s">
        <v>86</v>
      </c>
      <c r="X43" s="85" t="s">
        <v>89</v>
      </c>
      <c r="Y43" s="85">
        <v>390600</v>
      </c>
      <c r="Z43" s="86" t="s">
        <v>89</v>
      </c>
      <c r="AA43" s="86">
        <v>434</v>
      </c>
      <c r="AB43" t="s">
        <v>109</v>
      </c>
      <c r="AC43" s="63">
        <f>(20000-900)*E43+D43</f>
        <v>9431839.569983732</v>
      </c>
      <c r="AD43" s="63">
        <f>(20000-900)*O43+N43</f>
        <v>8680000</v>
      </c>
      <c r="AE43" s="40">
        <f>(AD43-AC43)/AC43</f>
        <v>-7.971293027252252E-2</v>
      </c>
      <c r="AF43" s="63">
        <f t="shared" si="1"/>
        <v>11500000</v>
      </c>
    </row>
    <row r="44" spans="1:32" hidden="1" x14ac:dyDescent="0.25">
      <c r="A44" s="91" t="s">
        <v>51</v>
      </c>
      <c r="B44" s="2" t="s">
        <v>129</v>
      </c>
      <c r="C44" s="2"/>
      <c r="D44" s="7">
        <v>402554.1274616181</v>
      </c>
      <c r="E44" s="7">
        <v>472.7374577236709</v>
      </c>
      <c r="F44" s="7" t="s">
        <v>86</v>
      </c>
      <c r="G44" s="7" t="s">
        <v>86</v>
      </c>
      <c r="H44" s="7" t="s">
        <v>86</v>
      </c>
      <c r="I44" s="7" t="s">
        <v>86</v>
      </c>
      <c r="J44" s="7" t="s">
        <v>86</v>
      </c>
      <c r="K44" s="7" t="s">
        <v>86</v>
      </c>
      <c r="L44" s="7" t="s">
        <v>86</v>
      </c>
      <c r="M44" s="7" t="s">
        <v>86</v>
      </c>
      <c r="N44" s="7">
        <f>O44*900</f>
        <v>220500</v>
      </c>
      <c r="O44" s="7">
        <v>245</v>
      </c>
      <c r="P44" s="24">
        <f>+Q44*900</f>
        <v>463500</v>
      </c>
      <c r="Q44" s="24">
        <v>515</v>
      </c>
      <c r="R44" s="24">
        <v>708680.51309431961</v>
      </c>
      <c r="S44" s="24">
        <v>591.28560000000004</v>
      </c>
      <c r="T44" s="7" t="s">
        <v>86</v>
      </c>
      <c r="U44" s="7" t="s">
        <v>86</v>
      </c>
      <c r="V44" s="7" t="s">
        <v>86</v>
      </c>
      <c r="W44" s="7" t="s">
        <v>86</v>
      </c>
      <c r="X44" s="85" t="s">
        <v>89</v>
      </c>
      <c r="Y44" s="85">
        <v>220500</v>
      </c>
      <c r="Z44" s="86" t="s">
        <v>89</v>
      </c>
      <c r="AA44" s="86">
        <v>245</v>
      </c>
      <c r="AB44" t="s">
        <v>109</v>
      </c>
      <c r="AC44" s="63">
        <f>(20000-900)*E44+D44</f>
        <v>9431839.569983732</v>
      </c>
      <c r="AD44" s="63">
        <f>(20000-900)*O44+N44</f>
        <v>4900000</v>
      </c>
      <c r="AE44" s="40">
        <f>(AD44-AC44)/AC44</f>
        <v>-0.48048310579900466</v>
      </c>
      <c r="AF44" s="63">
        <f t="shared" si="1"/>
        <v>10300000</v>
      </c>
    </row>
    <row r="45" spans="1:32" hidden="1" x14ac:dyDescent="0.25">
      <c r="A45" s="91" t="s">
        <v>56</v>
      </c>
      <c r="B45" s="2" t="s">
        <v>129</v>
      </c>
      <c r="C45" s="2"/>
      <c r="D45" s="7">
        <v>439382.56957872794</v>
      </c>
      <c r="E45" s="7">
        <v>515.98675740952683</v>
      </c>
      <c r="F45" s="7" t="s">
        <v>86</v>
      </c>
      <c r="G45" s="7" t="s">
        <v>86</v>
      </c>
      <c r="H45" s="7">
        <v>272065.34218676994</v>
      </c>
      <c r="I45" s="7">
        <v>450.47424806999993</v>
      </c>
      <c r="J45" s="7" t="s">
        <v>86</v>
      </c>
      <c r="K45" s="7" t="s">
        <v>86</v>
      </c>
      <c r="L45" s="7" t="s">
        <v>86</v>
      </c>
      <c r="M45" s="7" t="s">
        <v>86</v>
      </c>
      <c r="N45" s="7">
        <f>O45*900</f>
        <v>444600</v>
      </c>
      <c r="O45" s="7">
        <v>494</v>
      </c>
      <c r="P45" s="24">
        <f>+Q45*900</f>
        <v>463500</v>
      </c>
      <c r="Q45" s="24">
        <v>515</v>
      </c>
      <c r="R45" s="24">
        <v>708680.51309431961</v>
      </c>
      <c r="S45" s="24">
        <v>591.28560000000004</v>
      </c>
      <c r="T45" s="7" t="s">
        <v>86</v>
      </c>
      <c r="U45" s="7" t="s">
        <v>86</v>
      </c>
      <c r="V45" s="7" t="s">
        <v>86</v>
      </c>
      <c r="W45" s="7" t="s">
        <v>86</v>
      </c>
      <c r="X45" s="85" t="s">
        <v>77</v>
      </c>
      <c r="Y45" s="85">
        <v>272065.34218676988</v>
      </c>
      <c r="Z45" s="86" t="s">
        <v>77</v>
      </c>
      <c r="AA45" s="86">
        <v>450.47424806999987</v>
      </c>
      <c r="AB45" t="s">
        <v>77</v>
      </c>
      <c r="AC45" s="63">
        <f>(20000-900)*E45+D45</f>
        <v>10294729.636100691</v>
      </c>
      <c r="AD45" s="63">
        <f>(20000-900)*O45+N45</f>
        <v>9880000</v>
      </c>
      <c r="AE45" s="40">
        <f>(AD45-AC45)/AC45</f>
        <v>-4.0285626797458757E-2</v>
      </c>
      <c r="AF45" s="63">
        <f t="shared" si="1"/>
        <v>10300000</v>
      </c>
    </row>
    <row r="46" spans="1:32" hidden="1" x14ac:dyDescent="0.25">
      <c r="A46" s="91" t="s">
        <v>63</v>
      </c>
      <c r="B46" s="2" t="s">
        <v>129</v>
      </c>
      <c r="C46" s="2"/>
      <c r="D46" s="7">
        <v>402554.1274616181</v>
      </c>
      <c r="E46" s="7">
        <v>472.7374577236709</v>
      </c>
      <c r="F46" s="7" t="s">
        <v>86</v>
      </c>
      <c r="G46" s="7" t="s">
        <v>86</v>
      </c>
      <c r="H46" s="7" t="s">
        <v>86</v>
      </c>
      <c r="I46" s="7" t="s">
        <v>86</v>
      </c>
      <c r="J46" s="7" t="s">
        <v>86</v>
      </c>
      <c r="K46" s="7" t="s">
        <v>86</v>
      </c>
      <c r="L46" s="7" t="s">
        <v>86</v>
      </c>
      <c r="M46" s="7" t="s">
        <v>86</v>
      </c>
      <c r="N46" s="7">
        <f>O46*900</f>
        <v>390600</v>
      </c>
      <c r="O46" s="7">
        <v>434</v>
      </c>
      <c r="P46" s="24">
        <f>+Q46*900</f>
        <v>463500</v>
      </c>
      <c r="Q46" s="24">
        <v>515</v>
      </c>
      <c r="R46" s="24">
        <v>708680.51309431961</v>
      </c>
      <c r="S46" s="24">
        <v>591.28560000000004</v>
      </c>
      <c r="T46" s="7" t="s">
        <v>86</v>
      </c>
      <c r="U46" s="7" t="s">
        <v>86</v>
      </c>
      <c r="V46" s="7" t="s">
        <v>86</v>
      </c>
      <c r="W46" s="7" t="s">
        <v>86</v>
      </c>
      <c r="X46" s="85" t="s">
        <v>89</v>
      </c>
      <c r="Y46" s="85">
        <v>390600</v>
      </c>
      <c r="Z46" s="86" t="s">
        <v>89</v>
      </c>
      <c r="AA46" s="86">
        <v>434</v>
      </c>
      <c r="AB46" t="s">
        <v>109</v>
      </c>
      <c r="AC46" s="63">
        <f>(20000-900)*E46+D46</f>
        <v>9431839.569983732</v>
      </c>
      <c r="AD46" s="63">
        <f>(20000-900)*O46+N46</f>
        <v>8680000</v>
      </c>
      <c r="AE46" s="40">
        <f>(AD46-AC46)/AC46</f>
        <v>-7.971293027252252E-2</v>
      </c>
      <c r="AF46" s="63">
        <f t="shared" si="1"/>
        <v>10300000</v>
      </c>
    </row>
    <row r="47" spans="1:32" hidden="1" x14ac:dyDescent="0.25">
      <c r="A47" s="91" t="s">
        <v>69</v>
      </c>
      <c r="B47" s="2" t="s">
        <v>129</v>
      </c>
      <c r="C47" s="2"/>
      <c r="D47" s="7">
        <v>402554.1274616181</v>
      </c>
      <c r="E47" s="7">
        <v>472.7374577236709</v>
      </c>
      <c r="F47" s="7" t="s">
        <v>86</v>
      </c>
      <c r="G47" s="7" t="s">
        <v>86</v>
      </c>
      <c r="H47" s="7" t="s">
        <v>86</v>
      </c>
      <c r="I47" s="7" t="s">
        <v>86</v>
      </c>
      <c r="J47" s="7" t="s">
        <v>86</v>
      </c>
      <c r="K47" s="7" t="s">
        <v>86</v>
      </c>
      <c r="L47" s="7" t="s">
        <v>86</v>
      </c>
      <c r="M47" s="7" t="s">
        <v>86</v>
      </c>
      <c r="N47" s="7">
        <f>O47*900</f>
        <v>444600</v>
      </c>
      <c r="O47" s="7">
        <v>494</v>
      </c>
      <c r="P47" s="24">
        <f>+Q47*900</f>
        <v>517500</v>
      </c>
      <c r="Q47" s="24">
        <v>575</v>
      </c>
      <c r="R47" s="24">
        <v>708680.51309431961</v>
      </c>
      <c r="S47" s="24">
        <v>591.28560000000004</v>
      </c>
      <c r="T47" s="7" t="s">
        <v>86</v>
      </c>
      <c r="U47" s="7" t="s">
        <v>86</v>
      </c>
      <c r="V47" s="7" t="s">
        <v>86</v>
      </c>
      <c r="W47" s="7" t="s">
        <v>86</v>
      </c>
      <c r="X47" s="85" t="s">
        <v>74</v>
      </c>
      <c r="Y47" s="85">
        <v>402554.1274616181</v>
      </c>
      <c r="Z47" s="86" t="s">
        <v>74</v>
      </c>
      <c r="AA47" s="86">
        <v>472.7374577236709</v>
      </c>
      <c r="AB47" t="s">
        <v>74</v>
      </c>
      <c r="AC47" s="63">
        <f>(20000-900)*E47+D47</f>
        <v>9431839.569983732</v>
      </c>
      <c r="AD47" s="63">
        <f>(20000-900)*O47+N47</f>
        <v>9880000</v>
      </c>
      <c r="AE47" s="40">
        <f>(AD47-AC47)/AC47</f>
        <v>4.7515696878741652E-2</v>
      </c>
      <c r="AF47" s="63">
        <f t="shared" si="1"/>
        <v>11500000</v>
      </c>
    </row>
    <row r="48" spans="1:32" hidden="1" x14ac:dyDescent="0.25">
      <c r="A48" s="91" t="s">
        <v>71</v>
      </c>
      <c r="B48" s="2" t="s">
        <v>129</v>
      </c>
      <c r="C48" s="2"/>
      <c r="D48" s="7">
        <v>402554.1274616181</v>
      </c>
      <c r="E48" s="7">
        <v>472.7374577236709</v>
      </c>
      <c r="F48" s="7" t="s">
        <v>86</v>
      </c>
      <c r="G48" s="7" t="s">
        <v>86</v>
      </c>
      <c r="H48" s="7">
        <v>272065.34218676994</v>
      </c>
      <c r="I48" s="7">
        <v>450.47424806999993</v>
      </c>
      <c r="J48" s="7" t="s">
        <v>86</v>
      </c>
      <c r="K48" s="7" t="s">
        <v>86</v>
      </c>
      <c r="L48" s="7" t="s">
        <v>86</v>
      </c>
      <c r="M48" s="7" t="s">
        <v>86</v>
      </c>
      <c r="N48" s="7">
        <f>O48*900</f>
        <v>202500</v>
      </c>
      <c r="O48" s="7">
        <v>225</v>
      </c>
      <c r="P48" s="24">
        <f>+Q48*900</f>
        <v>517500</v>
      </c>
      <c r="Q48" s="24">
        <v>575</v>
      </c>
      <c r="R48" s="24">
        <v>528010.54859431973</v>
      </c>
      <c r="S48" s="24">
        <v>428.67959999999999</v>
      </c>
      <c r="T48" s="7" t="s">
        <v>86</v>
      </c>
      <c r="U48" s="7" t="s">
        <v>86</v>
      </c>
      <c r="V48" s="7" t="s">
        <v>86</v>
      </c>
      <c r="W48" s="7" t="s">
        <v>86</v>
      </c>
      <c r="X48" s="85" t="s">
        <v>89</v>
      </c>
      <c r="Y48" s="85">
        <v>202500</v>
      </c>
      <c r="Z48" s="86" t="s">
        <v>89</v>
      </c>
      <c r="AA48" s="86">
        <v>225</v>
      </c>
      <c r="AB48" t="s">
        <v>109</v>
      </c>
      <c r="AC48" s="63">
        <f>(20000-900)*E48+D48</f>
        <v>9431839.569983732</v>
      </c>
      <c r="AD48" s="63">
        <f>(20000-900)*O48+N48</f>
        <v>4500000</v>
      </c>
      <c r="AE48" s="40">
        <f>(AD48-AC48)/AC48</f>
        <v>-0.52289264818275938</v>
      </c>
      <c r="AF48" s="63">
        <f t="shared" si="1"/>
        <v>11500000</v>
      </c>
    </row>
    <row r="49" spans="1:32" hidden="1" x14ac:dyDescent="0.25">
      <c r="A49" s="91" t="s">
        <v>36</v>
      </c>
      <c r="B49" s="2" t="s">
        <v>133</v>
      </c>
      <c r="C49" s="2"/>
      <c r="D49" s="7">
        <v>402554.1274616181</v>
      </c>
      <c r="E49" s="7">
        <v>472.7374577236709</v>
      </c>
      <c r="F49" s="7" t="s">
        <v>86</v>
      </c>
      <c r="G49" s="7" t="s">
        <v>86</v>
      </c>
      <c r="H49" s="7">
        <v>272065.34218676994</v>
      </c>
      <c r="I49" s="7">
        <v>450.47424806999993</v>
      </c>
      <c r="J49" s="7" t="s">
        <v>86</v>
      </c>
      <c r="K49" s="7" t="s">
        <v>86</v>
      </c>
      <c r="L49" s="10">
        <v>492982</v>
      </c>
      <c r="M49" s="10">
        <v>493</v>
      </c>
      <c r="N49" s="10">
        <f>O49*900</f>
        <v>390600</v>
      </c>
      <c r="O49" s="10">
        <v>434</v>
      </c>
      <c r="P49" s="24">
        <f>+Q49*900</f>
        <v>517500</v>
      </c>
      <c r="Q49" s="24">
        <v>575</v>
      </c>
      <c r="R49" s="24">
        <v>720203.77346983703</v>
      </c>
      <c r="S49" s="24">
        <v>600.90000000000009</v>
      </c>
      <c r="T49" s="7" t="s">
        <v>86</v>
      </c>
      <c r="U49" s="7" t="s">
        <v>86</v>
      </c>
      <c r="V49" s="7" t="s">
        <v>86</v>
      </c>
      <c r="W49" s="7" t="s">
        <v>86</v>
      </c>
      <c r="X49" s="85" t="s">
        <v>77</v>
      </c>
      <c r="Y49" s="85">
        <v>272065.34218676988</v>
      </c>
      <c r="Z49" s="86" t="s">
        <v>89</v>
      </c>
      <c r="AA49" s="86">
        <v>434</v>
      </c>
      <c r="AB49" t="s">
        <v>74</v>
      </c>
      <c r="AC49" s="63">
        <f>(20000-900)*E49+D49</f>
        <v>9431839.569983732</v>
      </c>
      <c r="AD49" s="63">
        <f>(20000-900)*O49+N49</f>
        <v>8680000</v>
      </c>
      <c r="AE49" s="40">
        <f>(AD49-AC49)/AC49</f>
        <v>-7.971293027252252E-2</v>
      </c>
      <c r="AF49" s="63">
        <f t="shared" si="1"/>
        <v>11500000</v>
      </c>
    </row>
    <row r="50" spans="1:32" hidden="1" x14ac:dyDescent="0.25">
      <c r="A50" s="91" t="s">
        <v>37</v>
      </c>
      <c r="B50" s="2" t="s">
        <v>133</v>
      </c>
      <c r="C50" s="2"/>
      <c r="D50" s="7">
        <v>311997.93764683476</v>
      </c>
      <c r="E50" s="7">
        <v>366.39324204235362</v>
      </c>
      <c r="F50" s="7" t="s">
        <v>86</v>
      </c>
      <c r="G50" s="7" t="s">
        <v>86</v>
      </c>
      <c r="H50" s="7">
        <v>272065.34218676994</v>
      </c>
      <c r="I50" s="7">
        <v>450.47424806999993</v>
      </c>
      <c r="J50" s="7" t="s">
        <v>86</v>
      </c>
      <c r="K50" s="7" t="s">
        <v>86</v>
      </c>
      <c r="L50" s="10">
        <v>492982</v>
      </c>
      <c r="M50" s="10">
        <v>493</v>
      </c>
      <c r="N50" s="10">
        <f>O50*900</f>
        <v>220500</v>
      </c>
      <c r="O50" s="10">
        <v>245</v>
      </c>
      <c r="P50" s="24">
        <f>+Q50*900</f>
        <v>463500</v>
      </c>
      <c r="Q50" s="24">
        <v>515</v>
      </c>
      <c r="R50" s="24">
        <v>536596.08596983703</v>
      </c>
      <c r="S50" s="24">
        <v>435.65</v>
      </c>
      <c r="T50" s="7" t="s">
        <v>86</v>
      </c>
      <c r="U50" s="7" t="s">
        <v>86</v>
      </c>
      <c r="V50" s="7" t="s">
        <v>86</v>
      </c>
      <c r="W50" s="7" t="s">
        <v>86</v>
      </c>
      <c r="X50" s="85" t="s">
        <v>89</v>
      </c>
      <c r="Y50" s="85">
        <v>220500</v>
      </c>
      <c r="Z50" s="86" t="s">
        <v>89</v>
      </c>
      <c r="AA50" s="86">
        <v>245</v>
      </c>
      <c r="AB50" t="s">
        <v>109</v>
      </c>
      <c r="AC50" s="63">
        <f>(20000-900)*E50+D50</f>
        <v>7310108.8606557893</v>
      </c>
      <c r="AD50" s="63">
        <f>(20000-900)*O50+N50</f>
        <v>4900000</v>
      </c>
      <c r="AE50" s="40">
        <f>(AD50-AC50)/AC50</f>
        <v>-0.32969534470647793</v>
      </c>
      <c r="AF50" s="63">
        <f t="shared" si="1"/>
        <v>10300000</v>
      </c>
    </row>
    <row r="51" spans="1:32" hidden="1" x14ac:dyDescent="0.25">
      <c r="A51" s="91" t="s">
        <v>39</v>
      </c>
      <c r="B51" s="2" t="s">
        <v>133</v>
      </c>
      <c r="C51" s="2"/>
      <c r="D51" s="7">
        <v>218686.13405221078</v>
      </c>
      <c r="E51" s="7">
        <v>256.81298488516171</v>
      </c>
      <c r="F51" s="7" t="s">
        <v>86</v>
      </c>
      <c r="G51" s="7" t="s">
        <v>86</v>
      </c>
      <c r="H51" s="7" t="s">
        <v>86</v>
      </c>
      <c r="I51" s="7" t="s">
        <v>86</v>
      </c>
      <c r="J51" s="7" t="s">
        <v>86</v>
      </c>
      <c r="K51" s="7" t="s">
        <v>86</v>
      </c>
      <c r="L51" s="10">
        <v>492982</v>
      </c>
      <c r="M51" s="10">
        <v>493</v>
      </c>
      <c r="N51" s="10">
        <f>O51*900</f>
        <v>157500</v>
      </c>
      <c r="O51" s="10">
        <v>175</v>
      </c>
      <c r="P51" s="24">
        <f>+Q51*900</f>
        <v>463500</v>
      </c>
      <c r="Q51" s="24">
        <v>515</v>
      </c>
      <c r="R51" s="24">
        <v>536596.08596983703</v>
      </c>
      <c r="S51" s="24">
        <v>435.65</v>
      </c>
      <c r="T51" s="7" t="s">
        <v>86</v>
      </c>
      <c r="U51" s="7" t="s">
        <v>86</v>
      </c>
      <c r="V51" s="7" t="s">
        <v>86</v>
      </c>
      <c r="W51" s="7" t="s">
        <v>86</v>
      </c>
      <c r="X51" s="85" t="s">
        <v>89</v>
      </c>
      <c r="Y51" s="85">
        <v>157500</v>
      </c>
      <c r="Z51" s="86" t="s">
        <v>89</v>
      </c>
      <c r="AA51" s="86">
        <v>175</v>
      </c>
      <c r="AB51" t="s">
        <v>109</v>
      </c>
      <c r="AC51" s="63">
        <f>(20000-900)*E51+D51</f>
        <v>5123814.145358799</v>
      </c>
      <c r="AD51" s="63">
        <f>(20000-900)*O51+N51</f>
        <v>3500000</v>
      </c>
      <c r="AE51" s="40">
        <f>(AD51-AC51)/AC51</f>
        <v>-0.31691511426691105</v>
      </c>
      <c r="AF51" s="63">
        <f t="shared" si="1"/>
        <v>10300000</v>
      </c>
    </row>
    <row r="52" spans="1:32" hidden="1" x14ac:dyDescent="0.25">
      <c r="A52" s="91" t="s">
        <v>44</v>
      </c>
      <c r="B52" s="2" t="s">
        <v>133</v>
      </c>
      <c r="C52" s="2"/>
      <c r="D52" s="7">
        <v>516598.90029539471</v>
      </c>
      <c r="E52" s="7">
        <v>606.66537523397722</v>
      </c>
      <c r="F52" s="7" t="s">
        <v>86</v>
      </c>
      <c r="G52" s="7" t="s">
        <v>86</v>
      </c>
      <c r="H52" s="7" t="s">
        <v>86</v>
      </c>
      <c r="I52" s="7" t="s">
        <v>86</v>
      </c>
      <c r="J52" s="7" t="s">
        <v>86</v>
      </c>
      <c r="K52" s="7" t="s">
        <v>86</v>
      </c>
      <c r="L52" s="7" t="s">
        <v>86</v>
      </c>
      <c r="M52" s="7" t="s">
        <v>86</v>
      </c>
      <c r="N52" s="7">
        <f>O52*900</f>
        <v>444600</v>
      </c>
      <c r="O52" s="7">
        <v>494</v>
      </c>
      <c r="P52" s="24">
        <f>+Q52*900</f>
        <v>553500</v>
      </c>
      <c r="Q52" s="24">
        <v>615</v>
      </c>
      <c r="R52" s="24">
        <v>702918.8829065609</v>
      </c>
      <c r="S52" s="24">
        <v>586.47839999999997</v>
      </c>
      <c r="T52" s="7" t="s">
        <v>86</v>
      </c>
      <c r="U52" s="7" t="s">
        <v>86</v>
      </c>
      <c r="V52" s="7" t="s">
        <v>86</v>
      </c>
      <c r="W52" s="7" t="s">
        <v>86</v>
      </c>
      <c r="X52" s="85" t="s">
        <v>89</v>
      </c>
      <c r="Y52" s="85">
        <v>444600</v>
      </c>
      <c r="Z52" s="86" t="s">
        <v>89</v>
      </c>
      <c r="AA52" s="86">
        <v>494</v>
      </c>
      <c r="AB52" t="s">
        <v>109</v>
      </c>
      <c r="AC52" s="63">
        <f>(20000-900)*E52+D52</f>
        <v>12103907.567264359</v>
      </c>
      <c r="AD52" s="63">
        <f>(20000-900)*O52+N52</f>
        <v>9880000</v>
      </c>
      <c r="AE52" s="40">
        <f>(AD52-AC52)/AC52</f>
        <v>-0.18373467864865656</v>
      </c>
      <c r="AF52" s="63">
        <f t="shared" si="1"/>
        <v>12300000</v>
      </c>
    </row>
    <row r="53" spans="1:32" hidden="1" x14ac:dyDescent="0.25">
      <c r="A53" s="91" t="s">
        <v>46</v>
      </c>
      <c r="B53" s="2" t="s">
        <v>133</v>
      </c>
      <c r="C53" s="2"/>
      <c r="D53" s="7">
        <v>382259.36802355276</v>
      </c>
      <c r="E53" s="7">
        <v>448.90440689306098</v>
      </c>
      <c r="F53" s="7" t="s">
        <v>86</v>
      </c>
      <c r="G53" s="7" t="s">
        <v>86</v>
      </c>
      <c r="H53" s="7" t="s">
        <v>86</v>
      </c>
      <c r="I53" s="7" t="s">
        <v>86</v>
      </c>
      <c r="J53" s="7" t="s">
        <v>86</v>
      </c>
      <c r="K53" s="7" t="s">
        <v>86</v>
      </c>
      <c r="L53" s="7" t="s">
        <v>86</v>
      </c>
      <c r="M53" s="7" t="s">
        <v>86</v>
      </c>
      <c r="N53" s="7">
        <f>O53*900</f>
        <v>390600</v>
      </c>
      <c r="O53" s="7">
        <v>434</v>
      </c>
      <c r="P53" s="24">
        <f>+Q53*900</f>
        <v>517500</v>
      </c>
      <c r="Q53" s="24">
        <v>575</v>
      </c>
      <c r="R53" s="24">
        <v>0</v>
      </c>
      <c r="S53" s="24">
        <v>0</v>
      </c>
      <c r="T53" s="7" t="s">
        <v>86</v>
      </c>
      <c r="U53" s="7" t="s">
        <v>86</v>
      </c>
      <c r="V53" s="7" t="s">
        <v>86</v>
      </c>
      <c r="W53" s="7" t="s">
        <v>86</v>
      </c>
      <c r="X53" s="85" t="s">
        <v>74</v>
      </c>
      <c r="Y53" s="85">
        <v>382259.36802355282</v>
      </c>
      <c r="Z53" s="86" t="s">
        <v>89</v>
      </c>
      <c r="AA53" s="86">
        <v>434</v>
      </c>
      <c r="AB53" t="s">
        <v>74</v>
      </c>
      <c r="AC53" s="63">
        <f>(20000-900)*E53+D53</f>
        <v>8956333.5396810174</v>
      </c>
      <c r="AD53" s="63">
        <f>(20000-900)*O53+N53</f>
        <v>8680000</v>
      </c>
      <c r="AE53" s="40">
        <f>(AD53-AC53)/AC53</f>
        <v>-3.0853422157261362E-2</v>
      </c>
      <c r="AF53" s="63">
        <f t="shared" si="1"/>
        <v>11500000</v>
      </c>
    </row>
    <row r="54" spans="1:32" hidden="1" x14ac:dyDescent="0.25">
      <c r="A54" s="91" t="s">
        <v>50</v>
      </c>
      <c r="B54" s="2" t="s">
        <v>133</v>
      </c>
      <c r="C54" s="2"/>
      <c r="D54" s="7">
        <v>218686.13405221078</v>
      </c>
      <c r="E54" s="7">
        <v>256.81298488516171</v>
      </c>
      <c r="F54" s="7" t="s">
        <v>86</v>
      </c>
      <c r="G54" s="7" t="s">
        <v>86</v>
      </c>
      <c r="H54" s="7">
        <v>272065.34218676994</v>
      </c>
      <c r="I54" s="7">
        <v>450.47424806999993</v>
      </c>
      <c r="J54" s="7" t="s">
        <v>86</v>
      </c>
      <c r="K54" s="7" t="s">
        <v>86</v>
      </c>
      <c r="L54" s="7" t="s">
        <v>86</v>
      </c>
      <c r="M54" s="7" t="s">
        <v>86</v>
      </c>
      <c r="N54" s="7">
        <f>O54*900</f>
        <v>157500</v>
      </c>
      <c r="O54" s="7">
        <v>175</v>
      </c>
      <c r="P54" s="24">
        <f>+Q54*900</f>
        <v>463500</v>
      </c>
      <c r="Q54" s="24">
        <v>515</v>
      </c>
      <c r="R54" s="24">
        <v>380189.66519431968</v>
      </c>
      <c r="S54" s="24">
        <v>295.64280000000002</v>
      </c>
      <c r="T54" s="7" t="s">
        <v>86</v>
      </c>
      <c r="U54" s="7" t="s">
        <v>86</v>
      </c>
      <c r="V54" s="7" t="s">
        <v>86</v>
      </c>
      <c r="W54" s="7" t="s">
        <v>86</v>
      </c>
      <c r="X54" s="85" t="s">
        <v>89</v>
      </c>
      <c r="Y54" s="85">
        <v>157500</v>
      </c>
      <c r="Z54" s="86" t="s">
        <v>89</v>
      </c>
      <c r="AA54" s="86">
        <v>175</v>
      </c>
      <c r="AB54" t="s">
        <v>109</v>
      </c>
      <c r="AC54" s="63">
        <f>(20000-900)*E54+D54</f>
        <v>5123814.145358799</v>
      </c>
      <c r="AD54" s="63">
        <f>(20000-900)*O54+N54</f>
        <v>3500000</v>
      </c>
      <c r="AE54" s="40">
        <f>(AD54-AC54)/AC54</f>
        <v>-0.31691511426691105</v>
      </c>
      <c r="AF54" s="63">
        <f t="shared" si="1"/>
        <v>10300000</v>
      </c>
    </row>
    <row r="55" spans="1:32" hidden="1" x14ac:dyDescent="0.25">
      <c r="A55" s="91" t="s">
        <v>59</v>
      </c>
      <c r="B55" s="2" t="s">
        <v>133</v>
      </c>
      <c r="C55" s="2"/>
      <c r="D55" s="7">
        <v>218686.13405221078</v>
      </c>
      <c r="E55" s="7">
        <v>256.81298488516171</v>
      </c>
      <c r="F55" s="7" t="s">
        <v>86</v>
      </c>
      <c r="G55" s="7" t="s">
        <v>86</v>
      </c>
      <c r="H55" s="7" t="s">
        <v>86</v>
      </c>
      <c r="I55" s="7" t="s">
        <v>86</v>
      </c>
      <c r="J55" s="7" t="s">
        <v>86</v>
      </c>
      <c r="K55" s="7" t="s">
        <v>86</v>
      </c>
      <c r="L55" s="7" t="s">
        <v>86</v>
      </c>
      <c r="M55" s="7" t="s">
        <v>86</v>
      </c>
      <c r="N55" s="7">
        <f>O55*900</f>
        <v>355500</v>
      </c>
      <c r="O55" s="7">
        <v>395</v>
      </c>
      <c r="P55" s="24">
        <f>+Q55*900</f>
        <v>589500</v>
      </c>
      <c r="Q55" s="24">
        <v>655</v>
      </c>
      <c r="R55" s="24">
        <v>192682.56964535444</v>
      </c>
      <c r="S55" s="24">
        <v>154.94</v>
      </c>
      <c r="T55" s="7" t="s">
        <v>86</v>
      </c>
      <c r="U55" s="7" t="s">
        <v>86</v>
      </c>
      <c r="V55" s="7" t="s">
        <v>86</v>
      </c>
      <c r="W55" s="7" t="s">
        <v>86</v>
      </c>
      <c r="X55" s="85" t="s">
        <v>91</v>
      </c>
      <c r="Y55" s="85">
        <v>192682.56964535441</v>
      </c>
      <c r="Z55" s="86" t="s">
        <v>91</v>
      </c>
      <c r="AA55" s="86">
        <v>154.94</v>
      </c>
      <c r="AB55" t="s">
        <v>110</v>
      </c>
      <c r="AC55" s="63">
        <f>(20000-900)*E55+D55</f>
        <v>5123814.145358799</v>
      </c>
      <c r="AD55" s="63">
        <f>(20000-900)*S55+R55</f>
        <v>3152036.5696453545</v>
      </c>
      <c r="AE55" s="40">
        <f>(AD55-AC55)/AC55</f>
        <v>-0.38482613142779581</v>
      </c>
      <c r="AF55" s="63">
        <f t="shared" si="1"/>
        <v>13100000</v>
      </c>
    </row>
    <row r="56" spans="1:32" hidden="1" x14ac:dyDescent="0.25">
      <c r="A56" s="91" t="s">
        <v>65</v>
      </c>
      <c r="B56" s="2" t="s">
        <v>133</v>
      </c>
      <c r="C56" s="2"/>
      <c r="D56" s="7">
        <v>342492.50067584228</v>
      </c>
      <c r="E56" s="7">
        <v>402.20438200415094</v>
      </c>
      <c r="F56" s="7" t="s">
        <v>86</v>
      </c>
      <c r="G56" s="7" t="s">
        <v>86</v>
      </c>
      <c r="H56" s="7" t="s">
        <v>86</v>
      </c>
      <c r="I56" s="7" t="s">
        <v>86</v>
      </c>
      <c r="J56" s="7" t="s">
        <v>86</v>
      </c>
      <c r="K56" s="7" t="s">
        <v>86</v>
      </c>
      <c r="L56" s="7" t="s">
        <v>86</v>
      </c>
      <c r="M56" s="7" t="s">
        <v>86</v>
      </c>
      <c r="N56" s="7">
        <f>O56*900</f>
        <v>202500</v>
      </c>
      <c r="O56" s="7">
        <v>225</v>
      </c>
      <c r="P56" s="24">
        <f>+Q56*900</f>
        <v>679500</v>
      </c>
      <c r="Q56" s="24">
        <v>755</v>
      </c>
      <c r="R56" s="24">
        <v>0</v>
      </c>
      <c r="S56" s="24">
        <v>0</v>
      </c>
      <c r="T56" s="7" t="s">
        <v>86</v>
      </c>
      <c r="U56" s="7" t="s">
        <v>86</v>
      </c>
      <c r="V56" s="7" t="s">
        <v>86</v>
      </c>
      <c r="W56" s="7" t="s">
        <v>86</v>
      </c>
      <c r="X56" s="85" t="s">
        <v>89</v>
      </c>
      <c r="Y56" s="85">
        <v>202500</v>
      </c>
      <c r="Z56" s="86" t="s">
        <v>89</v>
      </c>
      <c r="AA56" s="86">
        <v>225</v>
      </c>
      <c r="AB56" t="s">
        <v>109</v>
      </c>
      <c r="AC56" s="63">
        <f>(20000-900)*E56+D56</f>
        <v>8024596.1969551248</v>
      </c>
      <c r="AD56" s="63">
        <f>(20000-900)*O56+N56</f>
        <v>4500000</v>
      </c>
      <c r="AE56" s="40">
        <f>(AD56-AC56)/AC56</f>
        <v>-0.43922411925132226</v>
      </c>
      <c r="AF56" s="63">
        <f t="shared" si="1"/>
        <v>15100000</v>
      </c>
    </row>
    <row r="57" spans="1:32" hidden="1" x14ac:dyDescent="0.25">
      <c r="A57" s="91" t="s">
        <v>68</v>
      </c>
      <c r="B57" s="2" t="s">
        <v>133</v>
      </c>
      <c r="C57" s="2"/>
      <c r="D57" s="7">
        <v>269453.94928978267</v>
      </c>
      <c r="E57" s="7">
        <v>316.43191876848914</v>
      </c>
      <c r="F57" s="7" t="s">
        <v>86</v>
      </c>
      <c r="G57" s="7" t="s">
        <v>86</v>
      </c>
      <c r="H57" s="7">
        <v>204490.111925</v>
      </c>
      <c r="I57" s="7">
        <v>364.46772999999996</v>
      </c>
      <c r="J57" s="7" t="s">
        <v>86</v>
      </c>
      <c r="K57" s="7" t="s">
        <v>86</v>
      </c>
      <c r="L57" s="7" t="s">
        <v>86</v>
      </c>
      <c r="M57" s="7" t="s">
        <v>86</v>
      </c>
      <c r="N57" s="7">
        <f>O57*900</f>
        <v>120600</v>
      </c>
      <c r="O57" s="7">
        <v>134</v>
      </c>
      <c r="P57" s="24">
        <f>+Q57*900</f>
        <v>679500</v>
      </c>
      <c r="Q57" s="24">
        <v>755</v>
      </c>
      <c r="R57" s="24">
        <v>192682.56964535444</v>
      </c>
      <c r="S57" s="24">
        <v>154.94</v>
      </c>
      <c r="T57" s="7" t="s">
        <v>86</v>
      </c>
      <c r="U57" s="7" t="s">
        <v>86</v>
      </c>
      <c r="V57" s="7" t="s">
        <v>86</v>
      </c>
      <c r="W57" s="7" t="s">
        <v>86</v>
      </c>
      <c r="X57" s="85" t="s">
        <v>89</v>
      </c>
      <c r="Y57" s="85">
        <v>120600</v>
      </c>
      <c r="Z57" s="86" t="s">
        <v>89</v>
      </c>
      <c r="AA57" s="86">
        <v>134</v>
      </c>
      <c r="AB57" t="s">
        <v>109</v>
      </c>
      <c r="AC57" s="63">
        <f>(20000-900)*E57+D57</f>
        <v>6313303.5977679258</v>
      </c>
      <c r="AD57" s="63">
        <f>(20000-900)*O57+N57</f>
        <v>2680000</v>
      </c>
      <c r="AE57" s="40">
        <f>(AD57-AC57)/AC57</f>
        <v>-0.57549958456813066</v>
      </c>
      <c r="AF57" s="63">
        <f t="shared" si="1"/>
        <v>15100000</v>
      </c>
    </row>
    <row r="58" spans="1:32" hidden="1" x14ac:dyDescent="0.25">
      <c r="A58" s="91" t="s">
        <v>70</v>
      </c>
      <c r="B58" s="2" t="s">
        <v>133</v>
      </c>
      <c r="C58" s="2"/>
      <c r="D58" s="7">
        <v>218686.13405221078</v>
      </c>
      <c r="E58" s="7">
        <v>256.81298488516171</v>
      </c>
      <c r="F58" s="7" t="s">
        <v>86</v>
      </c>
      <c r="G58" s="7" t="s">
        <v>86</v>
      </c>
      <c r="H58" s="7">
        <v>272065.34218676994</v>
      </c>
      <c r="I58" s="7">
        <v>450.47424806999993</v>
      </c>
      <c r="J58" s="7" t="s">
        <v>86</v>
      </c>
      <c r="K58" s="7" t="s">
        <v>86</v>
      </c>
      <c r="L58" s="7" t="s">
        <v>86</v>
      </c>
      <c r="M58" s="7" t="s">
        <v>86</v>
      </c>
      <c r="N58" s="7">
        <f>O58*900</f>
        <v>157500</v>
      </c>
      <c r="O58" s="7">
        <v>175</v>
      </c>
      <c r="P58" s="24">
        <f>+Q58*900</f>
        <v>463500</v>
      </c>
      <c r="Q58" s="24">
        <v>515</v>
      </c>
      <c r="R58" s="24">
        <v>380189.66519431968</v>
      </c>
      <c r="S58" s="24">
        <v>295.64280000000002</v>
      </c>
      <c r="T58" s="7" t="s">
        <v>86</v>
      </c>
      <c r="U58" s="7" t="s">
        <v>86</v>
      </c>
      <c r="V58" s="7" t="s">
        <v>86</v>
      </c>
      <c r="W58" s="7" t="s">
        <v>86</v>
      </c>
      <c r="X58" s="85" t="s">
        <v>89</v>
      </c>
      <c r="Y58" s="85">
        <v>157500</v>
      </c>
      <c r="Z58" s="86" t="s">
        <v>89</v>
      </c>
      <c r="AA58" s="86">
        <v>175</v>
      </c>
      <c r="AB58" t="s">
        <v>109</v>
      </c>
      <c r="AC58" s="63">
        <f>(20000-900)*E58+D58</f>
        <v>5123814.145358799</v>
      </c>
      <c r="AD58" s="63">
        <f>(20000-900)*O58+N58</f>
        <v>3500000</v>
      </c>
      <c r="AE58" s="40">
        <f>(AD58-AC58)/AC58</f>
        <v>-0.31691511426691105</v>
      </c>
      <c r="AF58" s="63">
        <f t="shared" si="1"/>
        <v>10300000</v>
      </c>
    </row>
    <row r="59" spans="1:32" hidden="1" x14ac:dyDescent="0.25">
      <c r="A59" s="91" t="s">
        <v>33</v>
      </c>
      <c r="B59" s="2" t="s">
        <v>130</v>
      </c>
      <c r="C59" s="2"/>
      <c r="D59" s="7">
        <v>274644.50629740465</v>
      </c>
      <c r="E59" s="7">
        <v>229.32203642310137</v>
      </c>
      <c r="F59" s="8">
        <v>492660</v>
      </c>
      <c r="G59" s="7">
        <v>629.50999999999988</v>
      </c>
      <c r="H59" s="7">
        <v>241621.51200000002</v>
      </c>
      <c r="I59" s="7">
        <v>547.93658997</v>
      </c>
      <c r="J59" s="7" t="s">
        <v>86</v>
      </c>
      <c r="K59" s="7" t="s">
        <v>86</v>
      </c>
      <c r="L59" s="24">
        <v>935233</v>
      </c>
      <c r="M59" s="10">
        <v>935</v>
      </c>
      <c r="N59" s="24" t="s">
        <v>86</v>
      </c>
      <c r="O59" s="10" t="s">
        <v>86</v>
      </c>
      <c r="P59" s="24">
        <f>+Q59*900</f>
        <v>445500</v>
      </c>
      <c r="Q59" s="24">
        <v>495</v>
      </c>
      <c r="R59" s="24">
        <v>298005.69846983702</v>
      </c>
      <c r="S59" s="24">
        <v>293.75</v>
      </c>
      <c r="T59" s="7">
        <v>403260</v>
      </c>
      <c r="U59" s="7">
        <v>575</v>
      </c>
      <c r="V59" s="7" t="s">
        <v>86</v>
      </c>
      <c r="W59" s="7" t="s">
        <v>86</v>
      </c>
      <c r="X59" s="85" t="s">
        <v>77</v>
      </c>
      <c r="Y59" s="85">
        <v>241621.51199999999</v>
      </c>
      <c r="Z59" s="86" t="s">
        <v>74</v>
      </c>
      <c r="AA59" s="86">
        <v>229.32203642310139</v>
      </c>
      <c r="AB59" t="s">
        <v>74</v>
      </c>
      <c r="AC59" s="63">
        <f>(20000-900)*E59+D59</f>
        <v>4654695.4019786408</v>
      </c>
      <c r="AD59" s="63">
        <f>(20000-900)*I59+H59</f>
        <v>10707210.380426999</v>
      </c>
      <c r="AE59" s="40">
        <f>(AD59-AC59)/AC59</f>
        <v>1.3003031252862487</v>
      </c>
      <c r="AF59" s="63">
        <f t="shared" si="1"/>
        <v>9900000</v>
      </c>
    </row>
    <row r="60" spans="1:32" hidden="1" x14ac:dyDescent="0.25">
      <c r="A60" s="91" t="s">
        <v>27</v>
      </c>
      <c r="B60" s="2" t="s">
        <v>125</v>
      </c>
      <c r="C60" s="2"/>
      <c r="D60" s="7">
        <v>248928.27014059594</v>
      </c>
      <c r="E60" s="7">
        <v>186.0042910675013</v>
      </c>
      <c r="F60" s="7" t="s">
        <v>86</v>
      </c>
      <c r="G60" s="7" t="s">
        <v>86</v>
      </c>
      <c r="H60" s="7">
        <v>151675.315</v>
      </c>
      <c r="I60" s="7">
        <v>314.02093864899996</v>
      </c>
      <c r="J60" s="7" t="s">
        <v>86</v>
      </c>
      <c r="K60" s="7" t="s">
        <v>86</v>
      </c>
      <c r="L60" s="24">
        <v>458333</v>
      </c>
      <c r="M60" s="10">
        <v>458</v>
      </c>
      <c r="N60" s="24" t="s">
        <v>86</v>
      </c>
      <c r="O60" s="10" t="s">
        <v>86</v>
      </c>
      <c r="P60" s="24">
        <f>+Q60*900</f>
        <v>463500</v>
      </c>
      <c r="Q60" s="24">
        <v>515</v>
      </c>
      <c r="R60" s="24">
        <v>281980.07964535442</v>
      </c>
      <c r="S60" s="24">
        <v>304.8</v>
      </c>
      <c r="T60" s="7">
        <v>570100</v>
      </c>
      <c r="U60" s="7">
        <v>790</v>
      </c>
      <c r="V60" s="7" t="s">
        <v>86</v>
      </c>
      <c r="W60" s="7" t="s">
        <v>86</v>
      </c>
      <c r="X60" s="85" t="s">
        <v>77</v>
      </c>
      <c r="Y60" s="85">
        <v>151675.315</v>
      </c>
      <c r="Z60" s="86" t="s">
        <v>74</v>
      </c>
      <c r="AA60" s="86">
        <v>186.0042910675013</v>
      </c>
      <c r="AB60" t="s">
        <v>74</v>
      </c>
      <c r="AC60" s="63">
        <f>(20000-900)*E60+D60</f>
        <v>3801610.2295298707</v>
      </c>
      <c r="AD60" s="63">
        <f>(20000-900)*I60+H60</f>
        <v>6149475.2431958998</v>
      </c>
      <c r="AE60" s="40">
        <f>(AD60-AC60)/AC60</f>
        <v>0.6175975105044843</v>
      </c>
      <c r="AF60" s="63">
        <f t="shared" si="1"/>
        <v>10300000</v>
      </c>
    </row>
    <row r="61" spans="1:32" hidden="1" x14ac:dyDescent="0.25">
      <c r="A61" s="91" t="s">
        <v>19</v>
      </c>
      <c r="B61" s="2" t="s">
        <v>119</v>
      </c>
      <c r="C61" s="2"/>
      <c r="D61" s="7">
        <v>222623.07048010596</v>
      </c>
      <c r="E61" s="7">
        <v>141.69446541987716</v>
      </c>
      <c r="F61" s="7" t="s">
        <v>86</v>
      </c>
      <c r="G61" s="7" t="s">
        <v>86</v>
      </c>
      <c r="H61" s="7">
        <v>148831.18188952198</v>
      </c>
      <c r="I61" s="7">
        <v>231.38273170100001</v>
      </c>
      <c r="J61" s="7" t="s">
        <v>86</v>
      </c>
      <c r="K61" s="7" t="s">
        <v>86</v>
      </c>
      <c r="L61" s="24">
        <v>458333</v>
      </c>
      <c r="M61" s="10">
        <v>458</v>
      </c>
      <c r="N61" s="24" t="s">
        <v>86</v>
      </c>
      <c r="O61" s="10" t="s">
        <v>86</v>
      </c>
      <c r="P61" s="24">
        <f>+Q61*900</f>
        <v>499500</v>
      </c>
      <c r="Q61" s="24">
        <v>555</v>
      </c>
      <c r="R61" s="24">
        <v>279759.76405759575</v>
      </c>
      <c r="S61" s="24">
        <v>302.39999999999998</v>
      </c>
      <c r="T61" s="7">
        <v>570100</v>
      </c>
      <c r="U61" s="7">
        <v>790</v>
      </c>
      <c r="V61" s="7">
        <v>278127.37333333335</v>
      </c>
      <c r="W61" s="7">
        <v>3090.3041481481482</v>
      </c>
      <c r="X61" s="85" t="s">
        <v>77</v>
      </c>
      <c r="Y61" s="85">
        <v>148831.18188952201</v>
      </c>
      <c r="Z61" s="86" t="s">
        <v>74</v>
      </c>
      <c r="AA61" s="86">
        <v>141.69446541987719</v>
      </c>
      <c r="AB61" t="s">
        <v>74</v>
      </c>
      <c r="AC61" s="63">
        <f>(20000-900)*E61+D61</f>
        <v>2928987.3599997596</v>
      </c>
      <c r="AD61" s="63">
        <f>(20000-900)*I61+H61</f>
        <v>4568241.3573786225</v>
      </c>
      <c r="AE61" s="40">
        <f>(AD61-AC61)/AC61</f>
        <v>0.55966578066045236</v>
      </c>
      <c r="AF61" s="63">
        <f t="shared" si="1"/>
        <v>11100000</v>
      </c>
    </row>
    <row r="62" spans="1:32" hidden="1" x14ac:dyDescent="0.25">
      <c r="A62" s="91" t="s">
        <v>20</v>
      </c>
      <c r="B62" s="2" t="s">
        <v>119</v>
      </c>
      <c r="C62" s="2"/>
      <c r="D62" s="7">
        <v>223798.64633575728</v>
      </c>
      <c r="E62" s="7">
        <v>143.67466560355808</v>
      </c>
      <c r="F62" s="7" t="s">
        <v>86</v>
      </c>
      <c r="G62" s="7" t="s">
        <v>86</v>
      </c>
      <c r="H62" s="7">
        <v>136696.24192952199</v>
      </c>
      <c r="I62" s="7">
        <v>210.40617170099998</v>
      </c>
      <c r="J62" s="7" t="s">
        <v>86</v>
      </c>
      <c r="K62" s="7" t="s">
        <v>86</v>
      </c>
      <c r="L62" s="24">
        <v>458333</v>
      </c>
      <c r="M62" s="10">
        <v>458</v>
      </c>
      <c r="N62" s="24" t="s">
        <v>86</v>
      </c>
      <c r="O62" s="10" t="s">
        <v>86</v>
      </c>
      <c r="P62" s="24">
        <f>+Q62*900</f>
        <v>463500</v>
      </c>
      <c r="Q62" s="24">
        <v>515</v>
      </c>
      <c r="R62" s="24">
        <v>279759.76405759575</v>
      </c>
      <c r="S62" s="24">
        <v>302.39999999999998</v>
      </c>
      <c r="T62" s="7">
        <v>570100</v>
      </c>
      <c r="U62" s="7">
        <v>790</v>
      </c>
      <c r="V62" s="7">
        <v>316775.98333333334</v>
      </c>
      <c r="W62" s="7">
        <v>3519.7331481481483</v>
      </c>
      <c r="X62" s="85" t="s">
        <v>77</v>
      </c>
      <c r="Y62" s="85">
        <v>136696.24192952199</v>
      </c>
      <c r="Z62" s="86" t="s">
        <v>74</v>
      </c>
      <c r="AA62" s="86">
        <v>143.67466560355811</v>
      </c>
      <c r="AB62" t="s">
        <v>74</v>
      </c>
      <c r="AC62" s="63">
        <f>(20000-900)*E62+D62</f>
        <v>2967984.7593637169</v>
      </c>
      <c r="AD62" s="63">
        <f>(20000-900)*I62+H62</f>
        <v>4155454.1214186214</v>
      </c>
      <c r="AE62" s="40">
        <f>(AD62-AC62)/AC62</f>
        <v>0.40009280988002</v>
      </c>
      <c r="AF62" s="63">
        <f t="shared" si="1"/>
        <v>10300000</v>
      </c>
    </row>
    <row r="63" spans="1:32" hidden="1" x14ac:dyDescent="0.25">
      <c r="A63" s="91" t="s">
        <v>35</v>
      </c>
      <c r="B63" s="2" t="s">
        <v>132</v>
      </c>
      <c r="C63" s="2"/>
      <c r="D63" s="7">
        <v>901105.14931776666</v>
      </c>
      <c r="E63" s="7">
        <v>1058.2083957661212</v>
      </c>
      <c r="F63" s="7" t="s">
        <v>86</v>
      </c>
      <c r="G63" s="7" t="s">
        <v>86</v>
      </c>
      <c r="H63" s="7" t="s">
        <v>86</v>
      </c>
      <c r="I63" s="7" t="s">
        <v>86</v>
      </c>
      <c r="J63" s="7" t="s">
        <v>86</v>
      </c>
      <c r="K63" s="7" t="s">
        <v>86</v>
      </c>
      <c r="L63" s="10">
        <v>492982</v>
      </c>
      <c r="M63" s="10">
        <v>493</v>
      </c>
      <c r="N63" s="10">
        <f>O63*900</f>
        <v>478800</v>
      </c>
      <c r="O63" s="10">
        <v>532</v>
      </c>
      <c r="P63" s="24">
        <f>+Q63*900</f>
        <v>697500</v>
      </c>
      <c r="Q63" s="24">
        <v>775</v>
      </c>
      <c r="R63" s="24">
        <v>0</v>
      </c>
      <c r="S63" s="24">
        <v>0</v>
      </c>
      <c r="T63" s="7" t="s">
        <v>86</v>
      </c>
      <c r="U63" s="7" t="s">
        <v>86</v>
      </c>
      <c r="V63" s="7" t="s">
        <v>86</v>
      </c>
      <c r="W63" s="7" t="s">
        <v>86</v>
      </c>
      <c r="X63" s="85" t="s">
        <v>89</v>
      </c>
      <c r="Y63" s="85">
        <v>478800</v>
      </c>
      <c r="Z63" s="86" t="s">
        <v>88</v>
      </c>
      <c r="AA63" s="86">
        <v>493</v>
      </c>
      <c r="AB63" t="s">
        <v>74</v>
      </c>
      <c r="AC63" s="63">
        <f>(20000-900)*E63+D63</f>
        <v>21112885.508450683</v>
      </c>
      <c r="AD63" s="63">
        <f>(20000-900)*O63+N63</f>
        <v>10640000</v>
      </c>
      <c r="AE63" s="40">
        <f>(AD63-AC63)/AC63</f>
        <v>-0.49604235784155543</v>
      </c>
      <c r="AF63" s="63">
        <f t="shared" si="1"/>
        <v>15500000</v>
      </c>
    </row>
    <row r="64" spans="1:32" hidden="1" x14ac:dyDescent="0.25">
      <c r="A64" s="91" t="s">
        <v>38</v>
      </c>
      <c r="B64" s="2" t="s">
        <v>132</v>
      </c>
      <c r="C64" s="2"/>
      <c r="D64" s="7">
        <v>519053.41286221845</v>
      </c>
      <c r="E64" s="7">
        <v>609.54781998273177</v>
      </c>
      <c r="F64" s="7" t="s">
        <v>86</v>
      </c>
      <c r="G64" s="7" t="s">
        <v>86</v>
      </c>
      <c r="H64" s="7">
        <v>397326.44020728988</v>
      </c>
      <c r="I64" s="7">
        <v>673.13781039999992</v>
      </c>
      <c r="J64" s="7" t="s">
        <v>86</v>
      </c>
      <c r="K64" s="7" t="s">
        <v>86</v>
      </c>
      <c r="L64" s="10">
        <v>492982</v>
      </c>
      <c r="M64" s="10">
        <v>493</v>
      </c>
      <c r="N64" s="10">
        <f>O64*900</f>
        <v>267300</v>
      </c>
      <c r="O64" s="10">
        <v>297</v>
      </c>
      <c r="P64" s="24">
        <f>+Q64*900</f>
        <v>517500</v>
      </c>
      <c r="Q64" s="24">
        <v>575</v>
      </c>
      <c r="R64" s="24">
        <v>0</v>
      </c>
      <c r="S64" s="24">
        <v>0</v>
      </c>
      <c r="T64" s="7" t="s">
        <v>86</v>
      </c>
      <c r="U64" s="7" t="s">
        <v>86</v>
      </c>
      <c r="V64" s="7" t="s">
        <v>86</v>
      </c>
      <c r="W64" s="7" t="s">
        <v>86</v>
      </c>
      <c r="X64" s="85" t="s">
        <v>89</v>
      </c>
      <c r="Y64" s="85">
        <v>267300</v>
      </c>
      <c r="Z64" s="86" t="s">
        <v>89</v>
      </c>
      <c r="AA64" s="86">
        <v>297</v>
      </c>
      <c r="AB64" t="s">
        <v>109</v>
      </c>
      <c r="AC64" s="63">
        <f>(20000-900)*E64+D64</f>
        <v>12161416.774532396</v>
      </c>
      <c r="AD64" s="63">
        <f>(20000-900)*O64+N64</f>
        <v>5940000</v>
      </c>
      <c r="AE64" s="40">
        <f>(AD64-AC64)/AC64</f>
        <v>-0.51157006538587346</v>
      </c>
      <c r="AF64" s="63">
        <f t="shared" si="1"/>
        <v>11500000</v>
      </c>
    </row>
    <row r="65" spans="1:32" hidden="1" x14ac:dyDescent="0.25">
      <c r="A65" s="91" t="s">
        <v>42</v>
      </c>
      <c r="B65" s="2" t="s">
        <v>132</v>
      </c>
      <c r="C65" s="2"/>
      <c r="D65" s="7">
        <v>632525.55571052572</v>
      </c>
      <c r="E65" s="7">
        <v>742.80327228878343</v>
      </c>
      <c r="F65" s="7" t="s">
        <v>86</v>
      </c>
      <c r="G65" s="7" t="s">
        <v>86</v>
      </c>
      <c r="H65" s="7" t="s">
        <v>86</v>
      </c>
      <c r="I65" s="7" t="s">
        <v>86</v>
      </c>
      <c r="J65" s="7" t="s">
        <v>86</v>
      </c>
      <c r="K65" s="7" t="s">
        <v>86</v>
      </c>
      <c r="L65" s="10" t="s">
        <v>86</v>
      </c>
      <c r="M65" s="10" t="s">
        <v>86</v>
      </c>
      <c r="N65" s="10">
        <f>O65*900</f>
        <v>267300</v>
      </c>
      <c r="O65" s="10">
        <v>297</v>
      </c>
      <c r="P65" s="24">
        <f>+Q65*900</f>
        <v>607500</v>
      </c>
      <c r="Q65" s="24">
        <v>675</v>
      </c>
      <c r="R65" s="24">
        <v>0</v>
      </c>
      <c r="S65" s="24">
        <v>0</v>
      </c>
      <c r="T65" s="7" t="s">
        <v>86</v>
      </c>
      <c r="U65" s="7" t="s">
        <v>86</v>
      </c>
      <c r="V65" s="7" t="s">
        <v>86</v>
      </c>
      <c r="W65" s="7" t="s">
        <v>86</v>
      </c>
      <c r="X65" s="85" t="s">
        <v>89</v>
      </c>
      <c r="Y65" s="85">
        <v>267300</v>
      </c>
      <c r="Z65" s="86" t="s">
        <v>89</v>
      </c>
      <c r="AA65" s="86">
        <v>297</v>
      </c>
      <c r="AB65" t="s">
        <v>109</v>
      </c>
      <c r="AC65" s="63">
        <f>(20000-900)*E65+D65</f>
        <v>14820068.05642629</v>
      </c>
      <c r="AD65" s="63">
        <f>(20000-900)*O65+N65</f>
        <v>5940000</v>
      </c>
      <c r="AE65" s="40">
        <f>(AD65-AC65)/AC65</f>
        <v>-0.59919212399134081</v>
      </c>
      <c r="AF65" s="63">
        <f t="shared" si="1"/>
        <v>13500000</v>
      </c>
    </row>
    <row r="66" spans="1:32" hidden="1" x14ac:dyDescent="0.25">
      <c r="A66" s="91" t="s">
        <v>48</v>
      </c>
      <c r="B66" s="2" t="s">
        <v>132</v>
      </c>
      <c r="C66" s="2"/>
      <c r="D66" s="7">
        <v>632525.55571052572</v>
      </c>
      <c r="E66" s="7">
        <v>742.80327228878343</v>
      </c>
      <c r="F66" s="7" t="s">
        <v>86</v>
      </c>
      <c r="G66" s="7" t="s">
        <v>86</v>
      </c>
      <c r="H66" s="7" t="s">
        <v>86</v>
      </c>
      <c r="I66" s="7" t="s">
        <v>86</v>
      </c>
      <c r="J66" s="7" t="s">
        <v>86</v>
      </c>
      <c r="K66" s="7" t="s">
        <v>86</v>
      </c>
      <c r="L66" s="7" t="s">
        <v>86</v>
      </c>
      <c r="M66" s="7" t="s">
        <v>86</v>
      </c>
      <c r="N66" s="7">
        <f>O66*900</f>
        <v>355500</v>
      </c>
      <c r="O66" s="7">
        <v>395</v>
      </c>
      <c r="P66" s="24">
        <f>+Q66*900</f>
        <v>607500</v>
      </c>
      <c r="Q66" s="24">
        <v>675</v>
      </c>
      <c r="R66" s="24">
        <v>0</v>
      </c>
      <c r="S66" s="24">
        <v>0</v>
      </c>
      <c r="T66" s="7" t="s">
        <v>86</v>
      </c>
      <c r="U66" s="7" t="s">
        <v>86</v>
      </c>
      <c r="V66" s="7" t="s">
        <v>86</v>
      </c>
      <c r="W66" s="7" t="s">
        <v>86</v>
      </c>
      <c r="X66" s="85" t="s">
        <v>89</v>
      </c>
      <c r="Y66" s="85">
        <v>355500</v>
      </c>
      <c r="Z66" s="86" t="s">
        <v>89</v>
      </c>
      <c r="AA66" s="86">
        <v>395</v>
      </c>
      <c r="AB66" t="s">
        <v>109</v>
      </c>
      <c r="AC66" s="63">
        <f>(20000-900)*E66+D66</f>
        <v>14820068.05642629</v>
      </c>
      <c r="AD66" s="63">
        <f>(20000-900)*O66+N66</f>
        <v>7900000</v>
      </c>
      <c r="AE66" s="40">
        <f>(AD66-AC66)/AC66</f>
        <v>-0.46693902012316363</v>
      </c>
      <c r="AF66" s="63">
        <f t="shared" si="1"/>
        <v>13500000</v>
      </c>
    </row>
    <row r="67" spans="1:32" hidden="1" x14ac:dyDescent="0.25">
      <c r="A67" s="91" t="s">
        <v>49</v>
      </c>
      <c r="B67" s="2" t="s">
        <v>132</v>
      </c>
      <c r="C67" s="2"/>
      <c r="D67" s="7">
        <v>591949.47885283246</v>
      </c>
      <c r="E67" s="7">
        <v>695.15295619573828</v>
      </c>
      <c r="F67" s="7" t="s">
        <v>86</v>
      </c>
      <c r="G67" s="7" t="s">
        <v>86</v>
      </c>
      <c r="H67" s="7" t="s">
        <v>86</v>
      </c>
      <c r="I67" s="7" t="s">
        <v>86</v>
      </c>
      <c r="J67" s="7" t="s">
        <v>86</v>
      </c>
      <c r="K67" s="7" t="s">
        <v>86</v>
      </c>
      <c r="L67" s="7" t="s">
        <v>86</v>
      </c>
      <c r="M67" s="7" t="s">
        <v>86</v>
      </c>
      <c r="N67" s="7">
        <f>O67*900</f>
        <v>282600</v>
      </c>
      <c r="O67" s="7">
        <v>314</v>
      </c>
      <c r="P67" s="24">
        <f>+Q67*900</f>
        <v>607500</v>
      </c>
      <c r="Q67" s="24">
        <v>675</v>
      </c>
      <c r="R67" s="24">
        <v>0</v>
      </c>
      <c r="S67" s="24">
        <v>0</v>
      </c>
      <c r="T67" s="7" t="s">
        <v>86</v>
      </c>
      <c r="U67" s="7" t="s">
        <v>86</v>
      </c>
      <c r="V67" s="7" t="s">
        <v>86</v>
      </c>
      <c r="W67" s="7" t="s">
        <v>86</v>
      </c>
      <c r="X67" s="85" t="s">
        <v>89</v>
      </c>
      <c r="Y67" s="85">
        <v>282600</v>
      </c>
      <c r="Z67" s="86" t="s">
        <v>89</v>
      </c>
      <c r="AA67" s="86">
        <v>314</v>
      </c>
      <c r="AB67" t="s">
        <v>109</v>
      </c>
      <c r="AC67" s="63">
        <f>(20000-900)*E67+D67</f>
        <v>13869370.942191433</v>
      </c>
      <c r="AD67" s="63">
        <f>(20000-900)*O67+N67</f>
        <v>6280000</v>
      </c>
      <c r="AE67" s="40">
        <f>(AD67-AC67)/AC67</f>
        <v>-0.54720368889292048</v>
      </c>
      <c r="AF67" s="63">
        <f t="shared" ref="AF67:AF81" si="2">(20000-900)*Q67+P67</f>
        <v>13500000</v>
      </c>
    </row>
    <row r="68" spans="1:32" hidden="1" x14ac:dyDescent="0.25">
      <c r="A68" s="91" t="s">
        <v>53</v>
      </c>
      <c r="B68" s="2" t="s">
        <v>132</v>
      </c>
      <c r="C68" s="2"/>
      <c r="D68" s="7">
        <v>632525.55571052572</v>
      </c>
      <c r="E68" s="7">
        <v>742.80327228878343</v>
      </c>
      <c r="F68" s="7" t="s">
        <v>86</v>
      </c>
      <c r="G68" s="7" t="s">
        <v>86</v>
      </c>
      <c r="H68" s="7" t="s">
        <v>86</v>
      </c>
      <c r="I68" s="7" t="s">
        <v>86</v>
      </c>
      <c r="J68" s="7" t="s">
        <v>86</v>
      </c>
      <c r="K68" s="7" t="s">
        <v>86</v>
      </c>
      <c r="L68" s="7" t="s">
        <v>86</v>
      </c>
      <c r="M68" s="7" t="s">
        <v>86</v>
      </c>
      <c r="N68" s="7">
        <f>O68*900</f>
        <v>341100</v>
      </c>
      <c r="O68" s="7">
        <v>379</v>
      </c>
      <c r="P68" s="24">
        <f>+Q68*900</f>
        <v>607500</v>
      </c>
      <c r="Q68" s="24">
        <v>675</v>
      </c>
      <c r="R68" s="24">
        <v>0</v>
      </c>
      <c r="S68" s="24">
        <v>0</v>
      </c>
      <c r="T68" s="7" t="s">
        <v>86</v>
      </c>
      <c r="U68" s="7" t="s">
        <v>86</v>
      </c>
      <c r="V68" s="7" t="s">
        <v>86</v>
      </c>
      <c r="W68" s="7" t="s">
        <v>86</v>
      </c>
      <c r="X68" s="85" t="s">
        <v>89</v>
      </c>
      <c r="Y68" s="85">
        <v>341100</v>
      </c>
      <c r="Z68" s="86" t="s">
        <v>89</v>
      </c>
      <c r="AA68" s="86">
        <v>379</v>
      </c>
      <c r="AB68" t="s">
        <v>109</v>
      </c>
      <c r="AC68" s="63">
        <f>(20000-900)*E68+D68</f>
        <v>14820068.05642629</v>
      </c>
      <c r="AD68" s="63">
        <f>(20000-900)*O68+N68</f>
        <v>7580000</v>
      </c>
      <c r="AE68" s="40">
        <f>(AD68-AC68)/AC68</f>
        <v>-0.48853136361184563</v>
      </c>
      <c r="AF68" s="63">
        <f t="shared" si="2"/>
        <v>13500000</v>
      </c>
    </row>
    <row r="69" spans="1:32" hidden="1" x14ac:dyDescent="0.25">
      <c r="A69" s="91" t="s">
        <v>54</v>
      </c>
      <c r="B69" s="2" t="s">
        <v>132</v>
      </c>
      <c r="C69" s="2"/>
      <c r="D69" s="7">
        <v>632525.55571052572</v>
      </c>
      <c r="E69" s="7">
        <v>742.80327228878343</v>
      </c>
      <c r="F69" s="7" t="s">
        <v>86</v>
      </c>
      <c r="G69" s="7" t="s">
        <v>86</v>
      </c>
      <c r="H69" s="7" t="s">
        <v>86</v>
      </c>
      <c r="I69" s="7" t="s">
        <v>86</v>
      </c>
      <c r="J69" s="7" t="s">
        <v>86</v>
      </c>
      <c r="K69" s="7" t="s">
        <v>86</v>
      </c>
      <c r="L69" s="7" t="s">
        <v>86</v>
      </c>
      <c r="M69" s="7" t="s">
        <v>86</v>
      </c>
      <c r="N69" s="7">
        <f>O69*900</f>
        <v>341100</v>
      </c>
      <c r="O69" s="7">
        <v>379</v>
      </c>
      <c r="P69" s="24">
        <f>+Q69*900</f>
        <v>607500</v>
      </c>
      <c r="Q69" s="24">
        <v>675</v>
      </c>
      <c r="R69" s="24">
        <v>0</v>
      </c>
      <c r="S69" s="24">
        <v>0</v>
      </c>
      <c r="T69" s="7" t="s">
        <v>86</v>
      </c>
      <c r="U69" s="7" t="s">
        <v>86</v>
      </c>
      <c r="V69" s="7" t="s">
        <v>86</v>
      </c>
      <c r="W69" s="7" t="s">
        <v>86</v>
      </c>
      <c r="X69" s="85" t="s">
        <v>89</v>
      </c>
      <c r="Y69" s="85">
        <v>341100</v>
      </c>
      <c r="Z69" s="86" t="s">
        <v>89</v>
      </c>
      <c r="AA69" s="86">
        <v>379</v>
      </c>
      <c r="AB69" t="s">
        <v>109</v>
      </c>
      <c r="AC69" s="63">
        <f>(20000-900)*E69+D69</f>
        <v>14820068.05642629</v>
      </c>
      <c r="AD69" s="63">
        <f>(20000-900)*O69+N69</f>
        <v>7580000</v>
      </c>
      <c r="AE69" s="40">
        <f>(AD69-AC69)/AC69</f>
        <v>-0.48853136361184563</v>
      </c>
      <c r="AF69" s="63">
        <f t="shared" si="2"/>
        <v>13500000</v>
      </c>
    </row>
    <row r="70" spans="1:32" hidden="1" x14ac:dyDescent="0.25">
      <c r="A70" s="91" t="s">
        <v>57</v>
      </c>
      <c r="B70" s="2" t="s">
        <v>132</v>
      </c>
      <c r="C70" s="2"/>
      <c r="D70" s="7">
        <v>901105.14931776666</v>
      </c>
      <c r="E70" s="7">
        <v>1058.2083957661212</v>
      </c>
      <c r="F70" s="7" t="s">
        <v>86</v>
      </c>
      <c r="G70" s="7" t="s">
        <v>86</v>
      </c>
      <c r="H70" s="7" t="s">
        <v>86</v>
      </c>
      <c r="I70" s="7" t="s">
        <v>86</v>
      </c>
      <c r="J70" s="7" t="s">
        <v>86</v>
      </c>
      <c r="K70" s="7" t="s">
        <v>86</v>
      </c>
      <c r="L70" s="7" t="s">
        <v>86</v>
      </c>
      <c r="M70" s="7" t="s">
        <v>86</v>
      </c>
      <c r="N70" s="7">
        <f>O70*900</f>
        <v>405000</v>
      </c>
      <c r="O70" s="7">
        <v>450</v>
      </c>
      <c r="P70" s="24">
        <f>+Q70*900</f>
        <v>607500</v>
      </c>
      <c r="Q70" s="24">
        <v>675</v>
      </c>
      <c r="R70" s="24">
        <v>0</v>
      </c>
      <c r="S70" s="24">
        <v>0</v>
      </c>
      <c r="T70" s="7" t="s">
        <v>86</v>
      </c>
      <c r="U70" s="7" t="s">
        <v>86</v>
      </c>
      <c r="V70" s="7" t="s">
        <v>86</v>
      </c>
      <c r="W70" s="7" t="s">
        <v>86</v>
      </c>
      <c r="X70" s="85" t="s">
        <v>89</v>
      </c>
      <c r="Y70" s="85">
        <v>405000</v>
      </c>
      <c r="Z70" s="86" t="s">
        <v>89</v>
      </c>
      <c r="AA70" s="86">
        <v>450</v>
      </c>
      <c r="AB70" t="s">
        <v>109</v>
      </c>
      <c r="AC70" s="63">
        <f>(20000-900)*E70+D70</f>
        <v>21112885.508450683</v>
      </c>
      <c r="AD70" s="63">
        <f>(20000-900)*O70+N70</f>
        <v>9000000</v>
      </c>
      <c r="AE70" s="40">
        <f>(AD70-AC70)/AC70</f>
        <v>-0.5737200395276314</v>
      </c>
      <c r="AF70" s="63">
        <f t="shared" si="2"/>
        <v>13500000</v>
      </c>
    </row>
    <row r="71" spans="1:32" hidden="1" x14ac:dyDescent="0.25">
      <c r="A71" s="91" t="s">
        <v>58</v>
      </c>
      <c r="B71" s="2" t="s">
        <v>132</v>
      </c>
      <c r="C71" s="2"/>
      <c r="D71" s="7">
        <v>671165.98191311094</v>
      </c>
      <c r="E71" s="7">
        <v>788.18046656462889</v>
      </c>
      <c r="F71" s="7" t="s">
        <v>86</v>
      </c>
      <c r="G71" s="7" t="s">
        <v>86</v>
      </c>
      <c r="H71" s="7">
        <v>649653.27592583001</v>
      </c>
      <c r="I71" s="7">
        <v>1122.3246220999999</v>
      </c>
      <c r="J71" s="7" t="s">
        <v>86</v>
      </c>
      <c r="K71" s="7" t="s">
        <v>86</v>
      </c>
      <c r="L71" s="7" t="s">
        <v>86</v>
      </c>
      <c r="M71" s="7" t="s">
        <v>86</v>
      </c>
      <c r="N71" s="7">
        <f>O71*900</f>
        <v>405000</v>
      </c>
      <c r="O71" s="7">
        <v>450</v>
      </c>
      <c r="P71" s="24">
        <f>+Q71*900</f>
        <v>607500</v>
      </c>
      <c r="Q71" s="24">
        <v>675</v>
      </c>
      <c r="R71" s="24">
        <v>487251.60204535449</v>
      </c>
      <c r="S71" s="24">
        <v>482.07929999999999</v>
      </c>
      <c r="T71" s="7" t="s">
        <v>86</v>
      </c>
      <c r="U71" s="7" t="s">
        <v>86</v>
      </c>
      <c r="V71" s="7" t="s">
        <v>86</v>
      </c>
      <c r="W71" s="7" t="s">
        <v>86</v>
      </c>
      <c r="X71" s="85" t="s">
        <v>89</v>
      </c>
      <c r="Y71" s="85">
        <v>405000</v>
      </c>
      <c r="Z71" s="86" t="s">
        <v>89</v>
      </c>
      <c r="AA71" s="86">
        <v>450</v>
      </c>
      <c r="AB71" t="s">
        <v>109</v>
      </c>
      <c r="AC71" s="63">
        <f>(20000-900)*E71+D71</f>
        <v>15725412.893297521</v>
      </c>
      <c r="AD71" s="63">
        <f>(20000-900)*O71+N71</f>
        <v>9000000</v>
      </c>
      <c r="AE71" s="40">
        <f>(AD71-AC71)/AC71</f>
        <v>-0.42767798460567125</v>
      </c>
      <c r="AF71" s="63">
        <f t="shared" si="2"/>
        <v>13500000</v>
      </c>
    </row>
    <row r="72" spans="1:32" hidden="1" x14ac:dyDescent="0.25">
      <c r="A72" s="91" t="s">
        <v>61</v>
      </c>
      <c r="B72" s="2" t="s">
        <v>132</v>
      </c>
      <c r="C72" s="2"/>
      <c r="D72" s="7">
        <v>269453.94928978267</v>
      </c>
      <c r="E72" s="7">
        <v>316.43191876848914</v>
      </c>
      <c r="F72" s="7" t="s">
        <v>86</v>
      </c>
      <c r="G72" s="7" t="s">
        <v>86</v>
      </c>
      <c r="H72" s="7">
        <v>272065.34218676994</v>
      </c>
      <c r="I72" s="7">
        <v>450.47424806999993</v>
      </c>
      <c r="J72" s="7" t="s">
        <v>86</v>
      </c>
      <c r="K72" s="7" t="s">
        <v>86</v>
      </c>
      <c r="L72" s="7" t="s">
        <v>86</v>
      </c>
      <c r="M72" s="7" t="s">
        <v>86</v>
      </c>
      <c r="N72" s="7">
        <f>O72*900</f>
        <v>202500</v>
      </c>
      <c r="O72" s="7">
        <v>225</v>
      </c>
      <c r="P72" s="24">
        <f>+Q72*900</f>
        <v>589500</v>
      </c>
      <c r="Q72" s="24">
        <v>655</v>
      </c>
      <c r="R72" s="24">
        <v>248403.81964535444</v>
      </c>
      <c r="S72" s="24">
        <v>217.17000000000002</v>
      </c>
      <c r="T72" s="7" t="s">
        <v>86</v>
      </c>
      <c r="U72" s="7" t="s">
        <v>86</v>
      </c>
      <c r="V72" s="7" t="s">
        <v>86</v>
      </c>
      <c r="W72" s="7" t="s">
        <v>86</v>
      </c>
      <c r="X72" s="85" t="s">
        <v>89</v>
      </c>
      <c r="Y72" s="85">
        <v>202500</v>
      </c>
      <c r="Z72" s="86" t="s">
        <v>91</v>
      </c>
      <c r="AA72" s="86">
        <v>217.17</v>
      </c>
      <c r="AB72" t="s">
        <v>74</v>
      </c>
      <c r="AC72" s="63">
        <f>(20000-900)*E72+D72</f>
        <v>6313303.5977679258</v>
      </c>
      <c r="AD72" s="63">
        <f>(20000-900)*O72+N72</f>
        <v>4500000</v>
      </c>
      <c r="AE72" s="40">
        <f>(AD72-AC72)/AC72</f>
        <v>-0.28721945170021934</v>
      </c>
      <c r="AF72" s="63">
        <f t="shared" si="2"/>
        <v>13100000</v>
      </c>
    </row>
    <row r="73" spans="1:32" hidden="1" x14ac:dyDescent="0.25">
      <c r="A73" s="91" t="s">
        <v>62</v>
      </c>
      <c r="B73" s="2" t="s">
        <v>132</v>
      </c>
      <c r="C73" s="2"/>
      <c r="D73" s="7">
        <v>632525.55571052572</v>
      </c>
      <c r="E73" s="7">
        <v>742.80327228878343</v>
      </c>
      <c r="F73" s="7" t="s">
        <v>86</v>
      </c>
      <c r="G73" s="7" t="s">
        <v>86</v>
      </c>
      <c r="H73" s="7" t="s">
        <v>86</v>
      </c>
      <c r="I73" s="7" t="s">
        <v>86</v>
      </c>
      <c r="J73" s="7" t="s">
        <v>86</v>
      </c>
      <c r="K73" s="7" t="s">
        <v>86</v>
      </c>
      <c r="L73" s="7" t="s">
        <v>86</v>
      </c>
      <c r="M73" s="7" t="s">
        <v>86</v>
      </c>
      <c r="N73" s="7">
        <f>O73*900</f>
        <v>341100</v>
      </c>
      <c r="O73" s="7">
        <v>379</v>
      </c>
      <c r="P73" s="24">
        <f>+Q73*900</f>
        <v>607500</v>
      </c>
      <c r="Q73" s="24">
        <v>675</v>
      </c>
      <c r="R73" s="24">
        <v>0</v>
      </c>
      <c r="S73" s="24">
        <v>0</v>
      </c>
      <c r="T73" s="7" t="s">
        <v>86</v>
      </c>
      <c r="U73" s="7" t="s">
        <v>86</v>
      </c>
      <c r="V73" s="7" t="s">
        <v>86</v>
      </c>
      <c r="W73" s="7" t="s">
        <v>86</v>
      </c>
      <c r="X73" s="85" t="s">
        <v>89</v>
      </c>
      <c r="Y73" s="85">
        <v>341100</v>
      </c>
      <c r="Z73" s="86" t="s">
        <v>89</v>
      </c>
      <c r="AA73" s="86">
        <v>379</v>
      </c>
      <c r="AB73" t="s">
        <v>109</v>
      </c>
      <c r="AC73" s="63">
        <f>(20000-900)*E73+D73</f>
        <v>14820068.05642629</v>
      </c>
      <c r="AD73" s="63">
        <f>(20000-900)*O73+N73</f>
        <v>7580000</v>
      </c>
      <c r="AE73" s="40">
        <f>(AD73-AC73)/AC73</f>
        <v>-0.48853136361184563</v>
      </c>
      <c r="AF73" s="63">
        <f t="shared" si="2"/>
        <v>13500000</v>
      </c>
    </row>
    <row r="74" spans="1:32" hidden="1" x14ac:dyDescent="0.25">
      <c r="A74" s="91" t="s">
        <v>2</v>
      </c>
      <c r="B74" s="2" t="s">
        <v>115</v>
      </c>
      <c r="C74" s="2"/>
      <c r="D74" s="7">
        <v>180243.92825133208</v>
      </c>
      <c r="E74" s="7">
        <v>70.308867610738162</v>
      </c>
      <c r="F74" s="8">
        <v>413999.99999999994</v>
      </c>
      <c r="G74" s="7">
        <v>528.99999999999989</v>
      </c>
      <c r="H74" s="7">
        <v>110055.55</v>
      </c>
      <c r="I74" s="7">
        <v>192.64872703999998</v>
      </c>
      <c r="J74" s="7" t="s">
        <v>86</v>
      </c>
      <c r="K74" s="7" t="s">
        <v>86</v>
      </c>
      <c r="L74" s="24">
        <v>308333</v>
      </c>
      <c r="M74" s="10">
        <v>308</v>
      </c>
      <c r="N74" s="24">
        <f>O74*900</f>
        <v>99000</v>
      </c>
      <c r="O74" s="10">
        <v>110</v>
      </c>
      <c r="P74" s="7">
        <f>+Q74*900</f>
        <v>319500</v>
      </c>
      <c r="Q74" s="7">
        <v>355</v>
      </c>
      <c r="R74" s="7">
        <v>120182.07964535443</v>
      </c>
      <c r="S74" s="7">
        <v>95.431428571428569</v>
      </c>
      <c r="T74" s="7" t="s">
        <v>86</v>
      </c>
      <c r="U74" s="7" t="s">
        <v>86</v>
      </c>
      <c r="V74" s="7">
        <v>433826.0593333334</v>
      </c>
      <c r="W74" s="7">
        <v>4820.2895481481492</v>
      </c>
      <c r="X74" s="85" t="s">
        <v>89</v>
      </c>
      <c r="Y74" s="85">
        <v>99000</v>
      </c>
      <c r="Z74" s="86" t="s">
        <v>74</v>
      </c>
      <c r="AA74" s="86">
        <v>70.308867610738162</v>
      </c>
      <c r="AB74" t="s">
        <v>74</v>
      </c>
      <c r="AC74" s="63">
        <f>(20000-900)*E74+D74</f>
        <v>1523143.2996164311</v>
      </c>
      <c r="AD74" s="63">
        <f>(20000-900)*O74+N74</f>
        <v>2200000</v>
      </c>
      <c r="AE74" s="40">
        <f>(AD74-AC74)/AC74</f>
        <v>0.44438149749535699</v>
      </c>
      <c r="AF74" s="63">
        <f t="shared" si="2"/>
        <v>7100000</v>
      </c>
    </row>
    <row r="75" spans="1:32" hidden="1" x14ac:dyDescent="0.25">
      <c r="A75" s="91" t="s">
        <v>5</v>
      </c>
      <c r="B75" s="2" t="s">
        <v>115</v>
      </c>
      <c r="C75" s="2"/>
      <c r="D75" s="7">
        <v>184038.77528156349</v>
      </c>
      <c r="E75" s="7">
        <v>76.70110231867389</v>
      </c>
      <c r="F75" s="8">
        <v>413999.99999999994</v>
      </c>
      <c r="G75" s="7">
        <v>579</v>
      </c>
      <c r="H75" s="7">
        <v>138848.10503146</v>
      </c>
      <c r="I75" s="7">
        <v>213.62528703999999</v>
      </c>
      <c r="J75" s="7" t="s">
        <v>86</v>
      </c>
      <c r="K75" s="7" t="s">
        <v>86</v>
      </c>
      <c r="L75" s="24">
        <v>308333</v>
      </c>
      <c r="M75" s="10">
        <v>308</v>
      </c>
      <c r="N75" s="24">
        <f>O75*900</f>
        <v>120600</v>
      </c>
      <c r="O75" s="10">
        <v>134</v>
      </c>
      <c r="P75" s="24">
        <f>+Q75*900</f>
        <v>337500</v>
      </c>
      <c r="Q75" s="24">
        <v>375</v>
      </c>
      <c r="R75" s="24">
        <v>154980.07964535445</v>
      </c>
      <c r="S75" s="24">
        <v>112.88888888888889</v>
      </c>
      <c r="T75" s="7" t="s">
        <v>86</v>
      </c>
      <c r="U75" s="7" t="s">
        <v>86</v>
      </c>
      <c r="V75" s="7">
        <v>463640.70133333339</v>
      </c>
      <c r="W75" s="7">
        <v>5151.5633481481491</v>
      </c>
      <c r="X75" s="85" t="s">
        <v>89</v>
      </c>
      <c r="Y75" s="85">
        <v>120600</v>
      </c>
      <c r="Z75" s="86" t="s">
        <v>74</v>
      </c>
      <c r="AA75" s="86">
        <v>76.70110231867389</v>
      </c>
      <c r="AB75" t="s">
        <v>74</v>
      </c>
      <c r="AC75" s="63">
        <f>(20000-900)*E75+D75</f>
        <v>1649029.8295682347</v>
      </c>
      <c r="AD75" s="63">
        <f>(20000-900)*O75+N75</f>
        <v>2680000</v>
      </c>
      <c r="AE75" s="40">
        <f>(AD75-AC75)/AC75</f>
        <v>0.62519801154943577</v>
      </c>
      <c r="AF75" s="63">
        <f t="shared" si="2"/>
        <v>7500000</v>
      </c>
    </row>
    <row r="76" spans="1:32" hidden="1" x14ac:dyDescent="0.25">
      <c r="A76" s="91" t="s">
        <v>8</v>
      </c>
      <c r="B76" s="2" t="s">
        <v>115</v>
      </c>
      <c r="C76" s="2"/>
      <c r="D76" s="7">
        <v>192893.41835210373</v>
      </c>
      <c r="E76" s="7">
        <v>91.616316637190593</v>
      </c>
      <c r="F76" s="8">
        <v>413999.99999999994</v>
      </c>
      <c r="G76" s="7">
        <v>528.99999999999989</v>
      </c>
      <c r="H76" s="7">
        <v>204490.111925</v>
      </c>
      <c r="I76" s="7">
        <v>364.46772999999996</v>
      </c>
      <c r="J76" s="7" t="s">
        <v>86</v>
      </c>
      <c r="K76" s="7" t="s">
        <v>86</v>
      </c>
      <c r="L76" s="24">
        <v>308333</v>
      </c>
      <c r="M76" s="10">
        <v>308</v>
      </c>
      <c r="N76" s="24">
        <f>O76*900</f>
        <v>120600</v>
      </c>
      <c r="O76" s="10">
        <v>134</v>
      </c>
      <c r="P76" s="24">
        <f>+Q76*900</f>
        <v>337500</v>
      </c>
      <c r="Q76" s="24">
        <v>375</v>
      </c>
      <c r="R76" s="24">
        <v>120182.07964535443</v>
      </c>
      <c r="S76" s="24">
        <v>95.431428571428569</v>
      </c>
      <c r="T76" s="7" t="s">
        <v>86</v>
      </c>
      <c r="U76" s="7" t="s">
        <v>86</v>
      </c>
      <c r="V76" s="7">
        <v>567439.82533333334</v>
      </c>
      <c r="W76" s="7">
        <v>6304.8869481481479</v>
      </c>
      <c r="X76" s="85" t="s">
        <v>91</v>
      </c>
      <c r="Y76" s="85">
        <v>120182.0796453544</v>
      </c>
      <c r="Z76" s="86" t="s">
        <v>74</v>
      </c>
      <c r="AA76" s="86">
        <v>91.616316637190593</v>
      </c>
      <c r="AB76" t="s">
        <v>74</v>
      </c>
      <c r="AC76" s="63">
        <f>(20000-900)*E76+D76</f>
        <v>1942765.0661224441</v>
      </c>
      <c r="AD76" s="63">
        <f>(20000-900)*S76+R76</f>
        <v>1942922.3653596402</v>
      </c>
      <c r="AE76" s="40">
        <f>(AD76-AC76)/AC76</f>
        <v>8.0966679882737291E-5</v>
      </c>
      <c r="AF76" s="63">
        <f t="shared" si="2"/>
        <v>7500000</v>
      </c>
    </row>
    <row r="77" spans="1:32" hidden="1" x14ac:dyDescent="0.25">
      <c r="A77" s="91" t="s">
        <v>16</v>
      </c>
      <c r="B77" s="2" t="s">
        <v>115</v>
      </c>
      <c r="C77" s="2"/>
      <c r="D77" s="7">
        <v>210602.70449318414</v>
      </c>
      <c r="E77" s="7">
        <v>121.44674527422396</v>
      </c>
      <c r="F77" s="8">
        <v>448403.4</v>
      </c>
      <c r="G77" s="7">
        <v>572.95989999999995</v>
      </c>
      <c r="H77" s="7">
        <v>157515.38</v>
      </c>
      <c r="I77" s="7">
        <v>245.17</v>
      </c>
      <c r="J77" s="7" t="s">
        <v>86</v>
      </c>
      <c r="K77" s="7" t="s">
        <v>86</v>
      </c>
      <c r="L77" s="24">
        <v>462500</v>
      </c>
      <c r="M77" s="10">
        <v>462</v>
      </c>
      <c r="N77" s="24">
        <f>O77*900</f>
        <v>120600</v>
      </c>
      <c r="O77" s="10">
        <v>134</v>
      </c>
      <c r="P77" s="24">
        <f>+Q77*900</f>
        <v>409500</v>
      </c>
      <c r="Q77" s="24">
        <v>455</v>
      </c>
      <c r="R77" s="24">
        <v>265257.79914535442</v>
      </c>
      <c r="S77" s="24">
        <v>243.8527</v>
      </c>
      <c r="T77" s="7" t="s">
        <v>86</v>
      </c>
      <c r="U77" s="7" t="s">
        <v>86</v>
      </c>
      <c r="V77" s="7">
        <v>743014.9393333334</v>
      </c>
      <c r="W77" s="7">
        <v>8255.7215481481489</v>
      </c>
      <c r="X77" s="85" t="s">
        <v>89</v>
      </c>
      <c r="Y77" s="85">
        <v>120600</v>
      </c>
      <c r="Z77" s="86" t="s">
        <v>74</v>
      </c>
      <c r="AA77" s="86">
        <v>121.446745274224</v>
      </c>
      <c r="AB77" t="s">
        <v>74</v>
      </c>
      <c r="AC77" s="63">
        <f>(20000-900)*E77+D77</f>
        <v>2530235.5392308617</v>
      </c>
      <c r="AD77" s="63">
        <f>(20000-900)*O77+N77</f>
        <v>2680000</v>
      </c>
      <c r="AE77" s="40">
        <f>(AD77-AC77)/AC77</f>
        <v>5.9189928545017409E-2</v>
      </c>
      <c r="AF77" s="63">
        <f t="shared" si="2"/>
        <v>9100000</v>
      </c>
    </row>
    <row r="78" spans="1:32" hidden="1" x14ac:dyDescent="0.25">
      <c r="A78" s="91" t="s">
        <v>24</v>
      </c>
      <c r="B78" s="2" t="s">
        <v>122</v>
      </c>
      <c r="C78" s="2"/>
      <c r="D78" s="7">
        <v>240111.27488683298</v>
      </c>
      <c r="E78" s="7">
        <v>171.15249265986702</v>
      </c>
      <c r="F78" s="8">
        <v>448403.4</v>
      </c>
      <c r="G78" s="7">
        <v>572.95989999999995</v>
      </c>
      <c r="H78" s="7">
        <v>316194.78028676996</v>
      </c>
      <c r="I78" s="7">
        <v>539.62462806999997</v>
      </c>
      <c r="J78" s="7" t="s">
        <v>86</v>
      </c>
      <c r="K78" s="7" t="s">
        <v>86</v>
      </c>
      <c r="L78" s="24">
        <v>789333</v>
      </c>
      <c r="M78" s="10">
        <v>789</v>
      </c>
      <c r="N78" s="24" t="s">
        <v>86</v>
      </c>
      <c r="O78" s="10" t="s">
        <v>86</v>
      </c>
      <c r="P78" s="24">
        <f>+Q78*900</f>
        <v>391500</v>
      </c>
      <c r="Q78" s="24">
        <v>435</v>
      </c>
      <c r="R78" s="24">
        <v>245923.50964535444</v>
      </c>
      <c r="S78" s="24">
        <v>236.22</v>
      </c>
      <c r="T78" s="7">
        <v>313290</v>
      </c>
      <c r="U78" s="7">
        <v>405</v>
      </c>
      <c r="V78" s="8">
        <v>283648.60333333333</v>
      </c>
      <c r="W78" s="8">
        <v>3151.651148148148</v>
      </c>
      <c r="X78" s="85" t="s">
        <v>74</v>
      </c>
      <c r="Y78" s="85">
        <v>240111.27488683301</v>
      </c>
      <c r="Z78" s="86" t="s">
        <v>74</v>
      </c>
      <c r="AA78" s="86">
        <v>171.15249265986699</v>
      </c>
      <c r="AB78" t="s">
        <v>74</v>
      </c>
      <c r="AC78" s="63">
        <f>(20000-900)*E78+D78</f>
        <v>3509123.8846902931</v>
      </c>
      <c r="AD78" s="63" t="e">
        <f>(20000-900)*O78+N78</f>
        <v>#VALUE!</v>
      </c>
      <c r="AE78" s="40"/>
      <c r="AF78" s="63">
        <f t="shared" si="2"/>
        <v>8700000</v>
      </c>
    </row>
    <row r="79" spans="1:32" hidden="1" x14ac:dyDescent="0.25">
      <c r="A79" s="91" t="s">
        <v>60</v>
      </c>
      <c r="B79" s="2" t="s">
        <v>135</v>
      </c>
      <c r="C79" s="2"/>
      <c r="D79" s="7">
        <v>862757.75911713531</v>
      </c>
      <c r="E79" s="7">
        <v>1013.1753268764907</v>
      </c>
      <c r="F79" s="7" t="s">
        <v>86</v>
      </c>
      <c r="G79" s="7" t="s">
        <v>86</v>
      </c>
      <c r="H79" s="7" t="s">
        <v>86</v>
      </c>
      <c r="I79" s="7" t="s">
        <v>86</v>
      </c>
      <c r="J79" s="7" t="s">
        <v>86</v>
      </c>
      <c r="K79" s="7" t="s">
        <v>86</v>
      </c>
      <c r="L79" s="7" t="s">
        <v>86</v>
      </c>
      <c r="M79" s="7" t="s">
        <v>86</v>
      </c>
      <c r="N79" s="7">
        <v>510000</v>
      </c>
      <c r="O79" s="7">
        <v>532</v>
      </c>
      <c r="P79" s="24">
        <f>+Q79*900</f>
        <v>697500</v>
      </c>
      <c r="Q79" s="24">
        <v>775</v>
      </c>
      <c r="R79" s="24">
        <v>747574.51294535457</v>
      </c>
      <c r="S79" s="24">
        <v>771.32180000000005</v>
      </c>
      <c r="T79" s="7" t="s">
        <v>86</v>
      </c>
      <c r="U79" s="7" t="s">
        <v>86</v>
      </c>
      <c r="V79" s="7" t="s">
        <v>86</v>
      </c>
      <c r="W79" s="7" t="s">
        <v>86</v>
      </c>
      <c r="X79" s="85" t="s">
        <v>89</v>
      </c>
      <c r="Y79" s="85">
        <v>510000</v>
      </c>
      <c r="Z79" s="86" t="s">
        <v>89</v>
      </c>
      <c r="AA79" s="86">
        <v>532</v>
      </c>
      <c r="AB79" t="s">
        <v>109</v>
      </c>
      <c r="AC79" s="63">
        <f>(20000-900)*E79+D79</f>
        <v>20214406.502458107</v>
      </c>
      <c r="AD79" s="63">
        <f>(20000-900)*O79+N79</f>
        <v>10671200</v>
      </c>
      <c r="AE79" s="40">
        <f>(AD79-AC79)/AC79</f>
        <v>-0.47209926748517878</v>
      </c>
      <c r="AF79" s="63">
        <f t="shared" si="2"/>
        <v>15500000</v>
      </c>
    </row>
    <row r="80" spans="1:32" hidden="1" x14ac:dyDescent="0.25">
      <c r="A80" s="91" t="s">
        <v>67</v>
      </c>
      <c r="B80" s="2" t="s">
        <v>135</v>
      </c>
      <c r="C80" s="2"/>
      <c r="D80" s="7">
        <v>1074843.2376321109</v>
      </c>
      <c r="E80" s="7">
        <v>1262.2368644279534</v>
      </c>
      <c r="F80" s="7" t="s">
        <v>86</v>
      </c>
      <c r="G80" s="7" t="s">
        <v>86</v>
      </c>
      <c r="H80" s="7" t="s">
        <v>86</v>
      </c>
      <c r="I80" s="7" t="s">
        <v>86</v>
      </c>
      <c r="J80" s="7" t="s">
        <v>86</v>
      </c>
      <c r="K80" s="7" t="s">
        <v>86</v>
      </c>
      <c r="L80" s="7" t="s">
        <v>86</v>
      </c>
      <c r="M80" s="7" t="s">
        <v>86</v>
      </c>
      <c r="N80" s="7">
        <f>O80*900</f>
        <v>468900</v>
      </c>
      <c r="O80" s="7">
        <v>521</v>
      </c>
      <c r="P80" s="24">
        <f>+Q80*900</f>
        <v>715500</v>
      </c>
      <c r="Q80" s="24">
        <v>795</v>
      </c>
      <c r="R80" s="24">
        <v>768850.8584943196</v>
      </c>
      <c r="S80" s="24">
        <v>796.83090000000004</v>
      </c>
      <c r="T80" s="7" t="s">
        <v>86</v>
      </c>
      <c r="U80" s="7" t="s">
        <v>86</v>
      </c>
      <c r="V80" s="7" t="s">
        <v>86</v>
      </c>
      <c r="W80" s="7" t="s">
        <v>86</v>
      </c>
      <c r="X80" s="85" t="s">
        <v>89</v>
      </c>
      <c r="Y80" s="85">
        <v>468900</v>
      </c>
      <c r="Z80" s="86" t="s">
        <v>89</v>
      </c>
      <c r="AA80" s="86">
        <v>521</v>
      </c>
      <c r="AB80" t="s">
        <v>109</v>
      </c>
      <c r="AC80" s="63">
        <f>(20000-900)*E80+D80</f>
        <v>25183567.348206021</v>
      </c>
      <c r="AD80" s="63">
        <f>(20000-900)*O80+N80</f>
        <v>10420000</v>
      </c>
      <c r="AE80" s="40">
        <f>(AD80-AC80)/AC80</f>
        <v>-0.58623812679412635</v>
      </c>
      <c r="AF80" s="63">
        <f t="shared" si="2"/>
        <v>15900000</v>
      </c>
    </row>
    <row r="81" spans="1:32" hidden="1" x14ac:dyDescent="0.25">
      <c r="A81" s="91" t="s">
        <v>30</v>
      </c>
      <c r="B81" s="2" t="s">
        <v>127</v>
      </c>
      <c r="C81" s="2"/>
      <c r="D81" s="7">
        <v>252602.01816299726</v>
      </c>
      <c r="E81" s="7">
        <v>192.19254040401569</v>
      </c>
      <c r="F81" s="8">
        <v>492660</v>
      </c>
      <c r="G81" s="7">
        <v>629.50999999999988</v>
      </c>
      <c r="H81" s="7">
        <v>184152.38049999997</v>
      </c>
      <c r="I81" s="7">
        <v>429.49768806999992</v>
      </c>
      <c r="J81" s="7" t="s">
        <v>86</v>
      </c>
      <c r="K81" s="7" t="s">
        <v>86</v>
      </c>
      <c r="L81" s="24">
        <v>789333</v>
      </c>
      <c r="M81" s="10">
        <v>789</v>
      </c>
      <c r="N81" s="24" t="s">
        <v>86</v>
      </c>
      <c r="O81" s="10" t="s">
        <v>86</v>
      </c>
      <c r="P81" s="24">
        <f>+Q81*900</f>
        <v>355500</v>
      </c>
      <c r="Q81" s="24">
        <v>395</v>
      </c>
      <c r="R81" s="24">
        <v>249796.32082087183</v>
      </c>
      <c r="S81" s="24">
        <v>239.94</v>
      </c>
      <c r="T81" s="7">
        <v>313290</v>
      </c>
      <c r="U81" s="7">
        <v>405</v>
      </c>
      <c r="V81" s="7" t="s">
        <v>86</v>
      </c>
      <c r="W81" s="7" t="s">
        <v>86</v>
      </c>
      <c r="X81" s="85" t="s">
        <v>77</v>
      </c>
      <c r="Y81" s="85">
        <v>184152.3805</v>
      </c>
      <c r="Z81" s="86" t="s">
        <v>74</v>
      </c>
      <c r="AA81" s="86">
        <v>192.19254040401569</v>
      </c>
      <c r="AB81" t="s">
        <v>74</v>
      </c>
      <c r="AC81" s="63">
        <f>(20000-900)*E81+D81</f>
        <v>3923479.5398796969</v>
      </c>
      <c r="AD81" s="63">
        <f>(20000-900)*I81+H81</f>
        <v>8387558.2226369986</v>
      </c>
      <c r="AE81" s="40">
        <f>(AD81-AC81)/AC81</f>
        <v>1.1377856408789073</v>
      </c>
      <c r="AF81" s="63">
        <f t="shared" si="2"/>
        <v>7900000</v>
      </c>
    </row>
    <row r="82" spans="1:32" x14ac:dyDescent="0.25">
      <c r="D82" s="63"/>
      <c r="E82" s="63"/>
      <c r="F82" s="63"/>
      <c r="G82" s="63"/>
    </row>
  </sheetData>
  <mergeCells count="10">
    <mergeCell ref="F1:G1"/>
    <mergeCell ref="N1:O1"/>
    <mergeCell ref="P1:Q1"/>
    <mergeCell ref="R1:S1"/>
    <mergeCell ref="D1:E1"/>
    <mergeCell ref="T1:U1"/>
    <mergeCell ref="V1:W1"/>
    <mergeCell ref="H1:I1"/>
    <mergeCell ref="J1:K1"/>
    <mergeCell ref="L1:M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48E56-BC83-4D26-8671-B5FC8C626802}">
  <dimension ref="A1:M12"/>
  <sheetViews>
    <sheetView workbookViewId="0">
      <selection activeCell="F3" sqref="F3:G8"/>
    </sheetView>
  </sheetViews>
  <sheetFormatPr baseColWidth="10" defaultRowHeight="15" x14ac:dyDescent="0.25"/>
  <cols>
    <col min="1" max="1" width="15.28515625" bestFit="1" customWidth="1"/>
    <col min="2" max="2" width="13" bestFit="1" customWidth="1"/>
    <col min="3" max="3" width="9.42578125" bestFit="1" customWidth="1"/>
    <col min="4" max="4" width="13" bestFit="1" customWidth="1"/>
    <col min="5" max="5" width="9.42578125" bestFit="1" customWidth="1"/>
    <col min="6" max="6" width="13" bestFit="1" customWidth="1"/>
    <col min="7" max="11" width="8.5703125" bestFit="1" customWidth="1"/>
    <col min="12" max="12" width="12.5703125" bestFit="1" customWidth="1"/>
    <col min="13" max="13" width="18.28515625" bestFit="1" customWidth="1"/>
  </cols>
  <sheetData>
    <row r="1" spans="1:13" x14ac:dyDescent="0.25">
      <c r="B1" s="75" t="s">
        <v>74</v>
      </c>
      <c r="C1" s="75"/>
      <c r="D1" s="76" t="s">
        <v>87</v>
      </c>
      <c r="E1" s="76"/>
      <c r="F1" s="76"/>
      <c r="G1" s="76"/>
      <c r="H1" s="76"/>
      <c r="I1" s="76"/>
      <c r="J1" s="76"/>
      <c r="K1" s="76"/>
    </row>
    <row r="2" spans="1:13" ht="75" x14ac:dyDescent="0.25">
      <c r="B2" s="32" t="s">
        <v>75</v>
      </c>
      <c r="C2" s="33" t="s">
        <v>76</v>
      </c>
      <c r="D2" s="54" t="s">
        <v>75</v>
      </c>
      <c r="E2" s="55" t="s">
        <v>76</v>
      </c>
      <c r="F2" s="59" t="s">
        <v>75</v>
      </c>
      <c r="G2" s="60" t="s">
        <v>76</v>
      </c>
      <c r="H2" s="54" t="s">
        <v>97</v>
      </c>
      <c r="I2" s="54" t="s">
        <v>98</v>
      </c>
      <c r="J2" s="59" t="s">
        <v>97</v>
      </c>
      <c r="K2" s="60" t="s">
        <v>98</v>
      </c>
      <c r="M2">
        <v>20000</v>
      </c>
    </row>
    <row r="3" spans="1:13" x14ac:dyDescent="0.25">
      <c r="A3" s="2" t="s">
        <v>11</v>
      </c>
      <c r="B3" s="34">
        <v>159394.951932761</v>
      </c>
      <c r="C3" s="34">
        <v>74.571676072156606</v>
      </c>
      <c r="D3" s="56">
        <v>181048</v>
      </c>
      <c r="E3" s="56">
        <v>258</v>
      </c>
      <c r="F3" s="93">
        <v>156100</v>
      </c>
      <c r="G3" s="94">
        <v>0</v>
      </c>
      <c r="H3" s="61">
        <f>(D3-B3)/B3</f>
        <v>0.13584525610555781</v>
      </c>
      <c r="I3" s="61">
        <f>(E3-C3)/C3</f>
        <v>2.4597586320891534</v>
      </c>
      <c r="J3" s="62">
        <f>(F3-B3)/B3</f>
        <v>-2.067162035439455E-2</v>
      </c>
      <c r="K3" s="62">
        <f>(G3-C3)/C3</f>
        <v>-1</v>
      </c>
      <c r="M3" s="89">
        <f>M2*E3</f>
        <v>5160000</v>
      </c>
    </row>
    <row r="4" spans="1:13" x14ac:dyDescent="0.25">
      <c r="A4" s="2" t="s">
        <v>12</v>
      </c>
      <c r="B4" s="34">
        <v>161965.98650608899</v>
      </c>
      <c r="C4" s="34">
        <v>78.669262423397498</v>
      </c>
      <c r="D4" s="56">
        <v>196630</v>
      </c>
      <c r="E4" s="56">
        <v>280</v>
      </c>
      <c r="F4" s="93">
        <v>149000</v>
      </c>
      <c r="G4" s="94">
        <v>0</v>
      </c>
      <c r="H4" s="61">
        <f t="shared" ref="H4:H8" si="0">(D4-B4)/B4</f>
        <v>0.21402032761124107</v>
      </c>
      <c r="I4" s="61">
        <f t="shared" ref="I4:I8" si="1">(E4-C4)/C4</f>
        <v>2.5592045911532981</v>
      </c>
      <c r="J4" s="62">
        <f t="shared" ref="J4:J8" si="2">(F4-B4)/B4</f>
        <v>-8.0053761816228863E-2</v>
      </c>
      <c r="K4" s="62">
        <f t="shared" ref="K4:K8" si="3">(G4-C4)/C4</f>
        <v>-1</v>
      </c>
    </row>
    <row r="5" spans="1:13" x14ac:dyDescent="0.25">
      <c r="A5" s="2" t="s">
        <v>13</v>
      </c>
      <c r="B5" s="34">
        <v>163508.607250086</v>
      </c>
      <c r="C5" s="34">
        <v>81.127814234141994</v>
      </c>
      <c r="D5" s="56">
        <v>196630</v>
      </c>
      <c r="E5" s="56">
        <v>280</v>
      </c>
      <c r="F5" s="93">
        <v>149000</v>
      </c>
      <c r="G5" s="94">
        <v>0</v>
      </c>
      <c r="H5" s="61">
        <f t="shared" si="0"/>
        <v>0.20256666182260918</v>
      </c>
      <c r="I5" s="61">
        <f t="shared" si="1"/>
        <v>2.4513440629855432</v>
      </c>
      <c r="J5" s="62">
        <f t="shared" si="2"/>
        <v>-8.8732987786356257E-2</v>
      </c>
      <c r="K5" s="62">
        <f t="shared" si="3"/>
        <v>-1</v>
      </c>
    </row>
    <row r="6" spans="1:13" x14ac:dyDescent="0.25">
      <c r="A6" s="2" t="s">
        <v>15</v>
      </c>
      <c r="B6" s="34">
        <v>169679.090226072</v>
      </c>
      <c r="C6" s="34">
        <v>90.962021477120004</v>
      </c>
      <c r="D6" s="56">
        <v>165466</v>
      </c>
      <c r="E6" s="56">
        <v>298</v>
      </c>
      <c r="F6" s="93">
        <v>156100</v>
      </c>
      <c r="G6" s="94">
        <v>40</v>
      </c>
      <c r="H6" s="61">
        <f t="shared" si="0"/>
        <v>-2.4829754924184769E-2</v>
      </c>
      <c r="I6" s="61">
        <f t="shared" si="1"/>
        <v>2.2760925401702621</v>
      </c>
      <c r="J6" s="62">
        <f t="shared" si="2"/>
        <v>-8.0028070683193175E-2</v>
      </c>
      <c r="K6" s="62">
        <f t="shared" si="3"/>
        <v>-0.56025603487647491</v>
      </c>
    </row>
    <row r="7" spans="1:13" x14ac:dyDescent="0.25">
      <c r="A7" s="2" t="s">
        <v>25</v>
      </c>
      <c r="B7" s="34">
        <v>196407.13341121399</v>
      </c>
      <c r="C7" s="34">
        <v>133.55984030344101</v>
      </c>
      <c r="D7" s="57">
        <v>203520</v>
      </c>
      <c r="E7" s="58">
        <v>290</v>
      </c>
      <c r="F7" s="93">
        <v>184000</v>
      </c>
      <c r="G7" s="94">
        <v>60</v>
      </c>
      <c r="H7" s="61">
        <f t="shared" si="0"/>
        <v>3.6214909638205117E-2</v>
      </c>
      <c r="I7" s="61">
        <f t="shared" si="1"/>
        <v>1.1713113713009471</v>
      </c>
      <c r="J7" s="62">
        <f t="shared" si="2"/>
        <v>-6.3170482638415182E-2</v>
      </c>
      <c r="K7" s="62">
        <f t="shared" si="3"/>
        <v>-0.55076316455842478</v>
      </c>
    </row>
    <row r="8" spans="1:13" x14ac:dyDescent="0.25">
      <c r="A8" s="2" t="s">
        <v>28</v>
      </c>
      <c r="B8" s="34">
        <v>202380.70743137901</v>
      </c>
      <c r="C8" s="34">
        <v>143.080223898078</v>
      </c>
      <c r="D8" s="57">
        <v>215180</v>
      </c>
      <c r="E8" s="58">
        <v>307</v>
      </c>
      <c r="F8" s="93">
        <v>190000</v>
      </c>
      <c r="G8" s="94">
        <v>65</v>
      </c>
      <c r="H8" s="61">
        <f t="shared" si="0"/>
        <v>6.3243639826493017E-2</v>
      </c>
      <c r="I8" s="61">
        <f t="shared" si="1"/>
        <v>1.1456494240510056</v>
      </c>
      <c r="J8" s="62">
        <f t="shared" si="2"/>
        <v>-6.1175334292063975E-2</v>
      </c>
      <c r="K8" s="62">
        <f t="shared" si="3"/>
        <v>-0.54570940533122025</v>
      </c>
      <c r="L8" s="30"/>
    </row>
    <row r="9" spans="1:13" x14ac:dyDescent="0.25">
      <c r="L9" s="31"/>
    </row>
    <row r="10" spans="1:13" x14ac:dyDescent="0.25">
      <c r="A10" s="77" t="s">
        <v>101</v>
      </c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31"/>
    </row>
    <row r="11" spans="1:13" x14ac:dyDescent="0.25">
      <c r="A11" s="78" t="s">
        <v>102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31"/>
    </row>
    <row r="12" spans="1:13" x14ac:dyDescent="0.25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31"/>
    </row>
  </sheetData>
  <mergeCells count="4">
    <mergeCell ref="B1:C1"/>
    <mergeCell ref="D1:K1"/>
    <mergeCell ref="A10:K10"/>
    <mergeCell ref="A11:K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DBE1-9C81-41EF-B58A-CAAD69574FAC}">
  <dimension ref="A1:V93"/>
  <sheetViews>
    <sheetView zoomScale="65" zoomScaleNormal="65" workbookViewId="0">
      <selection activeCell="D4" sqref="D4:E74"/>
    </sheetView>
  </sheetViews>
  <sheetFormatPr baseColWidth="10" defaultColWidth="11.42578125" defaultRowHeight="15" x14ac:dyDescent="0.25"/>
  <cols>
    <col min="1" max="1" width="25.85546875" style="1" bestFit="1" customWidth="1"/>
    <col min="2" max="2" width="17.140625" style="1" bestFit="1" customWidth="1"/>
    <col min="3" max="3" width="15.42578125" style="1" bestFit="1" customWidth="1"/>
    <col min="4" max="4" width="18.28515625" style="1" bestFit="1" customWidth="1"/>
    <col min="5" max="5" width="11.42578125" style="1" bestFit="1" customWidth="1"/>
    <col min="6" max="6" width="13" style="1" hidden="1" customWidth="1"/>
    <col min="7" max="7" width="0" style="1" hidden="1" customWidth="1"/>
    <col min="8" max="8" width="18.28515625" style="1" bestFit="1" customWidth="1"/>
    <col min="9" max="9" width="11.42578125" style="1"/>
    <col min="10" max="10" width="25.85546875" style="1" bestFit="1" customWidth="1"/>
    <col min="11" max="12" width="11.42578125" style="1"/>
    <col min="13" max="13" width="12.5703125" style="1" bestFit="1" customWidth="1"/>
    <col min="14" max="14" width="11.42578125" style="1"/>
    <col min="15" max="16" width="0" style="1" hidden="1" customWidth="1"/>
    <col min="17" max="16384" width="11.42578125" style="1"/>
  </cols>
  <sheetData>
    <row r="1" spans="1:22" x14ac:dyDescent="0.25">
      <c r="B1" s="79"/>
      <c r="C1" s="79"/>
      <c r="D1" s="79"/>
      <c r="E1" s="79"/>
      <c r="F1" s="79"/>
      <c r="G1" s="79"/>
      <c r="H1" s="18"/>
      <c r="I1" s="18"/>
    </row>
    <row r="2" spans="1:22" x14ac:dyDescent="0.25">
      <c r="A2" s="82" t="s">
        <v>0</v>
      </c>
      <c r="B2" s="73" t="s">
        <v>74</v>
      </c>
      <c r="C2" s="74"/>
      <c r="D2" s="64" t="s">
        <v>89</v>
      </c>
      <c r="E2" s="64"/>
      <c r="F2" s="72" t="s">
        <v>91</v>
      </c>
      <c r="G2" s="72"/>
      <c r="H2" s="84" t="s">
        <v>99</v>
      </c>
      <c r="I2" s="84"/>
      <c r="K2" s="80" t="s">
        <v>95</v>
      </c>
      <c r="L2" s="80"/>
      <c r="M2" s="80" t="s">
        <v>100</v>
      </c>
      <c r="N2" s="80"/>
      <c r="O2" s="80" t="s">
        <v>96</v>
      </c>
      <c r="P2" s="80"/>
    </row>
    <row r="3" spans="1:22" ht="75" x14ac:dyDescent="0.25">
      <c r="A3" s="83"/>
      <c r="B3" s="3" t="s">
        <v>72</v>
      </c>
      <c r="C3" s="3" t="s">
        <v>73</v>
      </c>
      <c r="D3" s="12" t="s">
        <v>75</v>
      </c>
      <c r="E3" s="13" t="s">
        <v>76</v>
      </c>
      <c r="F3" s="15" t="s">
        <v>75</v>
      </c>
      <c r="G3" s="15" t="s">
        <v>76</v>
      </c>
      <c r="H3" s="49" t="s">
        <v>75</v>
      </c>
      <c r="I3" s="50" t="s">
        <v>76</v>
      </c>
      <c r="K3" s="25" t="s">
        <v>75</v>
      </c>
      <c r="L3" s="26" t="s">
        <v>76</v>
      </c>
      <c r="M3" s="25" t="s">
        <v>75</v>
      </c>
      <c r="N3" s="26" t="s">
        <v>76</v>
      </c>
      <c r="O3" s="25" t="s">
        <v>75</v>
      </c>
      <c r="P3" s="26" t="s">
        <v>76</v>
      </c>
    </row>
    <row r="4" spans="1:22" x14ac:dyDescent="0.25">
      <c r="A4" s="2" t="s">
        <v>1</v>
      </c>
      <c r="B4" s="7">
        <v>177714.0302311776</v>
      </c>
      <c r="C4" s="7">
        <v>66.047377805447709</v>
      </c>
      <c r="D4" s="46">
        <v>100000</v>
      </c>
      <c r="E4" s="46">
        <v>89</v>
      </c>
      <c r="F4" s="21">
        <v>190540.07964535445</v>
      </c>
      <c r="G4" s="21">
        <v>114.3</v>
      </c>
      <c r="H4" s="21"/>
      <c r="I4" s="21"/>
      <c r="K4" s="53">
        <f>(D4-B4)/B4</f>
        <v>-0.4372982264263775</v>
      </c>
      <c r="L4" s="53">
        <f>(E4-C4)/C4</f>
        <v>0.34751753903330762</v>
      </c>
      <c r="O4" s="35">
        <f>(F4-B4)/B4</f>
        <v>7.2172407533002317E-2</v>
      </c>
      <c r="P4" s="35">
        <f>(G4-C4)/C4</f>
        <v>0.73057589563491077</v>
      </c>
      <c r="R4" s="81" t="s">
        <v>103</v>
      </c>
      <c r="S4" s="81"/>
      <c r="T4" s="81"/>
      <c r="U4" s="81"/>
      <c r="V4" s="81"/>
    </row>
    <row r="5" spans="1:22" x14ac:dyDescent="0.25">
      <c r="A5" s="2" t="s">
        <v>2</v>
      </c>
      <c r="B5" s="7">
        <v>180243.92825133208</v>
      </c>
      <c r="C5" s="7">
        <v>70.308867610738162</v>
      </c>
      <c r="D5" s="46">
        <f t="shared" ref="D5" si="0">E5*900</f>
        <v>99000</v>
      </c>
      <c r="E5" s="46">
        <v>110</v>
      </c>
      <c r="F5" s="21">
        <v>120182.079645354</v>
      </c>
      <c r="G5" s="21">
        <v>95.431428571428569</v>
      </c>
      <c r="H5" s="21"/>
      <c r="I5" s="21"/>
      <c r="K5" s="53">
        <f t="shared" ref="K5:K68" si="1">(D5-B5)/B5</f>
        <v>-0.4507443276427352</v>
      </c>
      <c r="L5" s="53">
        <f t="shared" ref="L5:L68" si="2">(E5-C5)/C5</f>
        <v>0.56452526883251741</v>
      </c>
      <c r="O5" s="35">
        <f t="shared" ref="O5:O66" si="3">(F5-B5)/B5</f>
        <v>-0.33322536403128022</v>
      </c>
      <c r="P5" s="35">
        <f t="shared" ref="P5:P66" si="4">(G5-C5)/C5</f>
        <v>0.35731710400714062</v>
      </c>
      <c r="R5" s="81"/>
      <c r="S5" s="81"/>
      <c r="T5" s="81"/>
      <c r="U5" s="81"/>
      <c r="V5" s="81"/>
    </row>
    <row r="6" spans="1:22" x14ac:dyDescent="0.25">
      <c r="A6" s="2" t="s">
        <v>3</v>
      </c>
      <c r="B6" s="7">
        <v>181508.87726140922</v>
      </c>
      <c r="C6" s="7">
        <v>72.439612513383409</v>
      </c>
      <c r="D6" s="20">
        <v>100000</v>
      </c>
      <c r="E6" s="20">
        <v>89</v>
      </c>
      <c r="F6" s="21">
        <v>148630.07964535401</v>
      </c>
      <c r="G6" s="21">
        <v>127</v>
      </c>
      <c r="H6" s="21"/>
      <c r="I6" s="21"/>
      <c r="K6" s="53">
        <f t="shared" si="1"/>
        <v>-0.44906275930526568</v>
      </c>
      <c r="L6" s="53">
        <f t="shared" si="2"/>
        <v>0.2286095536962876</v>
      </c>
      <c r="O6" s="35">
        <f t="shared" si="3"/>
        <v>-0.18114154035950064</v>
      </c>
      <c r="P6" s="35">
        <f t="shared" si="4"/>
        <v>0.75318441931942159</v>
      </c>
      <c r="R6" s="81"/>
      <c r="S6" s="81"/>
      <c r="T6" s="81"/>
      <c r="U6" s="81"/>
      <c r="V6" s="81"/>
    </row>
    <row r="7" spans="1:22" x14ac:dyDescent="0.25">
      <c r="A7" s="2" t="s">
        <v>4</v>
      </c>
      <c r="B7" s="7">
        <v>183406.30077652496</v>
      </c>
      <c r="C7" s="7">
        <v>75.635729867351259</v>
      </c>
      <c r="D7" s="46">
        <f t="shared" ref="D7" si="5">E7*900</f>
        <v>98100</v>
      </c>
      <c r="E7" s="46">
        <v>109</v>
      </c>
      <c r="F7" s="21">
        <v>218480.07964535445</v>
      </c>
      <c r="G7" s="21">
        <v>177.8</v>
      </c>
      <c r="H7" s="21"/>
      <c r="I7" s="21"/>
      <c r="K7" s="53">
        <f t="shared" si="1"/>
        <v>-0.46512197462871308</v>
      </c>
      <c r="L7" s="53">
        <f t="shared" si="2"/>
        <v>0.44111784458433162</v>
      </c>
      <c r="O7" s="35">
        <f t="shared" si="3"/>
        <v>0.1912354086000885</v>
      </c>
      <c r="P7" s="35">
        <f t="shared" si="4"/>
        <v>1.3507408510742585</v>
      </c>
      <c r="R7" s="81"/>
      <c r="S7" s="81"/>
      <c r="T7" s="81"/>
      <c r="U7" s="81"/>
      <c r="V7" s="81"/>
    </row>
    <row r="8" spans="1:22" x14ac:dyDescent="0.25">
      <c r="A8" s="2" t="s">
        <v>5</v>
      </c>
      <c r="B8" s="7">
        <v>184038.77528156349</v>
      </c>
      <c r="C8" s="7">
        <v>76.70110231867389</v>
      </c>
      <c r="D8" s="46">
        <f t="shared" ref="D8:D70" si="6">E8*900</f>
        <v>120600</v>
      </c>
      <c r="E8" s="46">
        <v>134</v>
      </c>
      <c r="F8" s="21">
        <v>154980.07964535445</v>
      </c>
      <c r="G8" s="21">
        <v>112.88888888888889</v>
      </c>
      <c r="H8" s="21"/>
      <c r="I8" s="21"/>
      <c r="K8" s="53">
        <f t="shared" si="1"/>
        <v>-0.34470331148698213</v>
      </c>
      <c r="L8" s="53">
        <f t="shared" si="2"/>
        <v>0.74704138466307202</v>
      </c>
      <c r="O8" s="35">
        <f t="shared" si="3"/>
        <v>-0.15789441975883473</v>
      </c>
      <c r="P8" s="35">
        <f t="shared" si="4"/>
        <v>0.47180269222029947</v>
      </c>
      <c r="R8" s="81"/>
      <c r="S8" s="81"/>
      <c r="T8" s="81"/>
      <c r="U8" s="81"/>
      <c r="V8" s="81"/>
    </row>
    <row r="9" spans="1:22" x14ac:dyDescent="0.25">
      <c r="A9" s="2" t="s">
        <v>6</v>
      </c>
      <c r="B9" s="7">
        <v>191628.4693420266</v>
      </c>
      <c r="C9" s="7">
        <v>89.485571734545331</v>
      </c>
      <c r="D9" s="47">
        <v>100000</v>
      </c>
      <c r="E9" s="47">
        <v>89</v>
      </c>
      <c r="F9" s="21">
        <v>142089.57964535445</v>
      </c>
      <c r="G9" s="21">
        <v>104.14</v>
      </c>
      <c r="H9" s="21"/>
      <c r="I9" s="21"/>
      <c r="K9" s="52">
        <f t="shared" si="1"/>
        <v>-0.47815687124486828</v>
      </c>
      <c r="L9" s="52">
        <f t="shared" si="2"/>
        <v>-5.4262572740302398E-3</v>
      </c>
      <c r="O9" s="35">
        <f t="shared" si="3"/>
        <v>-0.25851529194366757</v>
      </c>
      <c r="P9" s="35">
        <f t="shared" si="4"/>
        <v>0.16376302884811789</v>
      </c>
      <c r="R9" s="81"/>
      <c r="S9" s="81"/>
      <c r="T9" s="81"/>
      <c r="U9" s="81"/>
      <c r="V9" s="81"/>
    </row>
    <row r="10" spans="1:22" x14ac:dyDescent="0.25">
      <c r="A10" s="2" t="s">
        <v>7</v>
      </c>
      <c r="B10" s="7">
        <v>192893.41835210373</v>
      </c>
      <c r="C10" s="7">
        <v>91.616316637190593</v>
      </c>
      <c r="D10" s="46">
        <v>105000</v>
      </c>
      <c r="E10" s="46">
        <v>99</v>
      </c>
      <c r="F10" s="21">
        <v>190540.07964535445</v>
      </c>
      <c r="G10" s="21">
        <v>114.3</v>
      </c>
      <c r="H10" s="21"/>
      <c r="I10" s="21"/>
      <c r="K10" s="53">
        <f t="shared" si="1"/>
        <v>-0.4556579436612237</v>
      </c>
      <c r="L10" s="53">
        <f t="shared" si="2"/>
        <v>8.059354090876085E-2</v>
      </c>
      <c r="O10" s="35">
        <f t="shared" si="3"/>
        <v>-1.2200202198986132E-2</v>
      </c>
      <c r="P10" s="35">
        <f t="shared" si="4"/>
        <v>0.24759436086738748</v>
      </c>
      <c r="R10" s="81"/>
      <c r="S10" s="81"/>
      <c r="T10" s="81"/>
      <c r="U10" s="81"/>
      <c r="V10" s="81"/>
    </row>
    <row r="11" spans="1:22" x14ac:dyDescent="0.25">
      <c r="A11" s="2" t="s">
        <v>8</v>
      </c>
      <c r="B11" s="7">
        <v>192893.41835210373</v>
      </c>
      <c r="C11" s="7">
        <v>91.616316637190593</v>
      </c>
      <c r="D11" s="46">
        <f t="shared" ref="D11" si="7">E11*900</f>
        <v>120600</v>
      </c>
      <c r="E11" s="46">
        <v>134</v>
      </c>
      <c r="F11" s="21">
        <v>120182.07964535443</v>
      </c>
      <c r="G11" s="21">
        <v>95.431428571428569</v>
      </c>
      <c r="H11" s="21"/>
      <c r="I11" s="21"/>
      <c r="K11" s="53">
        <f t="shared" si="1"/>
        <v>-0.37478426671946263</v>
      </c>
      <c r="L11" s="53">
        <f t="shared" si="2"/>
        <v>0.46262156042195912</v>
      </c>
      <c r="O11" s="35">
        <f t="shared" si="3"/>
        <v>-0.37695085362644931</v>
      </c>
      <c r="P11" s="35">
        <f t="shared" si="4"/>
        <v>4.1642275898802886E-2</v>
      </c>
      <c r="R11" s="81"/>
      <c r="S11" s="81"/>
      <c r="T11" s="81"/>
      <c r="U11" s="81"/>
      <c r="V11" s="81"/>
    </row>
    <row r="12" spans="1:22" x14ac:dyDescent="0.25">
      <c r="A12" s="2" t="s">
        <v>9</v>
      </c>
      <c r="B12" s="7">
        <v>194158.36736218093</v>
      </c>
      <c r="C12" s="7">
        <v>93.74706153983584</v>
      </c>
      <c r="D12" s="47">
        <v>100000</v>
      </c>
      <c r="E12" s="47">
        <v>85</v>
      </c>
      <c r="F12" s="21">
        <v>201970.07964535401</v>
      </c>
      <c r="G12" s="21">
        <v>125.73</v>
      </c>
      <c r="H12" s="21"/>
      <c r="I12" s="21"/>
      <c r="K12" s="52">
        <f t="shared" si="1"/>
        <v>-0.48495652616680135</v>
      </c>
      <c r="L12" s="52">
        <f t="shared" si="2"/>
        <v>-9.3304914267835062E-2</v>
      </c>
      <c r="O12" s="35">
        <f t="shared" si="3"/>
        <v>4.0233714309109311E-2</v>
      </c>
      <c r="P12" s="35">
        <f t="shared" si="4"/>
        <v>0.34116203681300117</v>
      </c>
      <c r="R12" s="81"/>
      <c r="S12" s="81"/>
      <c r="T12" s="81"/>
      <c r="U12" s="81"/>
      <c r="V12" s="81"/>
    </row>
    <row r="13" spans="1:22" x14ac:dyDescent="0.25">
      <c r="A13" s="2" t="s">
        <v>10</v>
      </c>
      <c r="B13" s="7">
        <v>195423.31637225806</v>
      </c>
      <c r="C13" s="7">
        <v>95.877806442481031</v>
      </c>
      <c r="D13" s="46">
        <v>100000</v>
      </c>
      <c r="E13" s="46">
        <v>89</v>
      </c>
      <c r="F13" s="21">
        <v>148630.07964535445</v>
      </c>
      <c r="G13" s="21">
        <v>127</v>
      </c>
      <c r="H13" s="21"/>
      <c r="I13" s="21"/>
      <c r="K13" s="52">
        <f t="shared" si="1"/>
        <v>-0.48829033374138453</v>
      </c>
      <c r="L13" s="52">
        <f t="shared" si="2"/>
        <v>-7.1735125131457425E-2</v>
      </c>
      <c r="O13" s="35">
        <f t="shared" si="3"/>
        <v>-0.2394455154868424</v>
      </c>
      <c r="P13" s="35">
        <f t="shared" si="4"/>
        <v>0.3246026866101675</v>
      </c>
      <c r="R13" s="81"/>
      <c r="S13" s="81"/>
      <c r="T13" s="81"/>
      <c r="U13" s="81"/>
      <c r="V13" s="81"/>
    </row>
    <row r="14" spans="1:22" x14ac:dyDescent="0.25">
      <c r="A14" s="2" t="s">
        <v>11</v>
      </c>
      <c r="B14" s="7">
        <v>196055.79087729665</v>
      </c>
      <c r="C14" s="7">
        <v>96.943178893803648</v>
      </c>
      <c r="D14" s="20" t="s">
        <v>86</v>
      </c>
      <c r="E14" s="20" t="s">
        <v>86</v>
      </c>
      <c r="F14" s="21">
        <v>281312.05964535399</v>
      </c>
      <c r="G14" s="21">
        <v>274.32</v>
      </c>
      <c r="H14" s="37">
        <v>156100</v>
      </c>
      <c r="I14" s="38">
        <v>0</v>
      </c>
      <c r="K14" s="53"/>
      <c r="L14" s="53"/>
      <c r="M14" s="48">
        <f>(H14-B14)/B14</f>
        <v>-0.20379806532877856</v>
      </c>
      <c r="N14" s="48">
        <f>(I14-C14)/C14</f>
        <v>-1</v>
      </c>
      <c r="O14" s="36">
        <f t="shared" si="3"/>
        <v>0.43485718216513064</v>
      </c>
      <c r="P14" s="36">
        <f t="shared" si="4"/>
        <v>1.8296988311111986</v>
      </c>
      <c r="R14" s="81"/>
      <c r="S14" s="81"/>
      <c r="T14" s="81"/>
      <c r="U14" s="81"/>
      <c r="V14" s="81"/>
    </row>
    <row r="15" spans="1:22" x14ac:dyDescent="0.25">
      <c r="A15" s="2" t="s">
        <v>12</v>
      </c>
      <c r="B15" s="7">
        <v>199218.16340248962</v>
      </c>
      <c r="C15" s="7">
        <v>102.27004115041679</v>
      </c>
      <c r="D15" s="20" t="s">
        <v>86</v>
      </c>
      <c r="E15" s="20" t="s">
        <v>86</v>
      </c>
      <c r="F15" s="21">
        <v>281312.05964535446</v>
      </c>
      <c r="G15" s="21">
        <v>274.32</v>
      </c>
      <c r="H15" s="37">
        <v>149000</v>
      </c>
      <c r="I15" s="38">
        <v>0</v>
      </c>
      <c r="K15" s="53"/>
      <c r="L15" s="53"/>
      <c r="M15" s="48">
        <f t="shared" ref="M15:M17" si="8">(H15-B15)/B15</f>
        <v>-0.25207622911888589</v>
      </c>
      <c r="N15" s="48">
        <f t="shared" ref="N15:N17" si="9">(I15-C15)/C15</f>
        <v>-1</v>
      </c>
      <c r="O15" s="36">
        <f t="shared" si="3"/>
        <v>0.41208037882071408</v>
      </c>
      <c r="P15" s="36">
        <f t="shared" si="4"/>
        <v>1.6823104490251988</v>
      </c>
    </row>
    <row r="16" spans="1:22" x14ac:dyDescent="0.25">
      <c r="A16" s="2" t="s">
        <v>13</v>
      </c>
      <c r="B16" s="7">
        <v>201115.5869176054</v>
      </c>
      <c r="C16" s="7">
        <v>105.46615850438461</v>
      </c>
      <c r="D16" s="20" t="s">
        <v>86</v>
      </c>
      <c r="E16" s="20" t="s">
        <v>86</v>
      </c>
      <c r="F16" s="21">
        <v>281312.05964535446</v>
      </c>
      <c r="G16" s="21">
        <v>274.32</v>
      </c>
      <c r="H16" s="37">
        <v>149000</v>
      </c>
      <c r="I16" s="38">
        <v>0</v>
      </c>
      <c r="K16" s="53"/>
      <c r="L16" s="53"/>
      <c r="M16" s="48">
        <f t="shared" si="8"/>
        <v>-0.25913251039541019</v>
      </c>
      <c r="N16" s="48">
        <f t="shared" si="9"/>
        <v>-1</v>
      </c>
      <c r="O16" s="36">
        <f t="shared" si="3"/>
        <v>0.39875811694597585</v>
      </c>
      <c r="P16" s="36">
        <f t="shared" si="4"/>
        <v>1.6010239103247086</v>
      </c>
    </row>
    <row r="17" spans="1:16" x14ac:dyDescent="0.25">
      <c r="A17" s="2" t="s">
        <v>14</v>
      </c>
      <c r="B17" s="7">
        <v>206807.85746295273</v>
      </c>
      <c r="C17" s="7">
        <v>115.05451056628819</v>
      </c>
      <c r="D17" s="46">
        <f>E17*900</f>
        <v>107100</v>
      </c>
      <c r="E17" s="46">
        <v>119</v>
      </c>
      <c r="F17" s="20">
        <v>145836.07964535445</v>
      </c>
      <c r="G17" s="20">
        <v>107.95</v>
      </c>
      <c r="H17" s="37"/>
      <c r="I17" s="38"/>
      <c r="K17" s="53">
        <f t="shared" si="1"/>
        <v>-0.48212799400435863</v>
      </c>
      <c r="L17" s="53">
        <f t="shared" si="2"/>
        <v>3.4292349029103344E-2</v>
      </c>
      <c r="M17" s="48">
        <f t="shared" si="8"/>
        <v>-1</v>
      </c>
      <c r="N17" s="48">
        <f t="shared" si="9"/>
        <v>-1</v>
      </c>
      <c r="O17" s="35">
        <f t="shared" si="3"/>
        <v>-0.29482331360896519</v>
      </c>
      <c r="P17" s="35">
        <f t="shared" si="4"/>
        <v>-6.1749083380741941E-2</v>
      </c>
    </row>
    <row r="18" spans="1:16" x14ac:dyDescent="0.25">
      <c r="A18" s="2" t="s">
        <v>15</v>
      </c>
      <c r="B18" s="7">
        <v>208705.28097806845</v>
      </c>
      <c r="C18" s="7">
        <v>118.25062792025605</v>
      </c>
      <c r="D18" s="20" t="s">
        <v>86</v>
      </c>
      <c r="E18" s="20" t="s">
        <v>86</v>
      </c>
      <c r="F18" s="21">
        <v>180085.439645354</v>
      </c>
      <c r="G18" s="21">
        <v>162.56</v>
      </c>
      <c r="H18" s="37">
        <v>156100</v>
      </c>
      <c r="I18" s="38">
        <v>40</v>
      </c>
      <c r="K18" s="53"/>
      <c r="L18" s="53"/>
      <c r="O18" s="36">
        <f t="shared" si="3"/>
        <v>-0.13713041279354082</v>
      </c>
      <c r="P18" s="36">
        <f t="shared" si="4"/>
        <v>0.37470728789385027</v>
      </c>
    </row>
    <row r="19" spans="1:16" x14ac:dyDescent="0.25">
      <c r="A19" s="2" t="s">
        <v>16</v>
      </c>
      <c r="B19" s="7">
        <v>210602.70449318414</v>
      </c>
      <c r="C19" s="7">
        <v>121.44674527422396</v>
      </c>
      <c r="D19" s="46">
        <f t="shared" ref="D19" si="10">E19*900</f>
        <v>120600</v>
      </c>
      <c r="E19" s="46">
        <v>134</v>
      </c>
      <c r="F19" s="21">
        <v>265257.79914535442</v>
      </c>
      <c r="G19" s="21">
        <v>243.8527</v>
      </c>
      <c r="H19" s="21"/>
      <c r="I19" s="21"/>
      <c r="K19" s="53">
        <f t="shared" si="1"/>
        <v>-0.42735778113474771</v>
      </c>
      <c r="L19" s="53">
        <f t="shared" si="2"/>
        <v>0.10336427458332524</v>
      </c>
      <c r="O19" s="35">
        <f t="shared" si="3"/>
        <v>0.25951753460952881</v>
      </c>
      <c r="P19" s="35">
        <f t="shared" si="4"/>
        <v>1.0078981898558599</v>
      </c>
    </row>
    <row r="20" spans="1:16" ht="24" customHeight="1" x14ac:dyDescent="0.25">
      <c r="A20" s="2" t="s">
        <v>17</v>
      </c>
      <c r="B20" s="7">
        <v>211867.65350326127</v>
      </c>
      <c r="C20" s="7">
        <v>123.57749017686922</v>
      </c>
      <c r="D20" s="46">
        <v>115000</v>
      </c>
      <c r="E20" s="46">
        <v>93</v>
      </c>
      <c r="F20" s="21">
        <v>148236.37964535443</v>
      </c>
      <c r="G20" s="21">
        <v>105.41</v>
      </c>
      <c r="H20" s="21"/>
      <c r="I20" s="21"/>
      <c r="K20" s="51">
        <f t="shared" si="1"/>
        <v>-0.45720831803034151</v>
      </c>
      <c r="L20" s="51">
        <f t="shared" si="2"/>
        <v>-0.24743575980630009</v>
      </c>
      <c r="O20" s="35">
        <f t="shared" si="3"/>
        <v>-0.30033501011482794</v>
      </c>
      <c r="P20" s="35">
        <f t="shared" si="4"/>
        <v>-0.14701294022776445</v>
      </c>
    </row>
    <row r="21" spans="1:16" ht="32.1" customHeight="1" x14ac:dyDescent="0.25">
      <c r="A21" s="2" t="s">
        <v>18</v>
      </c>
      <c r="B21" s="7">
        <v>213132.60251333856</v>
      </c>
      <c r="C21" s="7">
        <v>125.7082350795144</v>
      </c>
      <c r="D21" s="46">
        <f>E21*900</f>
        <v>107100</v>
      </c>
      <c r="E21" s="46">
        <v>119</v>
      </c>
      <c r="F21" s="21">
        <v>145836.07964535445</v>
      </c>
      <c r="G21" s="21">
        <v>107.95</v>
      </c>
      <c r="H21" s="21"/>
      <c r="I21" s="21"/>
      <c r="K21" s="52">
        <f t="shared" si="1"/>
        <v>-0.4974959309977115</v>
      </c>
      <c r="L21" s="52">
        <f t="shared" si="2"/>
        <v>-5.3363529249068099E-2</v>
      </c>
      <c r="O21" s="35">
        <f t="shared" si="3"/>
        <v>-0.31574954781388953</v>
      </c>
      <c r="P21" s="35">
        <f t="shared" si="4"/>
        <v>-0.1412654872473689</v>
      </c>
    </row>
    <row r="22" spans="1:16" x14ac:dyDescent="0.25">
      <c r="A22" s="2" t="s">
        <v>19</v>
      </c>
      <c r="B22" s="7">
        <v>222623.07048010596</v>
      </c>
      <c r="C22" s="7">
        <v>141.69446541987716</v>
      </c>
      <c r="D22" s="20" t="s">
        <v>86</v>
      </c>
      <c r="E22" s="20" t="s">
        <v>86</v>
      </c>
      <c r="F22" s="21">
        <v>279759.76405759575</v>
      </c>
      <c r="G22" s="21">
        <v>302.39999999999998</v>
      </c>
      <c r="H22" s="21"/>
      <c r="I22" s="21"/>
      <c r="K22" s="53"/>
      <c r="L22" s="53"/>
      <c r="O22" s="36">
        <f t="shared" si="3"/>
        <v>0.25665216751466752</v>
      </c>
      <c r="P22" s="36">
        <f t="shared" si="4"/>
        <v>1.1341694547060182</v>
      </c>
    </row>
    <row r="23" spans="1:16" x14ac:dyDescent="0.25">
      <c r="A23" s="2" t="s">
        <v>20</v>
      </c>
      <c r="B23" s="7">
        <v>223798.64633575728</v>
      </c>
      <c r="C23" s="7">
        <v>143.67466560355808</v>
      </c>
      <c r="D23" s="20" t="s">
        <v>86</v>
      </c>
      <c r="E23" s="20" t="s">
        <v>86</v>
      </c>
      <c r="F23" s="21">
        <v>279759.76405759598</v>
      </c>
      <c r="G23" s="21">
        <v>302.39999999999998</v>
      </c>
      <c r="H23" s="21"/>
      <c r="I23" s="21"/>
      <c r="K23" s="53"/>
      <c r="L23" s="53"/>
      <c r="O23" s="36">
        <f t="shared" si="3"/>
        <v>0.25005118948700966</v>
      </c>
      <c r="P23" s="36">
        <f t="shared" si="4"/>
        <v>1.104755203220122</v>
      </c>
    </row>
    <row r="24" spans="1:16" x14ac:dyDescent="0.25">
      <c r="A24" s="2" t="s">
        <v>21</v>
      </c>
      <c r="B24" s="7">
        <v>237907.0260733921</v>
      </c>
      <c r="C24" s="7">
        <v>167.43954305795839</v>
      </c>
      <c r="D24" s="46">
        <f t="shared" ref="D24" si="11">E24*900</f>
        <v>162900</v>
      </c>
      <c r="E24" s="46">
        <v>181</v>
      </c>
      <c r="F24" s="21">
        <v>183826.85964535401</v>
      </c>
      <c r="G24" s="21">
        <v>144.90699999999998</v>
      </c>
      <c r="H24" s="21"/>
      <c r="I24" s="21"/>
      <c r="K24" s="53">
        <f t="shared" si="1"/>
        <v>-0.31527873435000248</v>
      </c>
      <c r="L24" s="53">
        <f t="shared" si="2"/>
        <v>8.0987183161075185E-2</v>
      </c>
      <c r="O24" s="35">
        <f t="shared" si="3"/>
        <v>-0.22731639044302485</v>
      </c>
      <c r="P24" s="35">
        <f t="shared" si="4"/>
        <v>-0.13457121684905027</v>
      </c>
    </row>
    <row r="25" spans="1:16" x14ac:dyDescent="0.25">
      <c r="A25" s="2" t="s">
        <v>22</v>
      </c>
      <c r="B25" s="7">
        <v>237907.0260733921</v>
      </c>
      <c r="C25" s="7">
        <v>167.43954305795839</v>
      </c>
      <c r="D25" s="46">
        <f t="shared" ref="D25:D26" si="12">E25*900</f>
        <v>162900</v>
      </c>
      <c r="E25" s="46">
        <v>181</v>
      </c>
      <c r="F25" s="21">
        <v>205933.85124535399</v>
      </c>
      <c r="G25" s="21">
        <v>175.5521</v>
      </c>
      <c r="H25" s="43"/>
      <c r="I25" s="43"/>
      <c r="K25" s="53">
        <f t="shared" si="1"/>
        <v>-0.31527873435000248</v>
      </c>
      <c r="L25" s="53">
        <f t="shared" si="2"/>
        <v>8.0987183161075185E-2</v>
      </c>
      <c r="O25" s="35">
        <f t="shared" si="3"/>
        <v>-0.13439357111788153</v>
      </c>
      <c r="P25" s="35">
        <f t="shared" si="4"/>
        <v>4.8450663408902667E-2</v>
      </c>
    </row>
    <row r="26" spans="1:16" x14ac:dyDescent="0.25">
      <c r="A26" s="2" t="s">
        <v>23</v>
      </c>
      <c r="B26" s="7">
        <v>237907.0260733921</v>
      </c>
      <c r="C26" s="7">
        <v>167.43954305795839</v>
      </c>
      <c r="D26" s="46">
        <f t="shared" si="12"/>
        <v>162900</v>
      </c>
      <c r="E26" s="46">
        <v>181</v>
      </c>
      <c r="F26" s="21">
        <v>265257.79914535442</v>
      </c>
      <c r="G26" s="21">
        <v>243.8527</v>
      </c>
      <c r="H26" s="43"/>
      <c r="I26" s="43"/>
      <c r="K26" s="53">
        <f t="shared" si="1"/>
        <v>-0.31527873435000248</v>
      </c>
      <c r="L26" s="53">
        <f t="shared" si="2"/>
        <v>8.0987183161075185E-2</v>
      </c>
      <c r="M26" s="39"/>
      <c r="N26" s="39"/>
      <c r="O26" s="35">
        <f t="shared" si="3"/>
        <v>0.11496412494990738</v>
      </c>
      <c r="P26" s="35">
        <f t="shared" si="4"/>
        <v>0.45636267005095427</v>
      </c>
    </row>
    <row r="27" spans="1:16" x14ac:dyDescent="0.25">
      <c r="A27" s="2" t="s">
        <v>24</v>
      </c>
      <c r="B27" s="7">
        <v>240111.27488683298</v>
      </c>
      <c r="C27" s="7">
        <v>171.15249265986702</v>
      </c>
      <c r="D27" s="20" t="s">
        <v>86</v>
      </c>
      <c r="E27" s="20" t="s">
        <v>86</v>
      </c>
      <c r="F27" s="21">
        <v>245923.50964535444</v>
      </c>
      <c r="G27" s="21">
        <v>236.22</v>
      </c>
      <c r="H27" s="43"/>
      <c r="I27" s="43"/>
      <c r="K27" s="53"/>
      <c r="L27" s="53"/>
      <c r="M27" s="39"/>
      <c r="N27" s="39"/>
      <c r="O27" s="36">
        <f t="shared" si="3"/>
        <v>2.4206421632057169E-2</v>
      </c>
      <c r="P27" s="36">
        <f t="shared" si="4"/>
        <v>0.38017271223412591</v>
      </c>
    </row>
    <row r="28" spans="1:16" x14ac:dyDescent="0.25">
      <c r="A28" s="2" t="s">
        <v>25</v>
      </c>
      <c r="B28" s="7">
        <v>241580.77409579352</v>
      </c>
      <c r="C28" s="7">
        <v>173.62779239447275</v>
      </c>
      <c r="D28" s="20" t="s">
        <v>86</v>
      </c>
      <c r="E28" s="20" t="s">
        <v>86</v>
      </c>
      <c r="F28" s="21">
        <v>206796.07964535401</v>
      </c>
      <c r="G28" s="21">
        <v>219.1657142857143</v>
      </c>
      <c r="H28" s="44">
        <v>184000</v>
      </c>
      <c r="I28" s="45">
        <v>60</v>
      </c>
      <c r="K28" s="53"/>
      <c r="L28" s="53"/>
      <c r="M28" s="48">
        <f>(H28-B28)/B28</f>
        <v>-0.23834998588489137</v>
      </c>
      <c r="N28" s="48">
        <f>(I28-C28)/C28</f>
        <v>-0.65443320350647949</v>
      </c>
      <c r="O28" s="35">
        <f t="shared" si="3"/>
        <v>-0.14398784249547278</v>
      </c>
      <c r="P28" s="35">
        <f t="shared" si="4"/>
        <v>0.26227322978214174</v>
      </c>
    </row>
    <row r="29" spans="1:16" x14ac:dyDescent="0.25">
      <c r="A29" s="2" t="s">
        <v>26</v>
      </c>
      <c r="B29" s="7">
        <v>247091.39612939535</v>
      </c>
      <c r="C29" s="7">
        <v>182.91016639924416</v>
      </c>
      <c r="D29" s="20" t="s">
        <v>86</v>
      </c>
      <c r="E29" s="20" t="s">
        <v>86</v>
      </c>
      <c r="F29" s="21">
        <v>245923.50964535444</v>
      </c>
      <c r="G29" s="21">
        <v>236.22</v>
      </c>
      <c r="H29" s="43"/>
      <c r="I29" s="43"/>
      <c r="K29" s="53"/>
      <c r="L29" s="53"/>
      <c r="M29" s="39"/>
      <c r="N29" s="39"/>
      <c r="O29" s="36">
        <f t="shared" si="3"/>
        <v>-4.7265364247216285E-3</v>
      </c>
      <c r="P29" s="36">
        <f t="shared" si="4"/>
        <v>0.29145363896501342</v>
      </c>
    </row>
    <row r="30" spans="1:16" x14ac:dyDescent="0.25">
      <c r="A30" s="2" t="s">
        <v>27</v>
      </c>
      <c r="B30" s="7">
        <v>248928.27014059594</v>
      </c>
      <c r="C30" s="7">
        <v>186.0042910675013</v>
      </c>
      <c r="D30" s="20" t="s">
        <v>86</v>
      </c>
      <c r="E30" s="20" t="s">
        <v>86</v>
      </c>
      <c r="F30" s="21">
        <v>281980.07964535401</v>
      </c>
      <c r="G30" s="21">
        <v>304.8</v>
      </c>
      <c r="H30" s="43"/>
      <c r="I30" s="43"/>
      <c r="K30" s="53"/>
      <c r="L30" s="53"/>
      <c r="M30" s="39"/>
      <c r="N30" s="39"/>
      <c r="O30" s="36">
        <f t="shared" si="3"/>
        <v>0.13277643992018362</v>
      </c>
      <c r="P30" s="36">
        <f t="shared" si="4"/>
        <v>0.63867187284075899</v>
      </c>
    </row>
    <row r="31" spans="1:16" x14ac:dyDescent="0.25">
      <c r="A31" s="2" t="s">
        <v>28</v>
      </c>
      <c r="B31" s="7">
        <v>248928.27014059594</v>
      </c>
      <c r="C31" s="7">
        <v>186.0042910675013</v>
      </c>
      <c r="D31" s="20" t="s">
        <v>86</v>
      </c>
      <c r="E31" s="20" t="s">
        <v>86</v>
      </c>
      <c r="F31" s="21">
        <v>281980.07964535442</v>
      </c>
      <c r="G31" s="21">
        <v>304.8</v>
      </c>
      <c r="H31" s="44">
        <v>190000</v>
      </c>
      <c r="I31" s="45">
        <v>65</v>
      </c>
      <c r="K31" s="53"/>
      <c r="L31" s="53"/>
      <c r="M31" s="48">
        <f>(H31-B31)/B31</f>
        <v>-0.23672791405858787</v>
      </c>
      <c r="N31" s="48">
        <f>(I31-C31)/C31</f>
        <v>-0.6505456964086308</v>
      </c>
      <c r="O31" s="35">
        <f t="shared" si="3"/>
        <v>0.13277643992018526</v>
      </c>
      <c r="P31" s="35">
        <f t="shared" si="4"/>
        <v>0.63867187284075899</v>
      </c>
    </row>
    <row r="32" spans="1:16" x14ac:dyDescent="0.25">
      <c r="A32" s="2" t="s">
        <v>29</v>
      </c>
      <c r="B32" s="7">
        <v>250397.76934955647</v>
      </c>
      <c r="C32" s="7">
        <v>188.47959080210714</v>
      </c>
      <c r="D32" s="46">
        <f>E32*900</f>
        <v>197100</v>
      </c>
      <c r="E32" s="46">
        <v>219</v>
      </c>
      <c r="F32" s="21">
        <v>326466.02064535441</v>
      </c>
      <c r="G32" s="21">
        <v>314.1472</v>
      </c>
      <c r="H32" s="43"/>
      <c r="I32" s="43"/>
      <c r="K32" s="53">
        <f t="shared" si="1"/>
        <v>-0.21285241273516511</v>
      </c>
      <c r="L32" s="53">
        <f t="shared" si="2"/>
        <v>0.16192951750376811</v>
      </c>
      <c r="O32" s="35">
        <f t="shared" si="3"/>
        <v>0.30378965233354893</v>
      </c>
      <c r="P32" s="35">
        <f t="shared" si="4"/>
        <v>0.66674385626100341</v>
      </c>
    </row>
    <row r="33" spans="1:16" x14ac:dyDescent="0.25">
      <c r="A33" s="2" t="s">
        <v>30</v>
      </c>
      <c r="B33" s="7">
        <v>252602.01816299726</v>
      </c>
      <c r="C33" s="7">
        <v>192.19254040401569</v>
      </c>
      <c r="D33" s="20" t="s">
        <v>86</v>
      </c>
      <c r="E33" s="20" t="s">
        <v>86</v>
      </c>
      <c r="F33" s="21">
        <v>249796.320820872</v>
      </c>
      <c r="G33" s="21">
        <v>239.94</v>
      </c>
      <c r="H33" s="43"/>
      <c r="I33" s="43"/>
      <c r="K33" s="53"/>
      <c r="L33" s="53"/>
      <c r="O33" s="36">
        <f t="shared" si="3"/>
        <v>-1.1107184980267346E-2</v>
      </c>
      <c r="P33" s="36">
        <f t="shared" si="4"/>
        <v>0.24843555059739805</v>
      </c>
    </row>
    <row r="34" spans="1:16" x14ac:dyDescent="0.25">
      <c r="A34" s="2" t="s">
        <v>31</v>
      </c>
      <c r="B34" s="7">
        <v>255541.01658091822</v>
      </c>
      <c r="C34" s="7">
        <v>197.14313987322714</v>
      </c>
      <c r="D34" s="20" t="s">
        <v>86</v>
      </c>
      <c r="E34" s="20" t="s">
        <v>86</v>
      </c>
      <c r="F34" s="21">
        <v>302773.78964535444</v>
      </c>
      <c r="G34" s="21">
        <v>298.45</v>
      </c>
      <c r="H34" s="21"/>
      <c r="I34" s="21"/>
      <c r="K34" s="53"/>
      <c r="L34" s="53"/>
      <c r="O34" s="36">
        <f t="shared" si="3"/>
        <v>0.18483441013266746</v>
      </c>
      <c r="P34" s="36">
        <f t="shared" si="4"/>
        <v>0.51387464048669507</v>
      </c>
    </row>
    <row r="35" spans="1:16" ht="24.6" customHeight="1" x14ac:dyDescent="0.25">
      <c r="A35" s="2" t="s">
        <v>32</v>
      </c>
      <c r="B35" s="7">
        <v>259949.51420779972</v>
      </c>
      <c r="C35" s="7">
        <v>204.56903907704418</v>
      </c>
      <c r="D35" s="46">
        <f t="shared" ref="D35" si="13">E35*900</f>
        <v>157500</v>
      </c>
      <c r="E35" s="46">
        <v>175</v>
      </c>
      <c r="F35" s="21">
        <v>379571.47061676794</v>
      </c>
      <c r="G35" s="21">
        <v>295.16208</v>
      </c>
      <c r="H35" s="21"/>
      <c r="I35" s="21"/>
      <c r="K35" s="52">
        <f t="shared" si="1"/>
        <v>-0.39411312046501124</v>
      </c>
      <c r="L35" s="52">
        <f t="shared" si="2"/>
        <v>-0.14454308047029529</v>
      </c>
      <c r="O35" s="35">
        <f t="shared" si="3"/>
        <v>0.4601738024920648</v>
      </c>
      <c r="P35" s="35">
        <f t="shared" si="4"/>
        <v>0.44284824982160148</v>
      </c>
    </row>
    <row r="36" spans="1:16" x14ac:dyDescent="0.25">
      <c r="A36" s="2" t="s">
        <v>33</v>
      </c>
      <c r="B36" s="7">
        <v>274644.50629740465</v>
      </c>
      <c r="C36" s="7">
        <v>229.32203642310137</v>
      </c>
      <c r="D36" s="20" t="s">
        <v>86</v>
      </c>
      <c r="E36" s="20" t="s">
        <v>86</v>
      </c>
      <c r="F36" s="21">
        <v>298005.69846983702</v>
      </c>
      <c r="G36" s="21">
        <v>293.75</v>
      </c>
      <c r="H36" s="21"/>
      <c r="I36" s="21"/>
      <c r="K36" s="53"/>
      <c r="L36" s="53"/>
      <c r="O36" s="36">
        <f t="shared" si="3"/>
        <v>8.5059746824628676E-2</v>
      </c>
      <c r="P36" s="36">
        <f t="shared" si="4"/>
        <v>0.28094972721255806</v>
      </c>
    </row>
    <row r="37" spans="1:16" x14ac:dyDescent="0.25">
      <c r="A37" s="2" t="s">
        <v>34</v>
      </c>
      <c r="B37" s="7">
        <v>280155.12833100645</v>
      </c>
      <c r="C37" s="7">
        <v>238.60441042787295</v>
      </c>
      <c r="D37" s="20" t="s">
        <v>86</v>
      </c>
      <c r="E37" s="20" t="s">
        <v>86</v>
      </c>
      <c r="F37" s="21">
        <v>298005.69846983702</v>
      </c>
      <c r="G37" s="21">
        <v>293.75</v>
      </c>
      <c r="H37" s="21"/>
      <c r="I37" s="21"/>
      <c r="K37" s="53"/>
      <c r="L37" s="53"/>
      <c r="O37" s="36">
        <f t="shared" si="3"/>
        <v>6.3716735242982686E-2</v>
      </c>
      <c r="P37" s="36">
        <f t="shared" si="4"/>
        <v>0.23111722651412117</v>
      </c>
    </row>
    <row r="38" spans="1:16" x14ac:dyDescent="0.25">
      <c r="A38" s="2" t="s">
        <v>35</v>
      </c>
      <c r="B38" s="7">
        <v>901105.14931776666</v>
      </c>
      <c r="C38" s="7">
        <v>1058.2083957661212</v>
      </c>
      <c r="D38" s="46">
        <f t="shared" ref="D38" si="14">E38*900</f>
        <v>478800</v>
      </c>
      <c r="E38" s="46">
        <v>532</v>
      </c>
      <c r="F38" s="21">
        <v>0</v>
      </c>
      <c r="G38" s="21">
        <v>0</v>
      </c>
      <c r="H38" s="21"/>
      <c r="I38" s="21"/>
      <c r="K38" s="52">
        <f t="shared" si="1"/>
        <v>-0.46865246485107426</v>
      </c>
      <c r="L38" s="52">
        <f t="shared" si="2"/>
        <v>-0.49726348597447773</v>
      </c>
      <c r="O38" s="27" t="s">
        <v>86</v>
      </c>
      <c r="P38" s="27" t="s">
        <v>86</v>
      </c>
    </row>
    <row r="39" spans="1:16" x14ac:dyDescent="0.25">
      <c r="A39" s="2" t="s">
        <v>36</v>
      </c>
      <c r="B39" s="7">
        <v>402554.1274616181</v>
      </c>
      <c r="C39" s="7">
        <v>472.7374577236709</v>
      </c>
      <c r="D39" s="46">
        <f t="shared" si="6"/>
        <v>390600</v>
      </c>
      <c r="E39" s="46">
        <v>434</v>
      </c>
      <c r="F39" s="21">
        <v>720203.77346983703</v>
      </c>
      <c r="G39" s="21">
        <v>600.90000000000009</v>
      </c>
      <c r="H39" s="21"/>
      <c r="I39" s="21"/>
      <c r="K39" s="53">
        <f t="shared" si="1"/>
        <v>-2.9695702133268727E-2</v>
      </c>
      <c r="L39" s="53">
        <f t="shared" si="2"/>
        <v>-8.1942856633785296E-2</v>
      </c>
      <c r="O39" s="35">
        <f t="shared" si="3"/>
        <v>0.78908555232365751</v>
      </c>
      <c r="P39" s="35">
        <f t="shared" si="4"/>
        <v>0.27110722914460483</v>
      </c>
    </row>
    <row r="40" spans="1:16" x14ac:dyDescent="0.25">
      <c r="A40" s="2" t="s">
        <v>37</v>
      </c>
      <c r="B40" s="7">
        <v>311997.93764683476</v>
      </c>
      <c r="C40" s="7">
        <v>366.39324204235362</v>
      </c>
      <c r="D40" s="46">
        <f t="shared" si="6"/>
        <v>220500</v>
      </c>
      <c r="E40" s="46">
        <v>245</v>
      </c>
      <c r="F40" s="21">
        <v>536596.08596983703</v>
      </c>
      <c r="G40" s="21">
        <v>435.65</v>
      </c>
      <c r="H40" s="21"/>
      <c r="I40" s="21"/>
      <c r="K40" s="52">
        <f t="shared" si="1"/>
        <v>-0.29326455917284172</v>
      </c>
      <c r="L40" s="52">
        <f t="shared" si="2"/>
        <v>-0.3313195444481507</v>
      </c>
      <c r="O40" s="35">
        <f t="shared" si="3"/>
        <v>0.71987061843093192</v>
      </c>
      <c r="P40" s="35">
        <f t="shared" si="4"/>
        <v>0.18902302229046175</v>
      </c>
    </row>
    <row r="41" spans="1:16" x14ac:dyDescent="0.25">
      <c r="A41" s="2" t="s">
        <v>38</v>
      </c>
      <c r="B41" s="7">
        <v>519053.41286221845</v>
      </c>
      <c r="C41" s="7">
        <v>609.54781998273177</v>
      </c>
      <c r="D41" s="46">
        <f t="shared" si="6"/>
        <v>267300</v>
      </c>
      <c r="E41" s="46">
        <v>297</v>
      </c>
      <c r="F41" s="21">
        <v>0</v>
      </c>
      <c r="G41" s="21">
        <v>0</v>
      </c>
      <c r="H41" s="21"/>
      <c r="I41" s="21"/>
      <c r="K41" s="52">
        <f t="shared" si="1"/>
        <v>-0.48502409698834947</v>
      </c>
      <c r="L41" s="52">
        <f t="shared" si="2"/>
        <v>-0.51275356868897692</v>
      </c>
      <c r="O41" s="27" t="s">
        <v>86</v>
      </c>
      <c r="P41" s="27" t="s">
        <v>86</v>
      </c>
    </row>
    <row r="42" spans="1:16" x14ac:dyDescent="0.25">
      <c r="A42" s="2" t="s">
        <v>39</v>
      </c>
      <c r="B42" s="7">
        <v>218686.13405221078</v>
      </c>
      <c r="C42" s="7">
        <v>256.81298488516171</v>
      </c>
      <c r="D42" s="46">
        <f t="shared" si="6"/>
        <v>157500</v>
      </c>
      <c r="E42" s="46">
        <v>175</v>
      </c>
      <c r="F42" s="21">
        <v>536596.08596983703</v>
      </c>
      <c r="G42" s="21">
        <v>435.65</v>
      </c>
      <c r="H42" s="21"/>
      <c r="I42" s="21"/>
      <c r="K42" s="52">
        <f t="shared" si="1"/>
        <v>-0.27978972840410055</v>
      </c>
      <c r="L42" s="52">
        <f t="shared" si="2"/>
        <v>-0.31857028149003358</v>
      </c>
      <c r="O42" s="35">
        <f t="shared" si="3"/>
        <v>1.4537270654833838</v>
      </c>
      <c r="P42" s="35">
        <f t="shared" si="4"/>
        <v>0.69637061067923911</v>
      </c>
    </row>
    <row r="43" spans="1:16" x14ac:dyDescent="0.25">
      <c r="A43" s="2" t="s">
        <v>40</v>
      </c>
      <c r="B43" s="7">
        <v>402554.1274616181</v>
      </c>
      <c r="C43" s="7">
        <v>472.7374577236709</v>
      </c>
      <c r="D43" s="46">
        <f t="shared" si="6"/>
        <v>202500</v>
      </c>
      <c r="E43" s="46">
        <v>225</v>
      </c>
      <c r="F43" s="21">
        <v>0</v>
      </c>
      <c r="G43" s="21">
        <v>0</v>
      </c>
      <c r="H43" s="21"/>
      <c r="I43" s="21"/>
      <c r="K43" s="52">
        <f t="shared" si="1"/>
        <v>-0.49696205755757017</v>
      </c>
      <c r="L43" s="52">
        <f t="shared" si="2"/>
        <v>-0.52404871599677805</v>
      </c>
      <c r="O43" s="27" t="s">
        <v>86</v>
      </c>
      <c r="P43" s="27" t="s">
        <v>86</v>
      </c>
    </row>
    <row r="44" spans="1:16" x14ac:dyDescent="0.25">
      <c r="A44" s="2" t="s">
        <v>41</v>
      </c>
      <c r="B44" s="7">
        <v>402554.1274616181</v>
      </c>
      <c r="C44" s="7">
        <v>472.7374577236709</v>
      </c>
      <c r="D44" s="46">
        <f t="shared" si="6"/>
        <v>202500</v>
      </c>
      <c r="E44" s="46">
        <v>225</v>
      </c>
      <c r="F44" s="21">
        <v>536596.08596983703</v>
      </c>
      <c r="G44" s="21">
        <v>435.65</v>
      </c>
      <c r="H44" s="21"/>
      <c r="I44" s="21"/>
      <c r="K44" s="52">
        <f t="shared" si="1"/>
        <v>-0.49696205755757017</v>
      </c>
      <c r="L44" s="52">
        <f t="shared" si="2"/>
        <v>-0.52404871599677805</v>
      </c>
      <c r="O44" s="35">
        <f t="shared" si="3"/>
        <v>0.3329787210317432</v>
      </c>
      <c r="P44" s="35">
        <f t="shared" si="4"/>
        <v>-7.8452547217761709E-2</v>
      </c>
    </row>
    <row r="45" spans="1:16" x14ac:dyDescent="0.25">
      <c r="A45" s="2" t="s">
        <v>42</v>
      </c>
      <c r="B45" s="7">
        <v>632525.55571052572</v>
      </c>
      <c r="C45" s="7">
        <v>742.80327228878343</v>
      </c>
      <c r="D45" s="46">
        <f t="shared" si="6"/>
        <v>267300</v>
      </c>
      <c r="E45" s="46">
        <v>297</v>
      </c>
      <c r="F45" s="21">
        <v>0</v>
      </c>
      <c r="G45" s="21">
        <v>0</v>
      </c>
      <c r="H45" s="21"/>
      <c r="I45" s="21"/>
      <c r="K45" s="52">
        <f t="shared" si="1"/>
        <v>-0.57740837886030105</v>
      </c>
      <c r="L45" s="52">
        <f t="shared" si="2"/>
        <v>-0.60016331230628484</v>
      </c>
      <c r="O45" s="27" t="s">
        <v>86</v>
      </c>
      <c r="P45" s="27" t="s">
        <v>86</v>
      </c>
    </row>
    <row r="46" spans="1:16" x14ac:dyDescent="0.25">
      <c r="A46" s="2" t="s">
        <v>43</v>
      </c>
      <c r="B46" s="7">
        <v>365967.64167639712</v>
      </c>
      <c r="C46" s="7">
        <v>429.77229826496506</v>
      </c>
      <c r="D46" s="46">
        <f t="shared" si="6"/>
        <v>444600</v>
      </c>
      <c r="E46" s="46">
        <v>494</v>
      </c>
      <c r="F46" s="21">
        <v>702918.8829065609</v>
      </c>
      <c r="G46" s="21">
        <v>586.47839999999997</v>
      </c>
      <c r="H46" s="21"/>
      <c r="I46" s="21"/>
      <c r="K46" s="53">
        <f t="shared" si="1"/>
        <v>0.21486150514130067</v>
      </c>
      <c r="L46" s="53">
        <f t="shared" si="2"/>
        <v>0.14944588563369202</v>
      </c>
      <c r="O46" s="35">
        <f t="shared" si="3"/>
        <v>0.92071320755759389</v>
      </c>
      <c r="P46" s="35">
        <f t="shared" si="4"/>
        <v>0.36462587832597293</v>
      </c>
    </row>
    <row r="47" spans="1:16" x14ac:dyDescent="0.25">
      <c r="A47" s="2" t="s">
        <v>44</v>
      </c>
      <c r="B47" s="7">
        <v>516598.90029539471</v>
      </c>
      <c r="C47" s="7">
        <v>606.66537523397722</v>
      </c>
      <c r="D47" s="46">
        <f t="shared" si="6"/>
        <v>444600</v>
      </c>
      <c r="E47" s="46">
        <v>494</v>
      </c>
      <c r="F47" s="21">
        <v>702918.8829065609</v>
      </c>
      <c r="G47" s="21">
        <v>586.47839999999997</v>
      </c>
      <c r="H47" s="21"/>
      <c r="I47" s="21"/>
      <c r="K47" s="52">
        <f t="shared" si="1"/>
        <v>-0.13937099024838276</v>
      </c>
      <c r="L47" s="52">
        <f t="shared" si="2"/>
        <v>-0.18571255231193096</v>
      </c>
      <c r="O47" s="35">
        <f t="shared" si="3"/>
        <v>0.36066662647680275</v>
      </c>
      <c r="P47" s="35">
        <f t="shared" si="4"/>
        <v>-3.3275304736472867E-2</v>
      </c>
    </row>
    <row r="48" spans="1:16" x14ac:dyDescent="0.25">
      <c r="A48" s="2" t="s">
        <v>45</v>
      </c>
      <c r="B48" s="7">
        <v>516598.90029539471</v>
      </c>
      <c r="C48" s="7">
        <v>606.66537523397722</v>
      </c>
      <c r="D48" s="46">
        <f t="shared" si="6"/>
        <v>444600</v>
      </c>
      <c r="E48" s="46">
        <v>494</v>
      </c>
      <c r="F48" s="21">
        <v>0</v>
      </c>
      <c r="G48" s="21">
        <v>0</v>
      </c>
      <c r="H48" s="21"/>
      <c r="I48" s="21"/>
      <c r="K48" s="52">
        <f t="shared" si="1"/>
        <v>-0.13937099024838276</v>
      </c>
      <c r="L48" s="52">
        <f t="shared" si="2"/>
        <v>-0.18571255231193096</v>
      </c>
      <c r="O48" s="27" t="s">
        <v>86</v>
      </c>
      <c r="P48" s="27" t="s">
        <v>86</v>
      </c>
    </row>
    <row r="49" spans="1:16" x14ac:dyDescent="0.25">
      <c r="A49" s="2" t="s">
        <v>46</v>
      </c>
      <c r="B49" s="7">
        <v>382259.36802355276</v>
      </c>
      <c r="C49" s="7">
        <v>448.90440689306098</v>
      </c>
      <c r="D49" s="46">
        <f t="shared" si="6"/>
        <v>390600</v>
      </c>
      <c r="E49" s="46">
        <v>434</v>
      </c>
      <c r="F49" s="21">
        <v>0</v>
      </c>
      <c r="G49" s="21">
        <v>0</v>
      </c>
      <c r="H49" s="21"/>
      <c r="I49" s="21"/>
      <c r="K49" s="52">
        <f t="shared" si="1"/>
        <v>2.1819300386467802E-2</v>
      </c>
      <c r="L49" s="52">
        <f t="shared" si="2"/>
        <v>-3.3201738865111075E-2</v>
      </c>
      <c r="O49" s="27" t="s">
        <v>86</v>
      </c>
      <c r="P49" s="27" t="s">
        <v>86</v>
      </c>
    </row>
    <row r="50" spans="1:16" x14ac:dyDescent="0.25">
      <c r="A50" s="2" t="s">
        <v>47</v>
      </c>
      <c r="B50" s="7">
        <v>402554.1274616181</v>
      </c>
      <c r="C50" s="7">
        <v>472.7374577236709</v>
      </c>
      <c r="D50" s="46">
        <f t="shared" si="6"/>
        <v>390600</v>
      </c>
      <c r="E50" s="46">
        <v>434</v>
      </c>
      <c r="F50" s="21">
        <v>708680.51309431961</v>
      </c>
      <c r="G50" s="21">
        <v>591.28560000000004</v>
      </c>
      <c r="H50" s="21"/>
      <c r="I50" s="21"/>
      <c r="K50" s="52">
        <f t="shared" si="1"/>
        <v>-2.9695702133268727E-2</v>
      </c>
      <c r="L50" s="52">
        <f t="shared" si="2"/>
        <v>-8.1942856633785296E-2</v>
      </c>
      <c r="O50" s="35">
        <f t="shared" si="3"/>
        <v>0.76046018348647892</v>
      </c>
      <c r="P50" s="35">
        <f t="shared" si="4"/>
        <v>0.25076951347829107</v>
      </c>
    </row>
    <row r="51" spans="1:16" x14ac:dyDescent="0.25">
      <c r="A51" s="2" t="s">
        <v>48</v>
      </c>
      <c r="B51" s="7">
        <v>632525.55571052572</v>
      </c>
      <c r="C51" s="7">
        <v>742.80327228878343</v>
      </c>
      <c r="D51" s="46">
        <f t="shared" si="6"/>
        <v>355500</v>
      </c>
      <c r="E51" s="46">
        <v>395</v>
      </c>
      <c r="F51" s="21">
        <v>0</v>
      </c>
      <c r="G51" s="21">
        <v>0</v>
      </c>
      <c r="H51" s="21"/>
      <c r="I51" s="21"/>
      <c r="K51" s="52">
        <f t="shared" si="1"/>
        <v>-0.43796737255831292</v>
      </c>
      <c r="L51" s="52">
        <f t="shared" si="2"/>
        <v>-0.46823066788209594</v>
      </c>
      <c r="O51" s="27" t="s">
        <v>86</v>
      </c>
      <c r="P51" s="27" t="s">
        <v>86</v>
      </c>
    </row>
    <row r="52" spans="1:16" x14ac:dyDescent="0.25">
      <c r="A52" s="2" t="s">
        <v>49</v>
      </c>
      <c r="B52" s="7">
        <v>591949.47885283246</v>
      </c>
      <c r="C52" s="7">
        <v>695.15295619573828</v>
      </c>
      <c r="D52" s="46">
        <f t="shared" si="6"/>
        <v>282600</v>
      </c>
      <c r="E52" s="46">
        <v>314</v>
      </c>
      <c r="F52" s="21">
        <v>0</v>
      </c>
      <c r="G52" s="21">
        <v>0</v>
      </c>
      <c r="H52" s="21"/>
      <c r="I52" s="21"/>
      <c r="K52" s="52">
        <f t="shared" si="1"/>
        <v>-0.52259439344779179</v>
      </c>
      <c r="L52" s="52">
        <f t="shared" si="2"/>
        <v>-0.54830084918521849</v>
      </c>
      <c r="O52" s="27" t="s">
        <v>86</v>
      </c>
      <c r="P52" s="27" t="s">
        <v>86</v>
      </c>
    </row>
    <row r="53" spans="1:16" x14ac:dyDescent="0.25">
      <c r="A53" s="2" t="s">
        <v>50</v>
      </c>
      <c r="B53" s="7">
        <v>218686.13405221078</v>
      </c>
      <c r="C53" s="7">
        <v>256.81298488516171</v>
      </c>
      <c r="D53" s="46">
        <f t="shared" si="6"/>
        <v>157500</v>
      </c>
      <c r="E53" s="46">
        <v>175</v>
      </c>
      <c r="F53" s="21">
        <v>380189.66519431968</v>
      </c>
      <c r="G53" s="21">
        <v>295.64280000000002</v>
      </c>
      <c r="H53" s="21"/>
      <c r="I53" s="21"/>
      <c r="K53" s="52">
        <f t="shared" si="1"/>
        <v>-0.27978972840410055</v>
      </c>
      <c r="L53" s="52">
        <f t="shared" si="2"/>
        <v>-0.31857028149003358</v>
      </c>
      <c r="O53" s="35">
        <f t="shared" si="3"/>
        <v>0.73851747319082572</v>
      </c>
      <c r="P53" s="35">
        <f t="shared" si="4"/>
        <v>0.15119879990570462</v>
      </c>
    </row>
    <row r="54" spans="1:16" x14ac:dyDescent="0.25">
      <c r="A54" s="2" t="s">
        <v>51</v>
      </c>
      <c r="B54" s="7">
        <v>402554.1274616181</v>
      </c>
      <c r="C54" s="7">
        <v>472.7374577236709</v>
      </c>
      <c r="D54" s="46">
        <f t="shared" si="6"/>
        <v>220500</v>
      </c>
      <c r="E54" s="46">
        <v>245</v>
      </c>
      <c r="F54" s="21">
        <v>708680.51309431961</v>
      </c>
      <c r="G54" s="21">
        <v>591.28560000000004</v>
      </c>
      <c r="H54" s="21"/>
      <c r="I54" s="21"/>
      <c r="K54" s="52">
        <f t="shared" si="1"/>
        <v>-0.45224757378490976</v>
      </c>
      <c r="L54" s="52">
        <f t="shared" si="2"/>
        <v>-0.48174193519649172</v>
      </c>
      <c r="O54" s="35">
        <f t="shared" si="3"/>
        <v>0.76046018348647892</v>
      </c>
      <c r="P54" s="35">
        <f t="shared" si="4"/>
        <v>0.25076951347829107</v>
      </c>
    </row>
    <row r="55" spans="1:16" x14ac:dyDescent="0.25">
      <c r="A55" s="2" t="s">
        <v>52</v>
      </c>
      <c r="B55" s="7">
        <v>342621.54405284941</v>
      </c>
      <c r="C55" s="7">
        <v>402.35592345863063</v>
      </c>
      <c r="D55" s="46">
        <f t="shared" si="6"/>
        <v>202500</v>
      </c>
      <c r="E55" s="46">
        <v>225</v>
      </c>
      <c r="F55" s="21">
        <v>0</v>
      </c>
      <c r="G55" s="21">
        <v>0</v>
      </c>
      <c r="H55" s="21"/>
      <c r="I55" s="21"/>
      <c r="K55" s="52">
        <f t="shared" si="1"/>
        <v>-0.40896886516638792</v>
      </c>
      <c r="L55" s="52">
        <f t="shared" si="2"/>
        <v>-0.44079361858050531</v>
      </c>
      <c r="O55" s="27" t="s">
        <v>86</v>
      </c>
      <c r="P55" s="27" t="s">
        <v>86</v>
      </c>
    </row>
    <row r="56" spans="1:16" x14ac:dyDescent="0.25">
      <c r="A56" s="2" t="s">
        <v>53</v>
      </c>
      <c r="B56" s="7">
        <v>632525.55571052572</v>
      </c>
      <c r="C56" s="7">
        <v>742.80327228878343</v>
      </c>
      <c r="D56" s="46">
        <f t="shared" si="6"/>
        <v>341100</v>
      </c>
      <c r="E56" s="46">
        <v>379</v>
      </c>
      <c r="F56" s="21">
        <v>0</v>
      </c>
      <c r="G56" s="21">
        <v>0</v>
      </c>
      <c r="H56" s="21"/>
      <c r="I56" s="21"/>
      <c r="K56" s="52">
        <f t="shared" si="1"/>
        <v>-0.46073325113822933</v>
      </c>
      <c r="L56" s="52">
        <f t="shared" si="2"/>
        <v>-0.48977069146155533</v>
      </c>
      <c r="O56" s="27" t="s">
        <v>86</v>
      </c>
      <c r="P56" s="27" t="s">
        <v>86</v>
      </c>
    </row>
    <row r="57" spans="1:16" x14ac:dyDescent="0.25">
      <c r="A57" s="2" t="s">
        <v>54</v>
      </c>
      <c r="B57" s="7">
        <v>632525.55571052572</v>
      </c>
      <c r="C57" s="7">
        <v>742.80327228878343</v>
      </c>
      <c r="D57" s="46">
        <f t="shared" si="6"/>
        <v>341100</v>
      </c>
      <c r="E57" s="46">
        <v>379</v>
      </c>
      <c r="F57" s="21">
        <v>0</v>
      </c>
      <c r="G57" s="21">
        <v>0</v>
      </c>
      <c r="H57" s="21"/>
      <c r="I57" s="21"/>
      <c r="K57" s="52">
        <f t="shared" si="1"/>
        <v>-0.46073325113822933</v>
      </c>
      <c r="L57" s="52">
        <f t="shared" si="2"/>
        <v>-0.48977069146155533</v>
      </c>
      <c r="O57" s="27" t="s">
        <v>86</v>
      </c>
      <c r="P57" s="27" t="s">
        <v>86</v>
      </c>
    </row>
    <row r="58" spans="1:16" x14ac:dyDescent="0.25">
      <c r="A58" s="2" t="s">
        <v>55</v>
      </c>
      <c r="B58" s="7">
        <v>342621.54405284941</v>
      </c>
      <c r="C58" s="7">
        <v>402.35592345863063</v>
      </c>
      <c r="D58" s="46">
        <f t="shared" si="6"/>
        <v>202500</v>
      </c>
      <c r="E58" s="46">
        <v>225</v>
      </c>
      <c r="F58" s="21">
        <v>0</v>
      </c>
      <c r="G58" s="21">
        <v>0</v>
      </c>
      <c r="H58" s="21"/>
      <c r="I58" s="21"/>
      <c r="K58" s="52">
        <f t="shared" si="1"/>
        <v>-0.40896886516638792</v>
      </c>
      <c r="L58" s="52">
        <f t="shared" si="2"/>
        <v>-0.44079361858050531</v>
      </c>
      <c r="O58" s="27" t="s">
        <v>86</v>
      </c>
      <c r="P58" s="27" t="s">
        <v>86</v>
      </c>
    </row>
    <row r="59" spans="1:16" x14ac:dyDescent="0.25">
      <c r="A59" s="2" t="s">
        <v>56</v>
      </c>
      <c r="B59" s="7">
        <v>439382.56957872794</v>
      </c>
      <c r="C59" s="7">
        <v>515.98675740952683</v>
      </c>
      <c r="D59" s="46">
        <f t="shared" si="6"/>
        <v>444600</v>
      </c>
      <c r="E59" s="46">
        <v>494</v>
      </c>
      <c r="F59" s="21">
        <v>708680.51309431961</v>
      </c>
      <c r="G59" s="21">
        <v>591.28560000000004</v>
      </c>
      <c r="H59" s="21"/>
      <c r="I59" s="21"/>
      <c r="K59" s="52">
        <f t="shared" si="1"/>
        <v>1.1874459258305211E-2</v>
      </c>
      <c r="L59" s="52">
        <f t="shared" si="2"/>
        <v>-4.261108854791102E-2</v>
      </c>
      <c r="O59" s="35">
        <f t="shared" si="3"/>
        <v>0.61290083439993914</v>
      </c>
      <c r="P59" s="35">
        <f t="shared" si="4"/>
        <v>0.14593173469897844</v>
      </c>
    </row>
    <row r="60" spans="1:16" x14ac:dyDescent="0.25">
      <c r="A60" s="2" t="s">
        <v>57</v>
      </c>
      <c r="B60" s="7">
        <v>901105.14931776666</v>
      </c>
      <c r="C60" s="7">
        <v>1058.2083957661212</v>
      </c>
      <c r="D60" s="46">
        <f t="shared" si="6"/>
        <v>405000</v>
      </c>
      <c r="E60" s="46">
        <v>450</v>
      </c>
      <c r="F60" s="21">
        <v>0</v>
      </c>
      <c r="G60" s="21">
        <v>0</v>
      </c>
      <c r="H60" s="21"/>
      <c r="I60" s="21"/>
      <c r="K60" s="52">
        <f t="shared" si="1"/>
        <v>-0.55055189696049511</v>
      </c>
      <c r="L60" s="52">
        <f t="shared" si="2"/>
        <v>-0.57475294866262217</v>
      </c>
      <c r="O60" s="27" t="s">
        <v>86</v>
      </c>
      <c r="P60" s="27" t="s">
        <v>86</v>
      </c>
    </row>
    <row r="61" spans="1:16" x14ac:dyDescent="0.25">
      <c r="A61" s="2" t="s">
        <v>58</v>
      </c>
      <c r="B61" s="7">
        <v>671165.98191311094</v>
      </c>
      <c r="C61" s="7">
        <v>788.18046656462889</v>
      </c>
      <c r="D61" s="46">
        <f t="shared" si="6"/>
        <v>405000</v>
      </c>
      <c r="E61" s="46">
        <v>450</v>
      </c>
      <c r="F61" s="21">
        <v>487251.60204535449</v>
      </c>
      <c r="G61" s="21">
        <v>482.07929999999999</v>
      </c>
      <c r="H61" s="21"/>
      <c r="I61" s="21"/>
      <c r="K61" s="52">
        <f t="shared" si="1"/>
        <v>-0.39657251572021535</v>
      </c>
      <c r="L61" s="52">
        <f t="shared" si="2"/>
        <v>-0.42906476487374218</v>
      </c>
      <c r="O61" s="27">
        <f t="shared" si="3"/>
        <v>-0.27402220139870853</v>
      </c>
      <c r="P61" s="27">
        <f t="shared" si="4"/>
        <v>-0.38836431445555158</v>
      </c>
    </row>
    <row r="62" spans="1:16" x14ac:dyDescent="0.25">
      <c r="A62" s="2" t="s">
        <v>59</v>
      </c>
      <c r="B62" s="7">
        <v>218686.13405221078</v>
      </c>
      <c r="C62" s="7">
        <v>256.81298488516171</v>
      </c>
      <c r="D62" s="46">
        <f t="shared" si="6"/>
        <v>355500</v>
      </c>
      <c r="E62" s="46">
        <v>395</v>
      </c>
      <c r="F62" s="21">
        <v>192682.56964535444</v>
      </c>
      <c r="G62" s="21">
        <v>154.94</v>
      </c>
      <c r="H62" s="21"/>
      <c r="I62" s="21"/>
      <c r="K62" s="53">
        <f t="shared" si="1"/>
        <v>0.62561747017360159</v>
      </c>
      <c r="L62" s="53">
        <f t="shared" si="2"/>
        <v>0.53808422177963844</v>
      </c>
      <c r="O62" s="35">
        <f t="shared" si="3"/>
        <v>-0.11890815354872045</v>
      </c>
      <c r="P62" s="35">
        <f t="shared" si="4"/>
        <v>-0.39668159665180464</v>
      </c>
    </row>
    <row r="63" spans="1:16" x14ac:dyDescent="0.25">
      <c r="A63" s="2" t="s">
        <v>60</v>
      </c>
      <c r="B63" s="7">
        <v>862757.75911713531</v>
      </c>
      <c r="C63" s="7">
        <v>1013.1753268764907</v>
      </c>
      <c r="D63" s="46">
        <v>510000</v>
      </c>
      <c r="E63" s="46">
        <v>532</v>
      </c>
      <c r="F63" s="21">
        <v>747574.51294535457</v>
      </c>
      <c r="G63" s="21">
        <v>771.32180000000005</v>
      </c>
      <c r="H63" s="21"/>
      <c r="I63" s="21"/>
      <c r="K63" s="52">
        <f t="shared" si="1"/>
        <v>-0.40887231136363728</v>
      </c>
      <c r="L63" s="52">
        <f t="shared" si="2"/>
        <v>-0.47491812533562366</v>
      </c>
      <c r="O63" s="35">
        <f t="shared" si="3"/>
        <v>-0.13350589427285869</v>
      </c>
      <c r="P63" s="35">
        <f t="shared" si="4"/>
        <v>-0.2387084648242459</v>
      </c>
    </row>
    <row r="64" spans="1:16" x14ac:dyDescent="0.25">
      <c r="A64" s="2" t="s">
        <v>61</v>
      </c>
      <c r="B64" s="7">
        <v>269453.94928978267</v>
      </c>
      <c r="C64" s="7">
        <v>316.43191876848914</v>
      </c>
      <c r="D64" s="46">
        <f t="shared" si="6"/>
        <v>202500</v>
      </c>
      <c r="E64" s="46">
        <v>225</v>
      </c>
      <c r="F64" s="21">
        <v>248403.81964535444</v>
      </c>
      <c r="G64" s="21">
        <v>217.17000000000002</v>
      </c>
      <c r="H64" s="21"/>
      <c r="I64" s="21"/>
      <c r="K64" s="52">
        <f t="shared" si="1"/>
        <v>-0.24848011864831657</v>
      </c>
      <c r="L64" s="52">
        <f t="shared" si="2"/>
        <v>-0.28894657379802258</v>
      </c>
      <c r="O64" s="35">
        <f t="shared" si="3"/>
        <v>-7.8121436705275368E-2</v>
      </c>
      <c r="P64" s="35">
        <f t="shared" si="4"/>
        <v>-0.31369123302985136</v>
      </c>
    </row>
    <row r="65" spans="1:16" x14ac:dyDescent="0.25">
      <c r="A65" s="2" t="s">
        <v>62</v>
      </c>
      <c r="B65" s="7">
        <v>632525.55571052572</v>
      </c>
      <c r="C65" s="7">
        <v>742.80327228878343</v>
      </c>
      <c r="D65" s="46">
        <f t="shared" si="6"/>
        <v>341100</v>
      </c>
      <c r="E65" s="46">
        <v>379</v>
      </c>
      <c r="F65" s="21">
        <v>0</v>
      </c>
      <c r="G65" s="21">
        <v>0</v>
      </c>
      <c r="H65" s="21"/>
      <c r="I65" s="21"/>
      <c r="K65" s="52">
        <f t="shared" si="1"/>
        <v>-0.46073325113822933</v>
      </c>
      <c r="L65" s="52">
        <f t="shared" si="2"/>
        <v>-0.48977069146155533</v>
      </c>
      <c r="O65" s="27" t="s">
        <v>86</v>
      </c>
      <c r="P65" s="27" t="s">
        <v>86</v>
      </c>
    </row>
    <row r="66" spans="1:16" x14ac:dyDescent="0.25">
      <c r="A66" s="2" t="s">
        <v>63</v>
      </c>
      <c r="B66" s="7">
        <v>402554.1274616181</v>
      </c>
      <c r="C66" s="7">
        <v>472.7374577236709</v>
      </c>
      <c r="D66" s="46">
        <f t="shared" si="6"/>
        <v>390600</v>
      </c>
      <c r="E66" s="46">
        <v>434</v>
      </c>
      <c r="F66" s="21">
        <v>708680.51309431996</v>
      </c>
      <c r="G66" s="21">
        <v>591.28560000000004</v>
      </c>
      <c r="H66" s="21"/>
      <c r="I66" s="21"/>
      <c r="K66" s="52">
        <f t="shared" si="1"/>
        <v>-2.9695702133268727E-2</v>
      </c>
      <c r="L66" s="52">
        <f t="shared" si="2"/>
        <v>-8.1942856633785296E-2</v>
      </c>
      <c r="O66" s="35">
        <f t="shared" si="3"/>
        <v>0.7604601834864797</v>
      </c>
      <c r="P66" s="35">
        <f t="shared" si="4"/>
        <v>0.25076951347829107</v>
      </c>
    </row>
    <row r="67" spans="1:16" x14ac:dyDescent="0.25">
      <c r="A67" s="2" t="s">
        <v>64</v>
      </c>
      <c r="B67" s="7">
        <v>460809.14696929354</v>
      </c>
      <c r="C67" s="7">
        <v>541.14895308047141</v>
      </c>
      <c r="D67" s="46">
        <f t="shared" ref="D67:D68" si="15">E67*900</f>
        <v>202500</v>
      </c>
      <c r="E67" s="46">
        <v>225</v>
      </c>
      <c r="F67" s="21">
        <v>0</v>
      </c>
      <c r="G67" s="21">
        <v>0</v>
      </c>
      <c r="H67" s="21"/>
      <c r="I67" s="21"/>
      <c r="K67" s="52">
        <f t="shared" si="1"/>
        <v>-0.56055559805653388</v>
      </c>
      <c r="L67" s="52">
        <f t="shared" si="2"/>
        <v>-0.58421798893041299</v>
      </c>
      <c r="O67" s="27" t="s">
        <v>86</v>
      </c>
      <c r="P67" s="27" t="s">
        <v>86</v>
      </c>
    </row>
    <row r="68" spans="1:16" x14ac:dyDescent="0.25">
      <c r="A68" s="2" t="s">
        <v>65</v>
      </c>
      <c r="B68" s="7">
        <v>342492.50067584228</v>
      </c>
      <c r="C68" s="7">
        <v>402.20438200415094</v>
      </c>
      <c r="D68" s="46">
        <f t="shared" si="15"/>
        <v>202500</v>
      </c>
      <c r="E68" s="46">
        <v>225</v>
      </c>
      <c r="F68" s="21">
        <v>0</v>
      </c>
      <c r="G68" s="21">
        <v>0</v>
      </c>
      <c r="H68" s="21"/>
      <c r="I68" s="21"/>
      <c r="K68" s="52">
        <f t="shared" si="1"/>
        <v>-0.40874617809030661</v>
      </c>
      <c r="L68" s="52">
        <f t="shared" si="2"/>
        <v>-0.44058292234698254</v>
      </c>
      <c r="O68" s="27" t="s">
        <v>86</v>
      </c>
      <c r="P68" s="27" t="s">
        <v>86</v>
      </c>
    </row>
    <row r="69" spans="1:16" x14ac:dyDescent="0.25">
      <c r="A69" s="2" t="s">
        <v>66</v>
      </c>
      <c r="B69" s="7">
        <v>342621.54405284941</v>
      </c>
      <c r="C69" s="7">
        <v>402.35592345863063</v>
      </c>
      <c r="D69" s="46">
        <f t="shared" si="6"/>
        <v>202500</v>
      </c>
      <c r="E69" s="46">
        <v>225</v>
      </c>
      <c r="F69" s="21">
        <v>0</v>
      </c>
      <c r="G69" s="21">
        <v>0</v>
      </c>
      <c r="H69" s="21"/>
      <c r="I69" s="21"/>
      <c r="K69" s="52">
        <f t="shared" ref="K69:K74" si="16">(D69-B69)/B69</f>
        <v>-0.40896886516638792</v>
      </c>
      <c r="L69" s="52">
        <f t="shared" ref="L69:L74" si="17">(E69-C69)/C69</f>
        <v>-0.44079361858050531</v>
      </c>
      <c r="O69" s="27" t="s">
        <v>86</v>
      </c>
      <c r="P69" s="27" t="s">
        <v>86</v>
      </c>
    </row>
    <row r="70" spans="1:16" x14ac:dyDescent="0.25">
      <c r="A70" s="2" t="s">
        <v>67</v>
      </c>
      <c r="B70" s="7">
        <v>1074843.2376321109</v>
      </c>
      <c r="C70" s="7">
        <v>1262.2368644279534</v>
      </c>
      <c r="D70" s="20">
        <f t="shared" si="6"/>
        <v>468900</v>
      </c>
      <c r="E70" s="20">
        <v>521</v>
      </c>
      <c r="F70" s="21">
        <v>768850.8584943196</v>
      </c>
      <c r="G70" s="21">
        <v>796.83090000000004</v>
      </c>
      <c r="H70" s="21"/>
      <c r="I70" s="21"/>
      <c r="K70" s="52">
        <f t="shared" si="16"/>
        <v>-0.56375033718127043</v>
      </c>
      <c r="L70" s="52">
        <f t="shared" si="17"/>
        <v>-0.58724070364074055</v>
      </c>
      <c r="O70" s="27">
        <f t="shared" ref="O70:O74" si="18">(F70-B70)/B70</f>
        <v>-0.2846855880229523</v>
      </c>
      <c r="P70" s="27">
        <f t="shared" ref="P70:P74" si="19">(G70-C70)/C70</f>
        <v>-0.36871523684968244</v>
      </c>
    </row>
    <row r="71" spans="1:16" x14ac:dyDescent="0.25">
      <c r="A71" s="2" t="s">
        <v>68</v>
      </c>
      <c r="B71" s="7">
        <v>269453.94928978267</v>
      </c>
      <c r="C71" s="7">
        <v>316.43191876848914</v>
      </c>
      <c r="D71" s="46">
        <f t="shared" ref="D71" si="20">E71*900</f>
        <v>120600</v>
      </c>
      <c r="E71" s="46">
        <v>134</v>
      </c>
      <c r="F71" s="21">
        <v>192682.56964535444</v>
      </c>
      <c r="G71" s="21">
        <v>154.94</v>
      </c>
      <c r="H71" s="21"/>
      <c r="I71" s="21"/>
      <c r="K71" s="52">
        <f t="shared" si="16"/>
        <v>-0.55242815955055302</v>
      </c>
      <c r="L71" s="52">
        <f t="shared" si="17"/>
        <v>-0.5765281817286001</v>
      </c>
      <c r="O71" s="27">
        <f t="shared" si="18"/>
        <v>-0.28491465739054694</v>
      </c>
      <c r="P71" s="27">
        <f t="shared" si="19"/>
        <v>-0.51035280953006945</v>
      </c>
    </row>
    <row r="72" spans="1:16" x14ac:dyDescent="0.25">
      <c r="A72" s="2" t="s">
        <v>69</v>
      </c>
      <c r="B72" s="7">
        <v>402554.1274616181</v>
      </c>
      <c r="C72" s="7">
        <v>472.7374577236709</v>
      </c>
      <c r="D72" s="46">
        <f t="shared" ref="D72:D74" si="21">E72*900</f>
        <v>444600</v>
      </c>
      <c r="E72" s="46">
        <v>494</v>
      </c>
      <c r="F72" s="21">
        <v>708680.51309431961</v>
      </c>
      <c r="G72" s="21">
        <v>591.28560000000004</v>
      </c>
      <c r="H72" s="21"/>
      <c r="I72" s="21"/>
      <c r="K72" s="53">
        <f t="shared" si="16"/>
        <v>0.10444774918471256</v>
      </c>
      <c r="L72" s="53">
        <f t="shared" si="17"/>
        <v>4.4977485767073881E-2</v>
      </c>
      <c r="O72" s="35">
        <f t="shared" si="18"/>
        <v>0.76046018348647892</v>
      </c>
      <c r="P72" s="35">
        <f t="shared" si="19"/>
        <v>0.25076951347829107</v>
      </c>
    </row>
    <row r="73" spans="1:16" x14ac:dyDescent="0.25">
      <c r="A73" s="2" t="s">
        <v>70</v>
      </c>
      <c r="B73" s="7">
        <v>218686.13405221078</v>
      </c>
      <c r="C73" s="7">
        <v>256.81298488516171</v>
      </c>
      <c r="D73" s="46">
        <f t="shared" si="21"/>
        <v>157500</v>
      </c>
      <c r="E73" s="46">
        <v>175</v>
      </c>
      <c r="F73" s="21">
        <v>380189.66519431968</v>
      </c>
      <c r="G73" s="21">
        <v>295.64280000000002</v>
      </c>
      <c r="H73" s="21"/>
      <c r="I73" s="21"/>
      <c r="K73" s="52">
        <f t="shared" si="16"/>
        <v>-0.27978972840410055</v>
      </c>
      <c r="L73" s="52">
        <f t="shared" si="17"/>
        <v>-0.31857028149003358</v>
      </c>
      <c r="O73" s="35">
        <f t="shared" si="18"/>
        <v>0.73851747319082572</v>
      </c>
      <c r="P73" s="35">
        <f t="shared" si="19"/>
        <v>0.15119879990570462</v>
      </c>
    </row>
    <row r="74" spans="1:16" x14ac:dyDescent="0.25">
      <c r="A74" s="2" t="s">
        <v>71</v>
      </c>
      <c r="B74" s="7">
        <v>402554.1274616181</v>
      </c>
      <c r="C74" s="7">
        <v>472.7374577236709</v>
      </c>
      <c r="D74" s="46">
        <f t="shared" si="21"/>
        <v>202500</v>
      </c>
      <c r="E74" s="46">
        <v>225</v>
      </c>
      <c r="F74" s="21">
        <v>528010.54859431973</v>
      </c>
      <c r="G74" s="21">
        <v>428.67959999999999</v>
      </c>
      <c r="H74" s="21"/>
      <c r="I74" s="21"/>
      <c r="K74" s="52">
        <f t="shared" si="16"/>
        <v>-0.49696205755757017</v>
      </c>
      <c r="L74" s="52">
        <f t="shared" si="17"/>
        <v>-0.52404871599677805</v>
      </c>
      <c r="O74" s="35">
        <f t="shared" si="18"/>
        <v>0.31165106149523553</v>
      </c>
      <c r="P74" s="35">
        <f t="shared" si="19"/>
        <v>-9.3197306462277488E-2</v>
      </c>
    </row>
    <row r="87" spans="10:12" x14ac:dyDescent="0.25">
      <c r="L87" s="40"/>
    </row>
    <row r="89" spans="10:12" ht="20.25" x14ac:dyDescent="0.25">
      <c r="J89" s="41"/>
    </row>
    <row r="90" spans="10:12" ht="20.25" x14ac:dyDescent="0.25">
      <c r="J90" s="41"/>
    </row>
    <row r="91" spans="10:12" ht="20.25" x14ac:dyDescent="0.25">
      <c r="J91" s="41"/>
    </row>
    <row r="92" spans="10:12" ht="20.25" x14ac:dyDescent="0.25">
      <c r="J92" s="41"/>
    </row>
    <row r="93" spans="10:12" x14ac:dyDescent="0.25">
      <c r="J93" s="42"/>
    </row>
  </sheetData>
  <autoFilter ref="A2:I74" xr:uid="{98D0DBE1-9C81-41EF-B58A-CAAD69574FAC}">
    <filterColumn colId="1" showButton="0"/>
    <filterColumn colId="3" showButton="0"/>
    <filterColumn colId="5" showButton="0"/>
    <filterColumn colId="7" showButton="0"/>
    <sortState xmlns:xlrd2="http://schemas.microsoft.com/office/spreadsheetml/2017/richdata2" ref="A7:I7">
      <sortCondition descending="1" ref="A2:A74"/>
    </sortState>
  </autoFilter>
  <mergeCells count="12">
    <mergeCell ref="A2:A3"/>
    <mergeCell ref="B2:C2"/>
    <mergeCell ref="D2:E2"/>
    <mergeCell ref="F2:G2"/>
    <mergeCell ref="H2:I2"/>
    <mergeCell ref="B1:C1"/>
    <mergeCell ref="D1:E1"/>
    <mergeCell ref="F1:G1"/>
    <mergeCell ref="M2:N2"/>
    <mergeCell ref="R4:V14"/>
    <mergeCell ref="K2:L2"/>
    <mergeCell ref="O2:P2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425FD80907A3478DEC16B8F106BC8A" ma:contentTypeVersion="13" ma:contentTypeDescription="Crear nuevo documento." ma:contentTypeScope="" ma:versionID="123e92af6ad0b645ae941b5fd2b9ad44">
  <xsd:schema xmlns:xsd="http://www.w3.org/2001/XMLSchema" xmlns:xs="http://www.w3.org/2001/XMLSchema" xmlns:p="http://schemas.microsoft.com/office/2006/metadata/properties" xmlns:ns3="2845f4b9-acea-4e75-a255-2d3d93e82a70" xmlns:ns4="47be2fbf-5d03-4859-8e87-163b91933d53" targetNamespace="http://schemas.microsoft.com/office/2006/metadata/properties" ma:root="true" ma:fieldsID="0e466906fe620d7fce1ef0426e10577d" ns3:_="" ns4:_="">
    <xsd:import namespace="2845f4b9-acea-4e75-a255-2d3d93e82a70"/>
    <xsd:import namespace="47be2fbf-5d03-4859-8e87-163b91933d5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OCR" minOccurs="0"/>
                <xsd:element ref="ns4:MediaServiceLocation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5f4b9-acea-4e75-a255-2d3d93e82a7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e2fbf-5d03-4859-8e87-163b91933d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BD466B-0D3D-412C-8F75-12BDF2363F6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E6E1F32-8EC4-4B99-AD2A-3AA2E16162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45f4b9-acea-4e75-a255-2d3d93e82a70"/>
    <ds:schemaRef ds:uri="47be2fbf-5d03-4859-8e87-163b91933d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24067E-31D0-4A37-B5F5-7F82243AB5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TODOS LOS PROVEEDORES</vt:lpstr>
      <vt:lpstr>GRUPO SILCO</vt:lpstr>
      <vt:lpstr>INCREMENTOS PORCENTUALES</vt:lpstr>
    </vt:vector>
  </TitlesOfParts>
  <Company>ANDREANI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Aramendi Terpin Javier</dc:creator>
  <cp:lastModifiedBy>Gomez, Fernando</cp:lastModifiedBy>
  <cp:lastPrinted>2025-08-29T16:30:38Z</cp:lastPrinted>
  <dcterms:created xsi:type="dcterms:W3CDTF">2021-04-21T14:50:54Z</dcterms:created>
  <dcterms:modified xsi:type="dcterms:W3CDTF">2025-09-23T17:04:25Z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0x01010029425FD80907A3478DEC16B8F106BC8A</vt:lpwstr>
  </property>
</Properties>
</file>