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slicers/slicer2.xml" ContentType="application/vnd.ms-excel.slicer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gomez\Desktop\PY\SAP_PY\Provision\"/>
    </mc:Choice>
  </mc:AlternateContent>
  <xr:revisionPtr revIDLastSave="0" documentId="13_ncr:1_{ABBB3406-7BDA-4CBD-9B5D-773AB2FE5327}" xr6:coauthVersionLast="47" xr6:coauthVersionMax="47" xr10:uidLastSave="{00000000-0000-0000-0000-000000000000}"/>
  <bookViews>
    <workbookView xWindow="28680" yWindow="-120" windowWidth="29040" windowHeight="15720" activeTab="1" xr2:uid="{00000000-000D-0000-FFFF-FFFF00000000}"/>
  </bookViews>
  <sheets>
    <sheet name="Tarifario" sheetId="1" r:id="rId1"/>
    <sheet name="B_Tarifas" sheetId="2" r:id="rId2"/>
    <sheet name="Aumentos" sheetId="3" r:id="rId3"/>
    <sheet name="Extracostos" sheetId="4" r:id="rId4"/>
    <sheet name="Rutas" sheetId="9" r:id="rId5"/>
    <sheet name="Locations" sheetId="5" r:id="rId6"/>
    <sheet name="SAP" sheetId="7" state="hidden" r:id="rId7"/>
  </sheets>
  <definedNames>
    <definedName name="_xlnm._FilterDatabase" localSheetId="2" hidden="1">Aumentos!$A$12:$AE$669</definedName>
    <definedName name="_xlnm._FilterDatabase" localSheetId="3" hidden="1">Extracostos!$A$2:$P$51</definedName>
    <definedName name="_xlnm._FilterDatabase" localSheetId="4" hidden="1">Rutas!$I$3:$L$206</definedName>
    <definedName name="_xlnm._FilterDatabase" localSheetId="6" hidden="1">SAP!$A$1:$J$422</definedName>
    <definedName name="_xleta.OR" hidden="1" xlm="1">#NAME?</definedName>
    <definedName name="SegmentaciónDeDatos_CARRIER">#N/A</definedName>
    <definedName name="SegmentaciónDeDatos_CARRIER1">#N/A</definedName>
    <definedName name="SegmentaciónDeDatos_CITY_FOS">#N/A</definedName>
    <definedName name="SegmentaciónDeDatos_PROVINCE">#N/A</definedName>
  </definedNames>
  <calcPr calcId="191029"/>
  <pivotCaches>
    <pivotCache cacheId="2" r:id="rId8"/>
    <pivotCache cacheId="3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0"/>
        <x14:slicerCache r:id="rId11"/>
        <x14:slicerCache r:id="rId12"/>
        <x14:slicerCache r:id="rId13"/>
      </x15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" i="3" l="1" a="1"/>
  <c r="R2" i="3" s="1"/>
  <c r="T5" i="3" s="1"/>
  <c r="T4" i="3"/>
  <c r="O7" i="3" l="1"/>
  <c r="O4" i="3"/>
  <c r="R3" i="5"/>
  <c r="M3" i="5"/>
  <c r="R5" i="5"/>
  <c r="M5" i="5"/>
  <c r="R7" i="5"/>
  <c r="M7" i="5"/>
  <c r="R95" i="5"/>
  <c r="M95" i="5"/>
  <c r="R94" i="5"/>
  <c r="M94" i="5"/>
  <c r="R93" i="5"/>
  <c r="M93" i="5"/>
  <c r="R92" i="5"/>
  <c r="M92" i="5"/>
  <c r="R91" i="5"/>
  <c r="M91" i="5"/>
  <c r="R90" i="5"/>
  <c r="M90" i="5"/>
  <c r="R89" i="5"/>
  <c r="M89" i="5"/>
  <c r="R88" i="5"/>
  <c r="M88" i="5"/>
  <c r="R87" i="5"/>
  <c r="M87" i="5"/>
  <c r="R86" i="5"/>
  <c r="M86" i="5"/>
  <c r="R85" i="5"/>
  <c r="M85" i="5"/>
  <c r="R84" i="5"/>
  <c r="M84" i="5"/>
  <c r="R83" i="5"/>
  <c r="M83" i="5"/>
  <c r="R82" i="5"/>
  <c r="M82" i="5"/>
  <c r="R81" i="5"/>
  <c r="M81" i="5"/>
  <c r="R80" i="5"/>
  <c r="M80" i="5"/>
  <c r="R79" i="5"/>
  <c r="M79" i="5"/>
  <c r="R78" i="5"/>
  <c r="M78" i="5"/>
  <c r="R77" i="5"/>
  <c r="M77" i="5"/>
  <c r="R76" i="5"/>
  <c r="M76" i="5"/>
  <c r="R75" i="5"/>
  <c r="M75" i="5"/>
  <c r="R74" i="5"/>
  <c r="M74" i="5"/>
  <c r="R73" i="5"/>
  <c r="M73" i="5"/>
  <c r="R72" i="5"/>
  <c r="M72" i="5"/>
  <c r="R71" i="5"/>
  <c r="M71" i="5"/>
  <c r="R70" i="5"/>
  <c r="M70" i="5"/>
  <c r="R69" i="5"/>
  <c r="M69" i="5"/>
  <c r="R68" i="5"/>
  <c r="M68" i="5"/>
  <c r="R67" i="5"/>
  <c r="M67" i="5"/>
  <c r="R66" i="5"/>
  <c r="M66" i="5"/>
  <c r="R65" i="5"/>
  <c r="M65" i="5"/>
  <c r="R64" i="5"/>
  <c r="M64" i="5"/>
  <c r="R63" i="5"/>
  <c r="M63" i="5"/>
  <c r="R62" i="5"/>
  <c r="M62" i="5"/>
  <c r="R61" i="5"/>
  <c r="M61" i="5"/>
  <c r="R60" i="5"/>
  <c r="M60" i="5"/>
  <c r="R23" i="5"/>
  <c r="M23" i="5"/>
  <c r="R22" i="5"/>
  <c r="M22" i="5"/>
  <c r="R21" i="5"/>
  <c r="M21" i="5"/>
  <c r="R20" i="5"/>
  <c r="M20" i="5"/>
  <c r="R19" i="5"/>
  <c r="M19" i="5"/>
  <c r="R18" i="5"/>
  <c r="M18" i="5"/>
  <c r="R17" i="5"/>
  <c r="M17" i="5"/>
  <c r="R16" i="5"/>
  <c r="M16" i="5"/>
  <c r="R97" i="5"/>
  <c r="M97" i="5"/>
  <c r="R147" i="5"/>
  <c r="M147" i="5"/>
  <c r="R146" i="5"/>
  <c r="M146" i="5"/>
  <c r="R145" i="5"/>
  <c r="M145" i="5"/>
  <c r="R144" i="5"/>
  <c r="M144" i="5"/>
  <c r="R143" i="5"/>
  <c r="M143" i="5"/>
  <c r="R142" i="5"/>
  <c r="M142" i="5"/>
  <c r="R141" i="5"/>
  <c r="M141" i="5"/>
  <c r="R140" i="5"/>
  <c r="M140" i="5"/>
  <c r="R139" i="5"/>
  <c r="M139" i="5"/>
  <c r="R138" i="5"/>
  <c r="M138" i="5"/>
  <c r="R137" i="5"/>
  <c r="M137" i="5"/>
  <c r="R136" i="5"/>
  <c r="M136" i="5"/>
  <c r="R135" i="5"/>
  <c r="M135" i="5"/>
  <c r="R134" i="5"/>
  <c r="M134" i="5"/>
  <c r="R133" i="5"/>
  <c r="M133" i="5"/>
  <c r="R132" i="5"/>
  <c r="M132" i="5"/>
  <c r="R131" i="5"/>
  <c r="M131" i="5"/>
  <c r="R130" i="5"/>
  <c r="M130" i="5"/>
  <c r="R129" i="5"/>
  <c r="M129" i="5"/>
  <c r="R128" i="5"/>
  <c r="M128" i="5"/>
  <c r="R127" i="5"/>
  <c r="M127" i="5"/>
  <c r="R126" i="5"/>
  <c r="M126" i="5"/>
  <c r="R125" i="5"/>
  <c r="M125" i="5"/>
  <c r="R124" i="5"/>
  <c r="M124" i="5"/>
  <c r="R123" i="5"/>
  <c r="M123" i="5"/>
  <c r="R153" i="5"/>
  <c r="M153" i="5"/>
  <c r="R152" i="5"/>
  <c r="M152" i="5"/>
  <c r="R151" i="5"/>
  <c r="M151" i="5"/>
  <c r="R183" i="5"/>
  <c r="M183" i="5"/>
  <c r="R182" i="5"/>
  <c r="M182" i="5"/>
  <c r="R181" i="5"/>
  <c r="M181" i="5"/>
  <c r="R180" i="5"/>
  <c r="M180" i="5"/>
  <c r="R179" i="5"/>
  <c r="M179" i="5"/>
  <c r="R178" i="5"/>
  <c r="M178" i="5"/>
  <c r="R177" i="5"/>
  <c r="M177" i="5"/>
  <c r="R176" i="5"/>
  <c r="M176" i="5"/>
  <c r="R175" i="5"/>
  <c r="M175" i="5"/>
  <c r="R174" i="5"/>
  <c r="M174" i="5"/>
  <c r="R173" i="5"/>
  <c r="M173" i="5"/>
  <c r="R172" i="5"/>
  <c r="M172" i="5"/>
  <c r="R171" i="5"/>
  <c r="M171" i="5"/>
  <c r="R170" i="5"/>
  <c r="M170" i="5"/>
  <c r="R169" i="5"/>
  <c r="M169" i="5"/>
  <c r="R187" i="5"/>
  <c r="M187" i="5"/>
  <c r="R186" i="5"/>
  <c r="M186" i="5"/>
  <c r="R197" i="5"/>
  <c r="M197" i="5"/>
  <c r="R196" i="5"/>
  <c r="M196" i="5"/>
  <c r="R195" i="5"/>
  <c r="M195" i="5"/>
  <c r="R194" i="5"/>
  <c r="M194" i="5"/>
  <c r="R193" i="5"/>
  <c r="M193" i="5"/>
  <c r="R205" i="5"/>
  <c r="M205" i="5"/>
  <c r="R204" i="5"/>
  <c r="M204" i="5"/>
  <c r="R203" i="5"/>
  <c r="M203" i="5"/>
  <c r="R202" i="5"/>
  <c r="M202" i="5"/>
  <c r="R209" i="5"/>
  <c r="M209" i="5"/>
  <c r="R208" i="5"/>
  <c r="M208" i="5"/>
  <c r="R233" i="5"/>
  <c r="M233" i="5"/>
  <c r="R232" i="5"/>
  <c r="M232" i="5"/>
  <c r="R231" i="5"/>
  <c r="M231" i="5"/>
  <c r="R230" i="5"/>
  <c r="M230" i="5"/>
  <c r="R229" i="5"/>
  <c r="M229" i="5"/>
  <c r="R228" i="5"/>
  <c r="M228" i="5"/>
  <c r="R227" i="5"/>
  <c r="M227" i="5"/>
  <c r="R226" i="5"/>
  <c r="M226" i="5"/>
  <c r="R225" i="5"/>
  <c r="M225" i="5"/>
  <c r="R224" i="5"/>
  <c r="M224" i="5"/>
  <c r="R223" i="5"/>
  <c r="M223" i="5"/>
  <c r="R222" i="5"/>
  <c r="M222" i="5"/>
  <c r="R245" i="5"/>
  <c r="M245" i="5"/>
  <c r="R244" i="5"/>
  <c r="M244" i="5"/>
  <c r="R243" i="5"/>
  <c r="M243" i="5"/>
  <c r="R242" i="5"/>
  <c r="M242" i="5"/>
  <c r="R241" i="5"/>
  <c r="M241" i="5"/>
  <c r="R240" i="5"/>
  <c r="M240" i="5"/>
  <c r="R261" i="5"/>
  <c r="M261" i="5"/>
  <c r="R260" i="5"/>
  <c r="M260" i="5"/>
  <c r="R259" i="5"/>
  <c r="M259" i="5"/>
  <c r="R258" i="5"/>
  <c r="M258" i="5"/>
  <c r="R257" i="5"/>
  <c r="M257" i="5"/>
  <c r="R256" i="5"/>
  <c r="M256" i="5"/>
  <c r="R255" i="5"/>
  <c r="M255" i="5"/>
  <c r="R254" i="5"/>
  <c r="M254" i="5"/>
  <c r="R267" i="5"/>
  <c r="M267" i="5"/>
  <c r="R266" i="5"/>
  <c r="M266" i="5"/>
  <c r="R265" i="5"/>
  <c r="M265" i="5"/>
  <c r="R273" i="5"/>
  <c r="M273" i="5"/>
  <c r="R272" i="5"/>
  <c r="M272" i="5"/>
  <c r="R271" i="5"/>
  <c r="M271" i="5"/>
  <c r="R277" i="5"/>
  <c r="M277" i="5"/>
  <c r="R276" i="5"/>
  <c r="M276" i="5"/>
  <c r="R303" i="5"/>
  <c r="M303" i="5"/>
  <c r="R302" i="5"/>
  <c r="M302" i="5"/>
  <c r="R301" i="5"/>
  <c r="M301" i="5"/>
  <c r="R300" i="5"/>
  <c r="M300" i="5"/>
  <c r="R299" i="5"/>
  <c r="M299" i="5"/>
  <c r="R298" i="5"/>
  <c r="M298" i="5"/>
  <c r="R297" i="5"/>
  <c r="M297" i="5"/>
  <c r="R296" i="5"/>
  <c r="M296" i="5"/>
  <c r="R295" i="5"/>
  <c r="M295" i="5"/>
  <c r="R294" i="5"/>
  <c r="M294" i="5"/>
  <c r="R293" i="5"/>
  <c r="M293" i="5"/>
  <c r="R292" i="5"/>
  <c r="M292" i="5"/>
  <c r="R291" i="5"/>
  <c r="M291" i="5"/>
  <c r="R353" i="5"/>
  <c r="M353" i="5"/>
  <c r="R352" i="5"/>
  <c r="M352" i="5"/>
  <c r="R351" i="5"/>
  <c r="M351" i="5"/>
  <c r="R350" i="5"/>
  <c r="M350" i="5"/>
  <c r="R349" i="5"/>
  <c r="M349" i="5"/>
  <c r="R348" i="5"/>
  <c r="M348" i="5"/>
  <c r="R347" i="5"/>
  <c r="M347" i="5"/>
  <c r="R346" i="5"/>
  <c r="M346" i="5"/>
  <c r="R345" i="5"/>
  <c r="M345" i="5"/>
  <c r="R344" i="5"/>
  <c r="M344" i="5"/>
  <c r="R343" i="5"/>
  <c r="M343" i="5"/>
  <c r="R342" i="5"/>
  <c r="M342" i="5"/>
  <c r="R341" i="5"/>
  <c r="M341" i="5"/>
  <c r="R340" i="5"/>
  <c r="M340" i="5"/>
  <c r="R339" i="5"/>
  <c r="M339" i="5"/>
  <c r="R338" i="5"/>
  <c r="M338" i="5"/>
  <c r="R337" i="5"/>
  <c r="M337" i="5"/>
  <c r="R336" i="5"/>
  <c r="M336" i="5"/>
  <c r="R335" i="5"/>
  <c r="M335" i="5"/>
  <c r="R334" i="5"/>
  <c r="M334" i="5"/>
  <c r="R333" i="5"/>
  <c r="M333" i="5"/>
  <c r="R332" i="5"/>
  <c r="M332" i="5"/>
  <c r="R331" i="5"/>
  <c r="M331" i="5"/>
  <c r="R330" i="5"/>
  <c r="M330" i="5"/>
  <c r="R329" i="5"/>
  <c r="M329" i="5"/>
  <c r="R357" i="5"/>
  <c r="M357" i="5"/>
  <c r="R356" i="5"/>
  <c r="M356" i="5"/>
  <c r="R361" i="5"/>
  <c r="M361" i="5"/>
  <c r="R360" i="5"/>
  <c r="M360" i="5"/>
  <c r="R373" i="5"/>
  <c r="M373" i="5"/>
  <c r="R372" i="5"/>
  <c r="M372" i="5"/>
  <c r="R371" i="5"/>
  <c r="M371" i="5"/>
  <c r="R370" i="5"/>
  <c r="M370" i="5"/>
  <c r="R369" i="5"/>
  <c r="M369" i="5"/>
  <c r="R368" i="5"/>
  <c r="M368" i="5"/>
  <c r="R383" i="5"/>
  <c r="M383" i="5"/>
  <c r="R382" i="5"/>
  <c r="M382" i="5"/>
  <c r="R381" i="5"/>
  <c r="M381" i="5"/>
  <c r="R380" i="5"/>
  <c r="M380" i="5"/>
  <c r="R379" i="5"/>
  <c r="M379" i="5"/>
  <c r="R399" i="5"/>
  <c r="M399" i="5"/>
  <c r="R398" i="5"/>
  <c r="M398" i="5"/>
  <c r="R397" i="5"/>
  <c r="M397" i="5"/>
  <c r="R396" i="5"/>
  <c r="M396" i="5"/>
  <c r="R395" i="5"/>
  <c r="M395" i="5"/>
  <c r="R394" i="5"/>
  <c r="M394" i="5"/>
  <c r="R393" i="5"/>
  <c r="M393" i="5"/>
  <c r="R392" i="5"/>
  <c r="M392" i="5"/>
  <c r="R407" i="5"/>
  <c r="M407" i="5"/>
  <c r="R406" i="5"/>
  <c r="M406" i="5"/>
  <c r="R405" i="5"/>
  <c r="M405" i="5"/>
  <c r="R404" i="5"/>
  <c r="M404" i="5"/>
  <c r="R409" i="5"/>
  <c r="M409" i="5"/>
  <c r="R2" i="5"/>
  <c r="M2" i="5"/>
  <c r="R4" i="5"/>
  <c r="M4" i="5"/>
  <c r="R6" i="5"/>
  <c r="M6" i="5"/>
  <c r="R59" i="5"/>
  <c r="M59" i="5"/>
  <c r="R58" i="5"/>
  <c r="M58" i="5"/>
  <c r="R57" i="5"/>
  <c r="M57" i="5"/>
  <c r="R56" i="5"/>
  <c r="M56" i="5"/>
  <c r="R55" i="5"/>
  <c r="M55" i="5"/>
  <c r="R54" i="5"/>
  <c r="M54" i="5"/>
  <c r="R53" i="5"/>
  <c r="M53" i="5"/>
  <c r="R52" i="5"/>
  <c r="M52" i="5"/>
  <c r="R51" i="5"/>
  <c r="M51" i="5"/>
  <c r="R50" i="5"/>
  <c r="M50" i="5"/>
  <c r="R49" i="5"/>
  <c r="M49" i="5"/>
  <c r="R48" i="5"/>
  <c r="M48" i="5"/>
  <c r="R47" i="5"/>
  <c r="M47" i="5"/>
  <c r="R46" i="5"/>
  <c r="M46" i="5"/>
  <c r="R45" i="5"/>
  <c r="M45" i="5"/>
  <c r="R44" i="5"/>
  <c r="M44" i="5"/>
  <c r="R43" i="5"/>
  <c r="M43" i="5"/>
  <c r="R42" i="5"/>
  <c r="M42" i="5"/>
  <c r="R41" i="5"/>
  <c r="M41" i="5"/>
  <c r="R40" i="5"/>
  <c r="M40" i="5"/>
  <c r="R39" i="5"/>
  <c r="M39" i="5"/>
  <c r="R38" i="5"/>
  <c r="M38" i="5"/>
  <c r="R37" i="5"/>
  <c r="M37" i="5"/>
  <c r="R36" i="5"/>
  <c r="M36" i="5"/>
  <c r="R35" i="5"/>
  <c r="M35" i="5"/>
  <c r="R34" i="5"/>
  <c r="M34" i="5"/>
  <c r="R33" i="5"/>
  <c r="M33" i="5"/>
  <c r="R32" i="5"/>
  <c r="M32" i="5"/>
  <c r="R31" i="5"/>
  <c r="M31" i="5"/>
  <c r="R30" i="5"/>
  <c r="M30" i="5"/>
  <c r="R29" i="5"/>
  <c r="M29" i="5"/>
  <c r="R28" i="5"/>
  <c r="M28" i="5"/>
  <c r="R27" i="5"/>
  <c r="M27" i="5"/>
  <c r="R26" i="5"/>
  <c r="M26" i="5"/>
  <c r="R25" i="5"/>
  <c r="M25" i="5"/>
  <c r="R24" i="5"/>
  <c r="M24" i="5"/>
  <c r="R15" i="5"/>
  <c r="M15" i="5"/>
  <c r="R14" i="5"/>
  <c r="M14" i="5"/>
  <c r="R13" i="5"/>
  <c r="M13" i="5"/>
  <c r="R12" i="5"/>
  <c r="M12" i="5"/>
  <c r="R11" i="5"/>
  <c r="M11" i="5"/>
  <c r="R10" i="5"/>
  <c r="M10" i="5"/>
  <c r="R9" i="5"/>
  <c r="M9" i="5"/>
  <c r="R8" i="5"/>
  <c r="M8" i="5"/>
  <c r="R96" i="5"/>
  <c r="M96" i="5"/>
  <c r="R122" i="5"/>
  <c r="M122" i="5"/>
  <c r="R121" i="5"/>
  <c r="M121" i="5"/>
  <c r="R120" i="5"/>
  <c r="M120" i="5"/>
  <c r="R119" i="5"/>
  <c r="M119" i="5"/>
  <c r="R118" i="5"/>
  <c r="M118" i="5"/>
  <c r="R117" i="5"/>
  <c r="M117" i="5"/>
  <c r="R116" i="5"/>
  <c r="M116" i="5"/>
  <c r="R115" i="5"/>
  <c r="M115" i="5"/>
  <c r="R114" i="5"/>
  <c r="M114" i="5"/>
  <c r="R113" i="5"/>
  <c r="M113" i="5"/>
  <c r="R112" i="5"/>
  <c r="M112" i="5"/>
  <c r="R111" i="5"/>
  <c r="M111" i="5"/>
  <c r="R110" i="5"/>
  <c r="M110" i="5"/>
  <c r="R109" i="5"/>
  <c r="M109" i="5"/>
  <c r="R108" i="5"/>
  <c r="M108" i="5"/>
  <c r="R107" i="5"/>
  <c r="M107" i="5"/>
  <c r="R106" i="5"/>
  <c r="M106" i="5"/>
  <c r="R105" i="5"/>
  <c r="M105" i="5"/>
  <c r="R104" i="5"/>
  <c r="M104" i="5"/>
  <c r="R103" i="5"/>
  <c r="M103" i="5"/>
  <c r="R102" i="5"/>
  <c r="M102" i="5"/>
  <c r="R101" i="5"/>
  <c r="M101" i="5"/>
  <c r="R100" i="5"/>
  <c r="M100" i="5"/>
  <c r="R99" i="5"/>
  <c r="M99" i="5"/>
  <c r="R98" i="5"/>
  <c r="M98" i="5"/>
  <c r="R150" i="5"/>
  <c r="M150" i="5"/>
  <c r="R149" i="5"/>
  <c r="M149" i="5"/>
  <c r="R148" i="5"/>
  <c r="M148" i="5"/>
  <c r="R168" i="5"/>
  <c r="M168" i="5"/>
  <c r="R167" i="5"/>
  <c r="M167" i="5"/>
  <c r="R166" i="5"/>
  <c r="M166" i="5"/>
  <c r="R165" i="5"/>
  <c r="M165" i="5"/>
  <c r="R164" i="5"/>
  <c r="M164" i="5"/>
  <c r="R163" i="5"/>
  <c r="M163" i="5"/>
  <c r="R162" i="5"/>
  <c r="M162" i="5"/>
  <c r="R161" i="5"/>
  <c r="M161" i="5"/>
  <c r="R160" i="5"/>
  <c r="M160" i="5"/>
  <c r="R159" i="5"/>
  <c r="M159" i="5"/>
  <c r="R158" i="5"/>
  <c r="M158" i="5"/>
  <c r="R157" i="5"/>
  <c r="M157" i="5"/>
  <c r="R156" i="5"/>
  <c r="M156" i="5"/>
  <c r="R155" i="5"/>
  <c r="M155" i="5"/>
  <c r="R154" i="5"/>
  <c r="M154" i="5"/>
  <c r="R185" i="5"/>
  <c r="M185" i="5"/>
  <c r="R184" i="5"/>
  <c r="M184" i="5"/>
  <c r="R192" i="5"/>
  <c r="M192" i="5"/>
  <c r="R191" i="5"/>
  <c r="M191" i="5"/>
  <c r="R190" i="5"/>
  <c r="M190" i="5"/>
  <c r="R189" i="5"/>
  <c r="M189" i="5"/>
  <c r="R188" i="5"/>
  <c r="M188" i="5"/>
  <c r="R201" i="5"/>
  <c r="M201" i="5"/>
  <c r="R200" i="5"/>
  <c r="M200" i="5"/>
  <c r="R199" i="5"/>
  <c r="M199" i="5"/>
  <c r="R198" i="5"/>
  <c r="M198" i="5"/>
  <c r="R207" i="5"/>
  <c r="M207" i="5"/>
  <c r="R206" i="5"/>
  <c r="M206" i="5"/>
  <c r="R221" i="5"/>
  <c r="M221" i="5"/>
  <c r="R220" i="5"/>
  <c r="M220" i="5"/>
  <c r="R219" i="5"/>
  <c r="M219" i="5"/>
  <c r="R218" i="5"/>
  <c r="M218" i="5"/>
  <c r="R217" i="5"/>
  <c r="M217" i="5"/>
  <c r="R216" i="5"/>
  <c r="M216" i="5"/>
  <c r="R215" i="5"/>
  <c r="M215" i="5"/>
  <c r="R214" i="5"/>
  <c r="M214" i="5"/>
  <c r="R213" i="5"/>
  <c r="M213" i="5"/>
  <c r="R212" i="5"/>
  <c r="M212" i="5"/>
  <c r="R211" i="5"/>
  <c r="M211" i="5"/>
  <c r="R210" i="5"/>
  <c r="M210" i="5"/>
  <c r="R239" i="5"/>
  <c r="M239" i="5"/>
  <c r="R238" i="5"/>
  <c r="M238" i="5"/>
  <c r="R237" i="5"/>
  <c r="M237" i="5"/>
  <c r="R236" i="5"/>
  <c r="M236" i="5"/>
  <c r="R235" i="5"/>
  <c r="M235" i="5"/>
  <c r="R234" i="5"/>
  <c r="M234" i="5"/>
  <c r="R253" i="5"/>
  <c r="M253" i="5"/>
  <c r="R252" i="5"/>
  <c r="M252" i="5"/>
  <c r="R251" i="5"/>
  <c r="M251" i="5"/>
  <c r="R250" i="5"/>
  <c r="M250" i="5"/>
  <c r="R249" i="5"/>
  <c r="M249" i="5"/>
  <c r="R248" i="5"/>
  <c r="M248" i="5"/>
  <c r="R247" i="5"/>
  <c r="M247" i="5"/>
  <c r="R246" i="5"/>
  <c r="M246" i="5"/>
  <c r="R264" i="5"/>
  <c r="M264" i="5"/>
  <c r="R263" i="5"/>
  <c r="M263" i="5"/>
  <c r="R262" i="5"/>
  <c r="M262" i="5"/>
  <c r="R270" i="5"/>
  <c r="M270" i="5"/>
  <c r="R269" i="5"/>
  <c r="M269" i="5"/>
  <c r="R268" i="5"/>
  <c r="M268" i="5"/>
  <c r="R275" i="5"/>
  <c r="M275" i="5"/>
  <c r="R274" i="5"/>
  <c r="M274" i="5"/>
  <c r="R290" i="5"/>
  <c r="M290" i="5"/>
  <c r="R289" i="5"/>
  <c r="M289" i="5"/>
  <c r="R288" i="5"/>
  <c r="M288" i="5"/>
  <c r="R287" i="5"/>
  <c r="M287" i="5"/>
  <c r="R286" i="5"/>
  <c r="M286" i="5"/>
  <c r="R285" i="5"/>
  <c r="M285" i="5"/>
  <c r="R284" i="5"/>
  <c r="M284" i="5"/>
  <c r="R283" i="5"/>
  <c r="M283" i="5"/>
  <c r="R282" i="5"/>
  <c r="M282" i="5"/>
  <c r="R281" i="5"/>
  <c r="M281" i="5"/>
  <c r="R280" i="5"/>
  <c r="M280" i="5"/>
  <c r="R279" i="5"/>
  <c r="M279" i="5"/>
  <c r="R278" i="5"/>
  <c r="M278" i="5"/>
  <c r="R328" i="5"/>
  <c r="M328" i="5"/>
  <c r="R327" i="5"/>
  <c r="M327" i="5"/>
  <c r="R326" i="5"/>
  <c r="M326" i="5"/>
  <c r="R325" i="5"/>
  <c r="M325" i="5"/>
  <c r="R324" i="5"/>
  <c r="M324" i="5"/>
  <c r="R323" i="5"/>
  <c r="M323" i="5"/>
  <c r="R322" i="5"/>
  <c r="M322" i="5"/>
  <c r="R321" i="5"/>
  <c r="M321" i="5"/>
  <c r="R320" i="5"/>
  <c r="M320" i="5"/>
  <c r="R319" i="5"/>
  <c r="M319" i="5"/>
  <c r="R318" i="5"/>
  <c r="M318" i="5"/>
  <c r="R317" i="5"/>
  <c r="M317" i="5"/>
  <c r="R316" i="5"/>
  <c r="M316" i="5"/>
  <c r="R315" i="5"/>
  <c r="M315" i="5"/>
  <c r="R314" i="5"/>
  <c r="M314" i="5"/>
  <c r="R313" i="5"/>
  <c r="M313" i="5"/>
  <c r="R312" i="5"/>
  <c r="M312" i="5"/>
  <c r="R311" i="5"/>
  <c r="M311" i="5"/>
  <c r="R310" i="5"/>
  <c r="M310" i="5"/>
  <c r="R309" i="5"/>
  <c r="M309" i="5"/>
  <c r="R308" i="5"/>
  <c r="M308" i="5"/>
  <c r="R307" i="5"/>
  <c r="M307" i="5"/>
  <c r="R306" i="5"/>
  <c r="M306" i="5"/>
  <c r="R305" i="5"/>
  <c r="M305" i="5"/>
  <c r="R304" i="5"/>
  <c r="M304" i="5"/>
  <c r="R355" i="5"/>
  <c r="M355" i="5"/>
  <c r="R354" i="5"/>
  <c r="M354" i="5"/>
  <c r="R359" i="5"/>
  <c r="M359" i="5"/>
  <c r="R358" i="5"/>
  <c r="M358" i="5"/>
  <c r="R367" i="5"/>
  <c r="M367" i="5"/>
  <c r="R366" i="5"/>
  <c r="M366" i="5"/>
  <c r="R365" i="5"/>
  <c r="M365" i="5"/>
  <c r="R364" i="5"/>
  <c r="M364" i="5"/>
  <c r="R363" i="5"/>
  <c r="M363" i="5"/>
  <c r="R362" i="5"/>
  <c r="M362" i="5"/>
  <c r="R378" i="5"/>
  <c r="M378" i="5"/>
  <c r="R377" i="5"/>
  <c r="M377" i="5"/>
  <c r="R376" i="5"/>
  <c r="M376" i="5"/>
  <c r="R375" i="5"/>
  <c r="M375" i="5"/>
  <c r="R374" i="5"/>
  <c r="M374" i="5"/>
  <c r="R391" i="5"/>
  <c r="M391" i="5"/>
  <c r="R390" i="5"/>
  <c r="M390" i="5"/>
  <c r="R389" i="5"/>
  <c r="M389" i="5"/>
  <c r="R388" i="5"/>
  <c r="M388" i="5"/>
  <c r="R387" i="5"/>
  <c r="M387" i="5"/>
  <c r="R386" i="5"/>
  <c r="M386" i="5"/>
  <c r="R385" i="5"/>
  <c r="M385" i="5"/>
  <c r="R384" i="5"/>
  <c r="M384" i="5"/>
  <c r="R403" i="5"/>
  <c r="M403" i="5"/>
  <c r="R402" i="5"/>
  <c r="M402" i="5"/>
  <c r="R401" i="5"/>
  <c r="M401" i="5"/>
  <c r="R400" i="5"/>
  <c r="M400" i="5"/>
  <c r="R408" i="5"/>
  <c r="M408" i="5"/>
  <c r="N6" i="4"/>
  <c r="I5" i="4"/>
  <c r="H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<sst xmlns="http://schemas.openxmlformats.org/spreadsheetml/2006/main" count="22623" uniqueCount="879">
  <si>
    <t>Scale Cross Dock</t>
  </si>
  <si>
    <t>Unidades Directos</t>
  </si>
  <si>
    <t>CARRIER</t>
  </si>
  <si>
    <t>RUTA</t>
  </si>
  <si>
    <t>PROVINCE</t>
  </si>
  <si>
    <t>CITY FOS</t>
  </si>
  <si>
    <t>TRANSPORT ZONE</t>
  </si>
  <si>
    <t>SEMI</t>
  </si>
  <si>
    <t>BALANCIN</t>
  </si>
  <si>
    <t>CHASIS</t>
  </si>
  <si>
    <t>LIVIANO</t>
  </si>
  <si>
    <t>UTILITARIO</t>
  </si>
  <si>
    <t>TYPE OF SHIPMENT</t>
  </si>
  <si>
    <t>1s</t>
  </si>
  <si>
    <t>2s</t>
  </si>
  <si>
    <t>3s</t>
  </si>
  <si>
    <t>4s</t>
  </si>
  <si>
    <t>5s</t>
  </si>
  <si>
    <t>X KG</t>
  </si>
  <si>
    <t>ANDREANI LOGISTICA S.A.</t>
  </si>
  <si>
    <t>BHN</t>
  </si>
  <si>
    <t>Bahia Blanca</t>
  </si>
  <si>
    <t>AR00BA4001</t>
  </si>
  <si>
    <t>PAT</t>
  </si>
  <si>
    <t>Santa Cruz</t>
  </si>
  <si>
    <t>Caleta Olivia</t>
  </si>
  <si>
    <t>AR00SC1001</t>
  </si>
  <si>
    <t>SFE</t>
  </si>
  <si>
    <t>Santa Fe</t>
  </si>
  <si>
    <t>Casilda</t>
  </si>
  <si>
    <t>AR00SF1004</t>
  </si>
  <si>
    <t>NOA</t>
  </si>
  <si>
    <t>Catamarca</t>
  </si>
  <si>
    <t>AR00CA1001</t>
  </si>
  <si>
    <t>Río Negro</t>
  </si>
  <si>
    <t>Choele Choel</t>
  </si>
  <si>
    <t>AR00RN1001</t>
  </si>
  <si>
    <t>Neuquén</t>
  </si>
  <si>
    <t>Chubut</t>
  </si>
  <si>
    <t>Comodoro Rivadavia</t>
  </si>
  <si>
    <t>AR00CT1001</t>
  </si>
  <si>
    <t>MSO</t>
  </si>
  <si>
    <t>Concordia</t>
  </si>
  <si>
    <t>AR00ER1004</t>
  </si>
  <si>
    <t>COR</t>
  </si>
  <si>
    <t>Cordoba</t>
  </si>
  <si>
    <t>AR00CB1008</t>
  </si>
  <si>
    <t>Cte.Luis Piedrabuena</t>
  </si>
  <si>
    <t>AR00SC1002</t>
  </si>
  <si>
    <t>El Bolson</t>
  </si>
  <si>
    <t>AR00RN1003</t>
  </si>
  <si>
    <t>El Calafate</t>
  </si>
  <si>
    <t>AR00SC1003</t>
  </si>
  <si>
    <t>Esquel</t>
  </si>
  <si>
    <t>AR00CT1002</t>
  </si>
  <si>
    <t>NEA</t>
  </si>
  <si>
    <t>Formosa</t>
  </si>
  <si>
    <t>AR00FO1002</t>
  </si>
  <si>
    <t>PAM</t>
  </si>
  <si>
    <t>La Pampa</t>
  </si>
  <si>
    <t>Gral. Pico</t>
  </si>
  <si>
    <t>AR00LP1001</t>
  </si>
  <si>
    <t>Gral. Roca</t>
  </si>
  <si>
    <t>AR00RN1004</t>
  </si>
  <si>
    <t>Gualeguaychu</t>
  </si>
  <si>
    <t>AR00ER1008</t>
  </si>
  <si>
    <t>Buenos Aires</t>
  </si>
  <si>
    <t>Junin</t>
  </si>
  <si>
    <t>AR00BA3012</t>
  </si>
  <si>
    <t>La Rioja</t>
  </si>
  <si>
    <t>AR00LR1002</t>
  </si>
  <si>
    <t>ATL</t>
  </si>
  <si>
    <t>AR00BA2004</t>
  </si>
  <si>
    <t>CUY</t>
  </si>
  <si>
    <t>Mendoza</t>
  </si>
  <si>
    <t>AR00MZ1007</t>
  </si>
  <si>
    <t>Neuquen</t>
  </si>
  <si>
    <t>AR00NQ1002</t>
  </si>
  <si>
    <t>Chaco</t>
  </si>
  <si>
    <t>Pcia.Roque S.PE&amp;A</t>
  </si>
  <si>
    <t>AR00CH1002</t>
  </si>
  <si>
    <t>AR00BA3017</t>
  </si>
  <si>
    <t>Perito Moreno</t>
  </si>
  <si>
    <t>AR00SC1007</t>
  </si>
  <si>
    <t>Pico Truncado</t>
  </si>
  <si>
    <t>AR00SC1008</t>
  </si>
  <si>
    <t>Misiones</t>
  </si>
  <si>
    <t>Posadas</t>
  </si>
  <si>
    <t>AR00MI1005</t>
  </si>
  <si>
    <t>Pto.Deseado</t>
  </si>
  <si>
    <t>AR00SC1009</t>
  </si>
  <si>
    <t>Puerto Madryn</t>
  </si>
  <si>
    <t>AR00CT1004</t>
  </si>
  <si>
    <t>Puerto Santa Cruz</t>
  </si>
  <si>
    <t>AR00SC1011</t>
  </si>
  <si>
    <t>Rawson</t>
  </si>
  <si>
    <t>AR00CT1005</t>
  </si>
  <si>
    <t>AR00SF1015</t>
  </si>
  <si>
    <t>Resistencia</t>
  </si>
  <si>
    <t>AR00CH1004</t>
  </si>
  <si>
    <t>Rio Cuarto</t>
  </si>
  <si>
    <t>AR00CB1017</t>
  </si>
  <si>
    <t>Rio Gallegos</t>
  </si>
  <si>
    <t>AR00SC1012</t>
  </si>
  <si>
    <t>Tierra del Fuego</t>
  </si>
  <si>
    <t>Rio Grande</t>
  </si>
  <si>
    <t>AR00TF1001</t>
  </si>
  <si>
    <t>Rio Turbio</t>
  </si>
  <si>
    <t>AR00SC1013</t>
  </si>
  <si>
    <t>Rosario</t>
  </si>
  <si>
    <t>AR00SF1016</t>
  </si>
  <si>
    <t>Salta</t>
  </si>
  <si>
    <t>AR00SA1003</t>
  </si>
  <si>
    <t>San C. de Bariloche</t>
  </si>
  <si>
    <t>AR00RN1006</t>
  </si>
  <si>
    <t>AR00CB1019</t>
  </si>
  <si>
    <t>San Juan</t>
  </si>
  <si>
    <t xml:space="preserve">San Juan </t>
  </si>
  <si>
    <t>AR00SJ1001</t>
  </si>
  <si>
    <t>San Luis</t>
  </si>
  <si>
    <t>AR00SL1001</t>
  </si>
  <si>
    <t>San M. de Los Andes,Neuquen</t>
  </si>
  <si>
    <t>AR00NQ1003</t>
  </si>
  <si>
    <t>San M.de Tucuman</t>
  </si>
  <si>
    <t>AR00TU1005</t>
  </si>
  <si>
    <t>San Rafael</t>
  </si>
  <si>
    <t>AR00MZ1011</t>
  </si>
  <si>
    <t>Jujuy</t>
  </si>
  <si>
    <t>San S. de Jujuy, Jujuy</t>
  </si>
  <si>
    <t>AR00JY1005</t>
  </si>
  <si>
    <t>AR00SF1021</t>
  </si>
  <si>
    <t>AR00LP1004</t>
  </si>
  <si>
    <t>Santiago del Estero</t>
  </si>
  <si>
    <t>AR00SE1002</t>
  </si>
  <si>
    <t>Sarmiento</t>
  </si>
  <si>
    <t>AR00CT1007</t>
  </si>
  <si>
    <t>Tandil</t>
  </si>
  <si>
    <t>AR00BA3021</t>
  </si>
  <si>
    <t>Trelew</t>
  </si>
  <si>
    <t>AR00CT1008</t>
  </si>
  <si>
    <t>Ushuaia</t>
  </si>
  <si>
    <t>AR00TF1002</t>
  </si>
  <si>
    <t>Venado Tuerto</t>
  </si>
  <si>
    <t>AR00SF1024</t>
  </si>
  <si>
    <t>Viedma</t>
  </si>
  <si>
    <t>AR00RN1007</t>
  </si>
  <si>
    <t>Villa Maria</t>
  </si>
  <si>
    <t>AR00CB1025</t>
  </si>
  <si>
    <t>Villa Mercedes</t>
  </si>
  <si>
    <t>AR00SL1002</t>
  </si>
  <si>
    <t>Villa Regina, Rio Negro</t>
  </si>
  <si>
    <t>AR00RN1008</t>
  </si>
  <si>
    <t>Zapala</t>
  </si>
  <si>
    <t>AR00NQ1004</t>
  </si>
  <si>
    <t>CELSUR LOGISTICA S.A</t>
  </si>
  <si>
    <t>BUE</t>
  </si>
  <si>
    <t>Zona Oeste</t>
  </si>
  <si>
    <t>AR00BA1003</t>
  </si>
  <si>
    <t>DISTRI 10 S.R.L.</t>
  </si>
  <si>
    <t>Capital</t>
  </si>
  <si>
    <t>AR00BA1001</t>
  </si>
  <si>
    <t>GIAMPAOLETTI BUOSI S.A.</t>
  </si>
  <si>
    <t>Centenario, Neuquen</t>
  </si>
  <si>
    <t>AR00NQ1001</t>
  </si>
  <si>
    <t>Cipolletti</t>
  </si>
  <si>
    <t>AR00RN1002</t>
  </si>
  <si>
    <t>Coronel Suarez</t>
  </si>
  <si>
    <t>AR00BA3008</t>
  </si>
  <si>
    <t>Gobernador Gregores</t>
  </si>
  <si>
    <t>AR00SC1004</t>
  </si>
  <si>
    <t>Los Antiguos</t>
  </si>
  <si>
    <t>AR00SC1005</t>
  </si>
  <si>
    <t>Pigue, Buenos Aires</t>
  </si>
  <si>
    <t>AR00BA3019</t>
  </si>
  <si>
    <t>Playa Union</t>
  </si>
  <si>
    <t>AR00CT1003</t>
  </si>
  <si>
    <t>Puerto San Julian</t>
  </si>
  <si>
    <t>AR00SC1010</t>
  </si>
  <si>
    <t>Rio Mayo, Chubut</t>
  </si>
  <si>
    <t>AR00CT1006</t>
  </si>
  <si>
    <t>Tres Arroyos, Buenos Aires</t>
  </si>
  <si>
    <t>AR00BA3022</t>
  </si>
  <si>
    <t>I-FLOW S.A.</t>
  </si>
  <si>
    <t>Mar de Ajo</t>
  </si>
  <si>
    <t>AR00BA2003</t>
  </si>
  <si>
    <t>Mar Del Plata</t>
  </si>
  <si>
    <t>Campana</t>
  </si>
  <si>
    <t>AR00BA1006</t>
  </si>
  <si>
    <t>Mercedes</t>
  </si>
  <si>
    <t>AR00BA1005</t>
  </si>
  <si>
    <t>Pilar</t>
  </si>
  <si>
    <t>AR00BA1008</t>
  </si>
  <si>
    <t>Zarate</t>
  </si>
  <si>
    <t>AR00BA1007</t>
  </si>
  <si>
    <t>Zona Norte</t>
  </si>
  <si>
    <t>AR00BA1002</t>
  </si>
  <si>
    <t>Zona Sur</t>
  </si>
  <si>
    <t>AR00BA1004</t>
  </si>
  <si>
    <t>Barrio Alto Verde</t>
  </si>
  <si>
    <t>AR00CB1005</t>
  </si>
  <si>
    <t>Camino Colonia Tirolesa</t>
  </si>
  <si>
    <t>AR00CB1006</t>
  </si>
  <si>
    <t>Rio Tercero</t>
  </si>
  <si>
    <t>AR00CB1018</t>
  </si>
  <si>
    <t>B.Villa Cabrera</t>
  </si>
  <si>
    <t>AR00CB1004</t>
  </si>
  <si>
    <t>Godoy Cruz</t>
  </si>
  <si>
    <t>AR00MZ1002</t>
  </si>
  <si>
    <t>Guaymallen</t>
  </si>
  <si>
    <t>AR00MZ1004</t>
  </si>
  <si>
    <t>Las Heras</t>
  </si>
  <si>
    <t>AR00MZ1005</t>
  </si>
  <si>
    <t>Lujan de Cuyo</t>
  </si>
  <si>
    <t>AR00MZ1006</t>
  </si>
  <si>
    <t>San Jose</t>
  </si>
  <si>
    <t>AR00MZ1009</t>
  </si>
  <si>
    <t xml:space="preserve">Santa Lucia </t>
  </si>
  <si>
    <t>AR00SJ1002</t>
  </si>
  <si>
    <t>Parana</t>
  </si>
  <si>
    <t>AR00ER1015</t>
  </si>
  <si>
    <t>Corrientes</t>
  </si>
  <si>
    <t>AR00CR1001</t>
  </si>
  <si>
    <t>Bragado</t>
  </si>
  <si>
    <t>AR00BA3004</t>
  </si>
  <si>
    <t>Chascomus</t>
  </si>
  <si>
    <t>AR00BA3006</t>
  </si>
  <si>
    <t>Olavarria</t>
  </si>
  <si>
    <t>AR00BA3015</t>
  </si>
  <si>
    <t>Santa Rosa</t>
  </si>
  <si>
    <t>LOGISCHER NEA SA</t>
  </si>
  <si>
    <t>Necochea</t>
  </si>
  <si>
    <t>AR00BA2006</t>
  </si>
  <si>
    <t>Frontera</t>
  </si>
  <si>
    <t>AR00SF1010</t>
  </si>
  <si>
    <t>TTES. LOS AMIGOS S.A.</t>
  </si>
  <si>
    <t>WAL-MART ARGENTINA SRL</t>
  </si>
  <si>
    <t>Type of truck</t>
  </si>
  <si>
    <t>Zone</t>
  </si>
  <si>
    <t>ZONE</t>
  </si>
  <si>
    <t>SERVPROV ID</t>
  </si>
  <si>
    <t xml:space="preserve"> Proveedor</t>
  </si>
  <si>
    <t xml:space="preserve"> Vigencia </t>
  </si>
  <si>
    <t xml:space="preserve"> Demora</t>
  </si>
  <si>
    <t xml:space="preserve"> Estadia hasta 4hs</t>
  </si>
  <si>
    <t>Estadio hasta 8hs</t>
  </si>
  <si>
    <t>10 a 14 horas</t>
  </si>
  <si>
    <t>No Show</t>
  </si>
  <si>
    <t xml:space="preserve"> Dos Puntos</t>
  </si>
  <si>
    <t xml:space="preserve"> Peon descarga y repaletizado</t>
  </si>
  <si>
    <t>FALSO FLETE</t>
  </si>
  <si>
    <t>Comentarios</t>
  </si>
  <si>
    <t xml:space="preserve"> Alcance</t>
  </si>
  <si>
    <t xml:space="preserve"> Hora</t>
  </si>
  <si>
    <t>Hasta 4hs</t>
  </si>
  <si>
    <t>hasta 8hs</t>
  </si>
  <si>
    <t xml:space="preserve"> Boca de entrega</t>
  </si>
  <si>
    <t>Falso Flete</t>
  </si>
  <si>
    <t>Utilitario</t>
  </si>
  <si>
    <t>Capital Federal</t>
  </si>
  <si>
    <t>Quinta Zona</t>
  </si>
  <si>
    <t>Liviano</t>
  </si>
  <si>
    <t>Chasis</t>
  </si>
  <si>
    <t>Balancin</t>
  </si>
  <si>
    <t>Semi</t>
  </si>
  <si>
    <t>Hasta 3 pallets</t>
  </si>
  <si>
    <t>Mas de 3 pallets</t>
  </si>
  <si>
    <t>RUT</t>
  </si>
  <si>
    <t>&amp;ZONA (Parada) Base ICDRB</t>
  </si>
  <si>
    <t>&amp;ZONA (Parada) Para tarifario</t>
  </si>
  <si>
    <t>Provincia</t>
  </si>
  <si>
    <t>Ruta</t>
  </si>
  <si>
    <t>ZONA</t>
  </si>
  <si>
    <t>Parada</t>
  </si>
  <si>
    <t>ABR_01</t>
  </si>
  <si>
    <t>ABR_02</t>
  </si>
  <si>
    <t>ZONA2</t>
  </si>
  <si>
    <t>PARADA2</t>
  </si>
  <si>
    <t>FROM</t>
  </si>
  <si>
    <t>TO</t>
  </si>
  <si>
    <t>Pick Pack</t>
  </si>
  <si>
    <t>Shipping condition</t>
  </si>
  <si>
    <t>Shipping Description</t>
  </si>
  <si>
    <t>Transit time</t>
  </si>
  <si>
    <t>Transport Zone SAP</t>
  </si>
  <si>
    <t>Ruta SAP</t>
  </si>
  <si>
    <t>Health</t>
  </si>
  <si>
    <t>Hyho</t>
  </si>
  <si>
    <t>Exportacion</t>
  </si>
  <si>
    <t>Montevideo</t>
  </si>
  <si>
    <t>Uruguay</t>
  </si>
  <si>
    <t>AR</t>
  </si>
  <si>
    <t>UR</t>
  </si>
  <si>
    <t>1</t>
  </si>
  <si>
    <t>01</t>
  </si>
  <si>
    <t>RB_FV</t>
  </si>
  <si>
    <t>1d</t>
  </si>
  <si>
    <t>Road/Truck</t>
  </si>
  <si>
    <t>3d</t>
  </si>
  <si>
    <t>AR1X03</t>
  </si>
  <si>
    <t>X</t>
  </si>
  <si>
    <t>Interior</t>
  </si>
  <si>
    <t>Provincia del Neuquén</t>
  </si>
  <si>
    <t>NQ</t>
  </si>
  <si>
    <t>7d</t>
  </si>
  <si>
    <t>AR1X07</t>
  </si>
  <si>
    <t>Neuquen, Neuquen</t>
  </si>
  <si>
    <t>02</t>
  </si>
  <si>
    <t>03</t>
  </si>
  <si>
    <t>Zapala, Neuquen</t>
  </si>
  <si>
    <t>04</t>
  </si>
  <si>
    <t>Comodoro Rivadavia, Chubut</t>
  </si>
  <si>
    <t>Provincia del Chubut</t>
  </si>
  <si>
    <t>CT</t>
  </si>
  <si>
    <t>12d</t>
  </si>
  <si>
    <t>AR1X12</t>
  </si>
  <si>
    <t>Esquel, Chubut</t>
  </si>
  <si>
    <t>Playa Union, Chubut</t>
  </si>
  <si>
    <t>Puerto Madryn, Chubut</t>
  </si>
  <si>
    <t>Rawson, Chubut</t>
  </si>
  <si>
    <t>05</t>
  </si>
  <si>
    <t>06</t>
  </si>
  <si>
    <t>Sarmiento, Chubut</t>
  </si>
  <si>
    <t>07</t>
  </si>
  <si>
    <t>Trelew, Chubut</t>
  </si>
  <si>
    <t>08</t>
  </si>
  <si>
    <t>Charata, Chaco</t>
  </si>
  <si>
    <t>Charata</t>
  </si>
  <si>
    <t>Provincia del Chaco</t>
  </si>
  <si>
    <t>CH</t>
  </si>
  <si>
    <t>Pcia.Roque S.PE&amp;A, Chaco</t>
  </si>
  <si>
    <t>Quitilipi, Chaco  </t>
  </si>
  <si>
    <t>Resistencia, Chaco</t>
  </si>
  <si>
    <t>Villa Angela, Chaco</t>
  </si>
  <si>
    <t>Villa Ángela</t>
  </si>
  <si>
    <t>Aguilares, Tucuman</t>
  </si>
  <si>
    <t>Provincia de Tucumán</t>
  </si>
  <si>
    <t>TU</t>
  </si>
  <si>
    <t>Concepcion, Tucuman</t>
  </si>
  <si>
    <t>Juan B.Alberdi, Tucuman</t>
  </si>
  <si>
    <t>Monteros, Tucuman</t>
  </si>
  <si>
    <t>San M.de Tucuman, Tucuman</t>
  </si>
  <si>
    <t>Yerba Buena, Tucuman</t>
  </si>
  <si>
    <t>Rio Grande, Tierra del Fuego</t>
  </si>
  <si>
    <t>Provincia de Tierra del Fuego, Antártida e Islas del Atlántico Sur</t>
  </si>
  <si>
    <t>TF</t>
  </si>
  <si>
    <t>Ushuaia, Tierra del Fuego</t>
  </si>
  <si>
    <t>Fernandez, Sgo. del Estero</t>
  </si>
  <si>
    <t>Provincia de Santiago del Estero</t>
  </si>
  <si>
    <t>SE</t>
  </si>
  <si>
    <t>Santiago del Estero, Sgo.del E</t>
  </si>
  <si>
    <t>Avellaneda, Santa Fe</t>
  </si>
  <si>
    <t>Provincia de Santa Fe</t>
  </si>
  <si>
    <t>SF</t>
  </si>
  <si>
    <t>6d</t>
  </si>
  <si>
    <t>AR1X06</t>
  </si>
  <si>
    <t>Cañada de Gomez, Santa Fe</t>
  </si>
  <si>
    <t>Cañada de Gomez</t>
  </si>
  <si>
    <t>Capitan Bermudez, Santa Fe</t>
  </si>
  <si>
    <t>Capitan Bermudez</t>
  </si>
  <si>
    <t>Casilda, Santa Fe</t>
  </si>
  <si>
    <t>Chabas, Santa Fe</t>
  </si>
  <si>
    <t>Chabas</t>
  </si>
  <si>
    <t>Chanar Ladeado,Santa Fe</t>
  </si>
  <si>
    <t>Chanar Ladeado</t>
  </si>
  <si>
    <t>EMP V Constitucion, Santa Fe</t>
  </si>
  <si>
    <t>Esperanza, Santa Fe</t>
  </si>
  <si>
    <t>Firmat, Santa Fe</t>
  </si>
  <si>
    <t>Firmat</t>
  </si>
  <si>
    <t>09</t>
  </si>
  <si>
    <t>Frontera, Santa Fe</t>
  </si>
  <si>
    <t>10</t>
  </si>
  <si>
    <t>Granadero Baigorria, Santa Fe</t>
  </si>
  <si>
    <t>11</t>
  </si>
  <si>
    <t>Laguna Paiva, Santa Fe</t>
  </si>
  <si>
    <t>12</t>
  </si>
  <si>
    <t>Maggiolo, Santa Fe</t>
  </si>
  <si>
    <t>13</t>
  </si>
  <si>
    <t>Rafaela, Santa Fe</t>
  </si>
  <si>
    <t>Rafaela</t>
  </si>
  <si>
    <t>14</t>
  </si>
  <si>
    <t>Reconquista, Santa Fe</t>
  </si>
  <si>
    <t>Reconquista</t>
  </si>
  <si>
    <t>15</t>
  </si>
  <si>
    <t>Rosario, Santa Fe</t>
  </si>
  <si>
    <t>16</t>
  </si>
  <si>
    <t>Rufino, Santa Fe</t>
  </si>
  <si>
    <t>Rufino</t>
  </si>
  <si>
    <t>17</t>
  </si>
  <si>
    <t>San Jorge, Santa Fe</t>
  </si>
  <si>
    <t>18</t>
  </si>
  <si>
    <t>San Justo, Santa Fe</t>
  </si>
  <si>
    <t>San Justo</t>
  </si>
  <si>
    <t>19</t>
  </si>
  <si>
    <t>San Lorenzo, Santa Fe</t>
  </si>
  <si>
    <t>20</t>
  </si>
  <si>
    <t>Santa Fe, Santa Fe</t>
  </si>
  <si>
    <t>21</t>
  </si>
  <si>
    <t>Santa Fe 1</t>
  </si>
  <si>
    <t>22</t>
  </si>
  <si>
    <t>Santo Tome, Santa Fe</t>
  </si>
  <si>
    <t>Santo Tome</t>
  </si>
  <si>
    <t>23</t>
  </si>
  <si>
    <t>Venado Tuerto, Santa Fe</t>
  </si>
  <si>
    <t>24</t>
  </si>
  <si>
    <t>Villa Gobernador Galvez,Santa</t>
  </si>
  <si>
    <t>25</t>
  </si>
  <si>
    <t>Caleta Olivia,Santa Cruz</t>
  </si>
  <si>
    <t>Provincia de Santa Cruz</t>
  </si>
  <si>
    <t>SC</t>
  </si>
  <si>
    <t>Cte.Luis Piedrabuena,Santa Cru</t>
  </si>
  <si>
    <t>El Calafate, Santa Cruz</t>
  </si>
  <si>
    <t>Gobernador Gregores,Santa Cruz</t>
  </si>
  <si>
    <t>Los Antiguos, Santa Cruz</t>
  </si>
  <si>
    <t>Patagonia</t>
  </si>
  <si>
    <t>Perito Moreno, Santa Cruz</t>
  </si>
  <si>
    <t>Pico Truncado, Santa Cruz</t>
  </si>
  <si>
    <t>Puerto San Julian, Santa Cruz</t>
  </si>
  <si>
    <t>Puerto Santa Cruz, Santa Cruz</t>
  </si>
  <si>
    <t>Rio Gallegos, Santa Cruz</t>
  </si>
  <si>
    <t>Rio Turbio, Santa Cruz</t>
  </si>
  <si>
    <t>San Luis, San Luis</t>
  </si>
  <si>
    <t>Provincia de San Luis</t>
  </si>
  <si>
    <t>SL</t>
  </si>
  <si>
    <t>Villa Mercedes, San Luis</t>
  </si>
  <si>
    <t>San Juan , San Juan</t>
  </si>
  <si>
    <t>Provincia de San Juan</t>
  </si>
  <si>
    <t>SJ</t>
  </si>
  <si>
    <t>Santa Lucia , San Juan</t>
  </si>
  <si>
    <t>Villa Krause, San Juan</t>
  </si>
  <si>
    <t>Cerrillos,Salta</t>
  </si>
  <si>
    <t>Cerrillos</t>
  </si>
  <si>
    <t>Provincia de Salta</t>
  </si>
  <si>
    <t>SA</t>
  </si>
  <si>
    <t>Pocitos, Salta</t>
  </si>
  <si>
    <t>Salta, Salta</t>
  </si>
  <si>
    <t>Choele Choel, Rio Negro</t>
  </si>
  <si>
    <t>Provincia de Río Negro</t>
  </si>
  <si>
    <t>RN</t>
  </si>
  <si>
    <t>Cipolletti, Rio Negro</t>
  </si>
  <si>
    <t>El Bolson, Rio Negro</t>
  </si>
  <si>
    <t>Gral. Roca, Rio Negro</t>
  </si>
  <si>
    <t>Rio Negro</t>
  </si>
  <si>
    <t>San C. de Bariloche, Rio Negro</t>
  </si>
  <si>
    <t>Viedma, Rio Negro</t>
  </si>
  <si>
    <t>Eldorado, Misiones</t>
  </si>
  <si>
    <t>Eldorado</t>
  </si>
  <si>
    <t>Provincia de Misiones</t>
  </si>
  <si>
    <t>MI</t>
  </si>
  <si>
    <t>Jardin America, Misiones</t>
  </si>
  <si>
    <t>Leandro N. Alem, Misiones</t>
  </si>
  <si>
    <t>Obera, Misiones</t>
  </si>
  <si>
    <t>Posadas, Misiones</t>
  </si>
  <si>
    <t>Puerto Rico, Misiones</t>
  </si>
  <si>
    <t>Acceso Este Rodeo de la Cruz,M</t>
  </si>
  <si>
    <t>Acceso Este Rodeo de la Cruz</t>
  </si>
  <si>
    <t>Provincia de Mendoza</t>
  </si>
  <si>
    <t>MZ</t>
  </si>
  <si>
    <t>Godoy Cruz, Mendonza</t>
  </si>
  <si>
    <t>Gral.Alvear, Mendonza</t>
  </si>
  <si>
    <t>Gral.Alvear</t>
  </si>
  <si>
    <t>Las Heras, Mendonza</t>
  </si>
  <si>
    <t>Lujan de Cuyo, Mendonza</t>
  </si>
  <si>
    <t>Mendoza, Mendoza</t>
  </si>
  <si>
    <t>Rivadavia, Mendoza</t>
  </si>
  <si>
    <t>Rivadavia</t>
  </si>
  <si>
    <t>Cuyo 1</t>
  </si>
  <si>
    <t>San Martin</t>
  </si>
  <si>
    <t>San Rafael, Mendonza</t>
  </si>
  <si>
    <t>Villanueva, Mendonza</t>
  </si>
  <si>
    <t>Chilecito,La Rioja</t>
  </si>
  <si>
    <t>Chilecito</t>
  </si>
  <si>
    <t>Provincia de La Rioja</t>
  </si>
  <si>
    <t>LR</t>
  </si>
  <si>
    <t>La Rioja, La Rioja</t>
  </si>
  <si>
    <t>Gral.Pico, La Pampa</t>
  </si>
  <si>
    <t>Provincia de La Pampa</t>
  </si>
  <si>
    <t>LP</t>
  </si>
  <si>
    <t>Intendente Alvear, La Pampa</t>
  </si>
  <si>
    <t>Santa Rosa, La Pampa</t>
  </si>
  <si>
    <t>La Quiaca, Jujuy</t>
  </si>
  <si>
    <t>Provincia de Jujuy</t>
  </si>
  <si>
    <t>JY</t>
  </si>
  <si>
    <t>Lib.Gral.San Martin, Jujuy</t>
  </si>
  <si>
    <t>Lib.Gral.San Martin</t>
  </si>
  <si>
    <t>NOA 1</t>
  </si>
  <si>
    <t>Palpala</t>
  </si>
  <si>
    <t>San Pedro de Jujuy, Jujuy</t>
  </si>
  <si>
    <t>Clorinda, Formosa</t>
  </si>
  <si>
    <t>Clorinda</t>
  </si>
  <si>
    <t>Provincia de Formosa</t>
  </si>
  <si>
    <t>FO</t>
  </si>
  <si>
    <t>Formosa, Formosa</t>
  </si>
  <si>
    <t>Chajari, Entre Rios</t>
  </si>
  <si>
    <t>Provincia de Entre Ríos</t>
  </si>
  <si>
    <t>ER</t>
  </si>
  <si>
    <t>Colon, Entre Rios</t>
  </si>
  <si>
    <t>Concepcion del Uruguay,Entre R</t>
  </si>
  <si>
    <t>Concepcion del Uruguay</t>
  </si>
  <si>
    <t>Concordia, Entre Rios</t>
  </si>
  <si>
    <t>Crespo, Entre Rios</t>
  </si>
  <si>
    <t>Diamante, Entre Rios</t>
  </si>
  <si>
    <t>Gualeguay, Entre Rios</t>
  </si>
  <si>
    <t>Gualeguaychu, Entre Rios</t>
  </si>
  <si>
    <t>La Paz, Entre Rios</t>
  </si>
  <si>
    <t>Mesopotamia 1</t>
  </si>
  <si>
    <t>Nogoya, Entre Rios</t>
  </si>
  <si>
    <t>Santa Helena, Entre Rios</t>
  </si>
  <si>
    <t>Victoria, Entre Rios</t>
  </si>
  <si>
    <t>Villaguay, Entre Rios</t>
  </si>
  <si>
    <t>Parana, Entre Rios</t>
  </si>
  <si>
    <t>Corrientes, Corrientes</t>
  </si>
  <si>
    <t>Provincia de Corrientes</t>
  </si>
  <si>
    <t>CR</t>
  </si>
  <si>
    <t>Goya ,Corrientes</t>
  </si>
  <si>
    <t>Paso de los Libres,Corrientes</t>
  </si>
  <si>
    <t>Paso de los Libres</t>
  </si>
  <si>
    <t>Alta Gracia, Cordoba  </t>
  </si>
  <si>
    <t>Alta Gracia</t>
  </si>
  <si>
    <t>Provincia de Córdoba</t>
  </si>
  <si>
    <t>CB</t>
  </si>
  <si>
    <t>Arguello, Cordoba</t>
  </si>
  <si>
    <t>Arroyito, Cordoba</t>
  </si>
  <si>
    <t>Camino Colonia Tirolesa, Cordo</t>
  </si>
  <si>
    <t>Colonia Caroya, Cordoba</t>
  </si>
  <si>
    <t>Cordoba, Cordoba</t>
  </si>
  <si>
    <t>Corral de Bustos, Cordoba</t>
  </si>
  <si>
    <t>Corral de Bustos</t>
  </si>
  <si>
    <t>Cosquin, Cordoba</t>
  </si>
  <si>
    <t>Embalse Rio Tercero, Cordoba</t>
  </si>
  <si>
    <t>Jesus Maria, Cordoba</t>
  </si>
  <si>
    <t>Las Peyas, Cordoba</t>
  </si>
  <si>
    <t>Monte Cristo, Cordoba</t>
  </si>
  <si>
    <t>Obispo Trejo, Cordoba</t>
  </si>
  <si>
    <t>Rio Ceballos, Cordoba</t>
  </si>
  <si>
    <t>Rio Ceballos</t>
  </si>
  <si>
    <t>Rio Cuarto, Cordoba</t>
  </si>
  <si>
    <t>Rio Tercero, Cordoba</t>
  </si>
  <si>
    <t>San Francisco, Cordoba</t>
  </si>
  <si>
    <t>San Francisco</t>
  </si>
  <si>
    <t>San Francisco Del Chanar</t>
  </si>
  <si>
    <t>Santa Rosa de Rio Primero,Cord</t>
  </si>
  <si>
    <t>Santa Rosa de Rio Primero</t>
  </si>
  <si>
    <t>Unquillo, Cordoba</t>
  </si>
  <si>
    <t>Unquillo</t>
  </si>
  <si>
    <t>Villa Carlos Paz, Cordoba</t>
  </si>
  <si>
    <t>Villa Carlos Paz</t>
  </si>
  <si>
    <t>Villa del Rosario, Cordoba</t>
  </si>
  <si>
    <t>Villa Maria, Cordoba</t>
  </si>
  <si>
    <t>Catamarca, Catamarca</t>
  </si>
  <si>
    <t>Provincia de Catamarca</t>
  </si>
  <si>
    <t>CA</t>
  </si>
  <si>
    <t>Cap - GBA</t>
  </si>
  <si>
    <t>Provincia de Buenos Aires</t>
  </si>
  <si>
    <t>CPF</t>
  </si>
  <si>
    <t>BA</t>
  </si>
  <si>
    <t>AR1X01</t>
  </si>
  <si>
    <t>GBA</t>
  </si>
  <si>
    <t>004</t>
  </si>
  <si>
    <t>ZMB</t>
  </si>
  <si>
    <t>005</t>
  </si>
  <si>
    <t>006</t>
  </si>
  <si>
    <t>007</t>
  </si>
  <si>
    <t>008</t>
  </si>
  <si>
    <t>Balcarce, Buenos Aires</t>
  </si>
  <si>
    <t>Balcarce</t>
  </si>
  <si>
    <t>BSC</t>
  </si>
  <si>
    <t>2</t>
  </si>
  <si>
    <t>Gral.Madariaga, Buenos Aires</t>
  </si>
  <si>
    <t>Gral.Madariaga</t>
  </si>
  <si>
    <t>Mar de Ajo, Buenos Aires</t>
  </si>
  <si>
    <t>Mar Del Plata, Buenos Aires</t>
  </si>
  <si>
    <t>Miramar, Buenos Aires</t>
  </si>
  <si>
    <t>Miramar</t>
  </si>
  <si>
    <t>Necochea, Buenos Aires</t>
  </si>
  <si>
    <t>Pinamar, Buenos Aires</t>
  </si>
  <si>
    <t>Pinamar</t>
  </si>
  <si>
    <t>San Bernardo, Buenos Aires</t>
  </si>
  <si>
    <t>San Bernardo</t>
  </si>
  <si>
    <t>San Clemente del Tuyu,Buenos A</t>
  </si>
  <si>
    <t>San Clemente del Tuyu</t>
  </si>
  <si>
    <t>Villa Gessel, Buenos Aires</t>
  </si>
  <si>
    <t>Villa Gessel</t>
  </si>
  <si>
    <t>Bahia Blanca, Buenos Aires</t>
  </si>
  <si>
    <t>4</t>
  </si>
  <si>
    <t>9 de Julio, Buenos Aires</t>
  </si>
  <si>
    <t>9 de Julio</t>
  </si>
  <si>
    <t>BSI</t>
  </si>
  <si>
    <t>3</t>
  </si>
  <si>
    <t>America, Buenos Aires</t>
  </si>
  <si>
    <t>Azul, Buenos Aires</t>
  </si>
  <si>
    <t>Azul</t>
  </si>
  <si>
    <t>Bragado, Buenos Aires</t>
  </si>
  <si>
    <t>Campana, Buenos Aires</t>
  </si>
  <si>
    <t>Chascomus,Buenos Aires</t>
  </si>
  <si>
    <t>Chivilcoy, Buenos Aires</t>
  </si>
  <si>
    <t>Coronel Suarez,Buenos Aires</t>
  </si>
  <si>
    <t>Dolores, Buenos Aires</t>
  </si>
  <si>
    <t>Bolivar, Buenos Aires</t>
  </si>
  <si>
    <t>Bolivar</t>
  </si>
  <si>
    <t>Gral.Villegas, Buenos Aires</t>
  </si>
  <si>
    <t>Junin, Buenos Aires</t>
  </si>
  <si>
    <t xml:space="preserve">lo </t>
  </si>
  <si>
    <t>Lincoln, Buenos Aires</t>
  </si>
  <si>
    <t>Loberia, Buenos Aires</t>
  </si>
  <si>
    <t>Olavarria, Buenos Aires</t>
  </si>
  <si>
    <t>Otamendi, Buenos Aires</t>
  </si>
  <si>
    <t>Pehuajo,Buenos Aires</t>
  </si>
  <si>
    <t>Pehuajo</t>
  </si>
  <si>
    <t>Pergamino, Buenos Aires</t>
  </si>
  <si>
    <t>Pergamino</t>
  </si>
  <si>
    <t>Saladillo, Buenos Aires</t>
  </si>
  <si>
    <t>Tandil, Buenos Aires</t>
  </si>
  <si>
    <t>Vedia BS AS</t>
  </si>
  <si>
    <t>San Nicolas, Buenos Aires</t>
  </si>
  <si>
    <t>San Nicolas</t>
  </si>
  <si>
    <t>Trenque Lauquen</t>
  </si>
  <si>
    <t>010</t>
  </si>
  <si>
    <t>Asuncion</t>
  </si>
  <si>
    <t>Paraguay</t>
  </si>
  <si>
    <t>PA</t>
  </si>
  <si>
    <t>Santiago</t>
  </si>
  <si>
    <t>Chile</t>
  </si>
  <si>
    <t>CL</t>
  </si>
  <si>
    <t>Bolivia</t>
  </si>
  <si>
    <t>BO</t>
  </si>
  <si>
    <t>3PL Direct</t>
  </si>
  <si>
    <t>2d</t>
  </si>
  <si>
    <t>AR1X02</t>
  </si>
  <si>
    <t>0d</t>
  </si>
  <si>
    <t>AR0X00</t>
  </si>
  <si>
    <t>Country</t>
  </si>
  <si>
    <t>Departure zone</t>
  </si>
  <si>
    <t>Shipping Conditions</t>
  </si>
  <si>
    <t>Transportation Group</t>
  </si>
  <si>
    <t>Destination Country</t>
  </si>
  <si>
    <t>Transportation zone</t>
  </si>
  <si>
    <t>Weight group</t>
  </si>
  <si>
    <t>Actual route</t>
  </si>
  <si>
    <t>.</t>
  </si>
  <si>
    <t>NEW ROUTE TO BE UPDATED</t>
  </si>
  <si>
    <t>AR00000001</t>
  </si>
  <si>
    <t>0001</t>
  </si>
  <si>
    <t>9900000001</t>
  </si>
  <si>
    <t>2499</t>
  </si>
  <si>
    <t>2500</t>
  </si>
  <si>
    <t>500</t>
  </si>
  <si>
    <t>5442</t>
  </si>
  <si>
    <t>5443</t>
  </si>
  <si>
    <t>6803</t>
  </si>
  <si>
    <t>6804</t>
  </si>
  <si>
    <t>9071</t>
  </si>
  <si>
    <t>9072</t>
  </si>
  <si>
    <t>9999</t>
  </si>
  <si>
    <t>AR00BA2001</t>
  </si>
  <si>
    <t>AR00BA2002</t>
  </si>
  <si>
    <t>AR00BA2005</t>
  </si>
  <si>
    <t>AR00BA2007</t>
  </si>
  <si>
    <t>AR00BA2008</t>
  </si>
  <si>
    <t>AR00BA2009</t>
  </si>
  <si>
    <t>AR00BA2010</t>
  </si>
  <si>
    <t>AR00BA3001</t>
  </si>
  <si>
    <t>AR00BA3002</t>
  </si>
  <si>
    <t>AR00BA3003</t>
  </si>
  <si>
    <t>AR00BA3005</t>
  </si>
  <si>
    <t>AR00BA3007</t>
  </si>
  <si>
    <t>AR00BA3009</t>
  </si>
  <si>
    <t>AR00BA3010</t>
  </si>
  <si>
    <t>AR00BA3011</t>
  </si>
  <si>
    <t>AR00BA3013</t>
  </si>
  <si>
    <t>AR00BA3014</t>
  </si>
  <si>
    <t>AR00BA3016</t>
  </si>
  <si>
    <t>AR00BA3018</t>
  </si>
  <si>
    <t>AR00BA3020</t>
  </si>
  <si>
    <t>AR00BA3023</t>
  </si>
  <si>
    <t>AR00BA3024</t>
  </si>
  <si>
    <t>AR00BA3025</t>
  </si>
  <si>
    <t>AR00CB1001</t>
  </si>
  <si>
    <t>AR00CB1002</t>
  </si>
  <si>
    <t>AR00CB1003</t>
  </si>
  <si>
    <t>AR00CB1007</t>
  </si>
  <si>
    <t>AR00CB1009</t>
  </si>
  <si>
    <t>AR00CB1010</t>
  </si>
  <si>
    <t>AR00CB1011</t>
  </si>
  <si>
    <t>AR00CB1012</t>
  </si>
  <si>
    <t>AR00CB1013</t>
  </si>
  <si>
    <t>AR00CB1014</t>
  </si>
  <si>
    <t>AR00CB1015</t>
  </si>
  <si>
    <t>AR00CB1016</t>
  </si>
  <si>
    <t>AR00CB1020</t>
  </si>
  <si>
    <t>AR00CB1021</t>
  </si>
  <si>
    <t>AR00CB1022</t>
  </si>
  <si>
    <t>AR00CB1023</t>
  </si>
  <si>
    <t>AR00CB1024</t>
  </si>
  <si>
    <t>AR00CH1001</t>
  </si>
  <si>
    <t>AR00CH1003</t>
  </si>
  <si>
    <t>AR00CH1005</t>
  </si>
  <si>
    <t>AR00CR1002</t>
  </si>
  <si>
    <t>AR00CR1003</t>
  </si>
  <si>
    <t>AR00ER1001</t>
  </si>
  <si>
    <t>AR00ER1002</t>
  </si>
  <si>
    <t>AR00ER1003</t>
  </si>
  <si>
    <t>AR00ER1005</t>
  </si>
  <si>
    <t>AR00ER1006</t>
  </si>
  <si>
    <t>AR00ER1007</t>
  </si>
  <si>
    <t>AR00ER1009</t>
  </si>
  <si>
    <t>AR00ER1010</t>
  </si>
  <si>
    <t>AR00ER1011</t>
  </si>
  <si>
    <t>AR00ER1012</t>
  </si>
  <si>
    <t>AR00ER1013</t>
  </si>
  <si>
    <t>AR00ER1014</t>
  </si>
  <si>
    <t>AR00EX1004</t>
  </si>
  <si>
    <t>AR00FO1001</t>
  </si>
  <si>
    <t>AR00JY1001</t>
  </si>
  <si>
    <t>AR00JY1002</t>
  </si>
  <si>
    <t>AR00JY1003</t>
  </si>
  <si>
    <t>AR00JY1004</t>
  </si>
  <si>
    <t>AR00LP1002</t>
  </si>
  <si>
    <t>AR00LP1003</t>
  </si>
  <si>
    <t>AR00LR1001</t>
  </si>
  <si>
    <t>AR00MI1001</t>
  </si>
  <si>
    <t>AR00MI1002</t>
  </si>
  <si>
    <t>AR00MI1003</t>
  </si>
  <si>
    <t>AR00MI1004</t>
  </si>
  <si>
    <t>AR00MI1006</t>
  </si>
  <si>
    <t>AR00MZ1001</t>
  </si>
  <si>
    <t>AR00MZ1003</t>
  </si>
  <si>
    <t>AR00MZ1008</t>
  </si>
  <si>
    <t>AR00MZ1010</t>
  </si>
  <si>
    <t>AR00MZ1012</t>
  </si>
  <si>
    <t>AR00RN1005</t>
  </si>
  <si>
    <t>AR00SA1001</t>
  </si>
  <si>
    <t>AR00SA1002</t>
  </si>
  <si>
    <t>AR00SC1006</t>
  </si>
  <si>
    <t>AR00SE1001</t>
  </si>
  <si>
    <t>AR00SF1001</t>
  </si>
  <si>
    <t>AR00SF1002</t>
  </si>
  <si>
    <t>AR00SF1003</t>
  </si>
  <si>
    <t>AR00SF1005</t>
  </si>
  <si>
    <t>AR00SF1006</t>
  </si>
  <si>
    <t>AR00SF1007</t>
  </si>
  <si>
    <t>AR00SF1008</t>
  </si>
  <si>
    <t>AR00SF1009</t>
  </si>
  <si>
    <t>AR00SF1011</t>
  </si>
  <si>
    <t>AR00SF1012</t>
  </si>
  <si>
    <t>AR00SF1013</t>
  </si>
  <si>
    <t>AR00SF1014</t>
  </si>
  <si>
    <t>AR00SF1017</t>
  </si>
  <si>
    <t>AR00SF1018</t>
  </si>
  <si>
    <t>AR00SF1019</t>
  </si>
  <si>
    <t>AR00SF1020</t>
  </si>
  <si>
    <t>AR00SF1022</t>
  </si>
  <si>
    <t>AR00SF1023</t>
  </si>
  <si>
    <t>AR00SF1025</t>
  </si>
  <si>
    <t>AR00SJ1003</t>
  </si>
  <si>
    <t>AR00TU1001</t>
  </si>
  <si>
    <t>AR00TU1002</t>
  </si>
  <si>
    <t>AR00TU1003</t>
  </si>
  <si>
    <t>AR00TU1004</t>
  </si>
  <si>
    <t>AR00TU1006</t>
  </si>
  <si>
    <t>BO00000001</t>
  </si>
  <si>
    <t>PY</t>
  </si>
  <si>
    <t>PY00000001</t>
  </si>
  <si>
    <t>UY</t>
  </si>
  <si>
    <t>UY00000001</t>
  </si>
  <si>
    <t>Acumulado</t>
  </si>
  <si>
    <t>Etiquetas de fila</t>
  </si>
  <si>
    <t>Total general</t>
  </si>
  <si>
    <t>Acumulado Anual 2025</t>
  </si>
  <si>
    <t>Feb</t>
  </si>
  <si>
    <t>Mar</t>
  </si>
  <si>
    <t>Apr</t>
  </si>
  <si>
    <t>May</t>
  </si>
  <si>
    <t>Jun</t>
  </si>
  <si>
    <t>Jul</t>
  </si>
  <si>
    <t> </t>
  </si>
  <si>
    <t>ene-24</t>
  </si>
  <si>
    <t>feb-24</t>
  </si>
  <si>
    <t>mar-24</t>
  </si>
  <si>
    <t>abr-24</t>
  </si>
  <si>
    <t>may-24</t>
  </si>
  <si>
    <t>jun-24</t>
  </si>
  <si>
    <t>jul-24</t>
  </si>
  <si>
    <t>ago-24</t>
  </si>
  <si>
    <t>sept-24</t>
  </si>
  <si>
    <t>oct-24</t>
  </si>
  <si>
    <t>nov-24</t>
  </si>
  <si>
    <t>dic-24</t>
  </si>
  <si>
    <t>ene-25</t>
  </si>
  <si>
    <t>feb-25</t>
  </si>
  <si>
    <t>mar-25</t>
  </si>
  <si>
    <t>abr-25</t>
  </si>
  <si>
    <t>may-25</t>
  </si>
  <si>
    <t>jun-25</t>
  </si>
  <si>
    <t>jul-25</t>
  </si>
  <si>
    <t>ago-25</t>
  </si>
  <si>
    <t>sept-25</t>
  </si>
  <si>
    <t>dic-25</t>
  </si>
  <si>
    <t>Febrero</t>
  </si>
  <si>
    <t>0,00%</t>
  </si>
  <si>
    <t>nov-252</t>
  </si>
  <si>
    <t>oct-252</t>
  </si>
  <si>
    <t>CELSUR LOGISTICA S.A.</t>
  </si>
  <si>
    <t>Alcance Depo Fiscal</t>
  </si>
  <si>
    <t>CUT OFF</t>
  </si>
  <si>
    <t>Cut Off</t>
  </si>
  <si>
    <t>No Cut Off</t>
  </si>
  <si>
    <t>Expo</t>
  </si>
  <si>
    <t>(en blanco)</t>
  </si>
  <si>
    <t>AR00BO1002</t>
  </si>
  <si>
    <t>AR00CL1004</t>
  </si>
  <si>
    <t>AR00PA1003</t>
  </si>
  <si>
    <t>AR00UR1001</t>
  </si>
  <si>
    <t>Córdoba</t>
  </si>
  <si>
    <t>Entre Ríos</t>
  </si>
  <si>
    <t>Tucumán</t>
  </si>
  <si>
    <t>DIRECTOS</t>
  </si>
  <si>
    <t>EMP V Constitucion</t>
  </si>
  <si>
    <t>Avellaneda</t>
  </si>
  <si>
    <t>Granadero Baigorria</t>
  </si>
  <si>
    <t>Laguna Paiva</t>
  </si>
  <si>
    <t>Maggiolo</t>
  </si>
  <si>
    <t>San Jorge</t>
  </si>
  <si>
    <t>San Lorenzo</t>
  </si>
  <si>
    <t>Villa Gobernador Galvez</t>
  </si>
  <si>
    <t>Esperanza</t>
  </si>
  <si>
    <t>Rio Mayo</t>
  </si>
  <si>
    <t>Intendente Alvear</t>
  </si>
  <si>
    <t>Villa Regina</t>
  </si>
  <si>
    <t>Centenario</t>
  </si>
  <si>
    <t>San M. de Los Andes</t>
  </si>
  <si>
    <t>Arguello</t>
  </si>
  <si>
    <t>Arroyito</t>
  </si>
  <si>
    <t>Colonia Caroya</t>
  </si>
  <si>
    <t>Cosquin</t>
  </si>
  <si>
    <t>Embalse Rio Tercero</t>
  </si>
  <si>
    <t>Jesus Maria</t>
  </si>
  <si>
    <t>Las Peyas</t>
  </si>
  <si>
    <t>Monte Cristo</t>
  </si>
  <si>
    <t>Obispo Trejo</t>
  </si>
  <si>
    <t>Villa del Rosario</t>
  </si>
  <si>
    <t>Villanueva</t>
  </si>
  <si>
    <t>Villa Krause</t>
  </si>
  <si>
    <t>Chajari</t>
  </si>
  <si>
    <t>Colon</t>
  </si>
  <si>
    <t>Crespo</t>
  </si>
  <si>
    <t>Diamante</t>
  </si>
  <si>
    <t>Gualeguay</t>
  </si>
  <si>
    <t>La Paz</t>
  </si>
  <si>
    <t>Nogoya</t>
  </si>
  <si>
    <t>Santa Helena</t>
  </si>
  <si>
    <t>Victoria</t>
  </si>
  <si>
    <t>Villaguay</t>
  </si>
  <si>
    <t>Goya</t>
  </si>
  <si>
    <t>Jardin America</t>
  </si>
  <si>
    <t>Leandro N. Alem</t>
  </si>
  <si>
    <t>Obera</t>
  </si>
  <si>
    <t>Puerto Rico</t>
  </si>
  <si>
    <t>Quitilipi</t>
  </si>
  <si>
    <t>La Quiaca</t>
  </si>
  <si>
    <t>San Pedro de Jujuy</t>
  </si>
  <si>
    <t>San S. de Jujuy</t>
  </si>
  <si>
    <t>Pocitos</t>
  </si>
  <si>
    <t>Fernandez</t>
  </si>
  <si>
    <t>Aguilares</t>
  </si>
  <si>
    <t>Concepcion</t>
  </si>
  <si>
    <t>Juan B.Alberdi</t>
  </si>
  <si>
    <t>Monteros</t>
  </si>
  <si>
    <t>Yerba Buena</t>
  </si>
  <si>
    <t>America</t>
  </si>
  <si>
    <t>Chivilcoy</t>
  </si>
  <si>
    <t>Dolores</t>
  </si>
  <si>
    <t>Gral.Villegas</t>
  </si>
  <si>
    <t>Lincoln</t>
  </si>
  <si>
    <t>Loberia</t>
  </si>
  <si>
    <t>Otamendi</t>
  </si>
  <si>
    <t>Pigue</t>
  </si>
  <si>
    <t>Saladillo</t>
  </si>
  <si>
    <t>Tres Arroyos</t>
  </si>
  <si>
    <t>Aforo x 900KG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</si>
</sst>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\ #,##0.00;[Red]\-&quot;$&quot;\ #,##0.00"/>
    <numFmt numFmtId="44" formatCode="_-&quot;$&quot;\ * #,##0.00_-;\-&quot;$&quot;\ * #,##0.00_-;_-&quot;$&quot;\ * &quot;-&quot;??_-;_-@_-"/>
    <numFmt numFmtId="164" formatCode="&quot;$&quot;\ #,##0.00;[Red]&quot;$&quot;\ \-#,##0.00"/>
    <numFmt numFmtId="165" formatCode="&quot;$&quot;\ #,##0.00"/>
    <numFmt numFmtId="166" formatCode="_ &quot;$&quot;\ * #,##0.00_ ;_ &quot;$&quot;\ * \-#,##0.00_ ;_ &quot;$&quot;\ * &quot;-&quot;??_ ;_ @_ "/>
    <numFmt numFmtId="167" formatCode="&quot;$&quot;\ #,##0"/>
    <numFmt numFmtId="168" formatCode="_ &quot;$&quot;\ * #,##0_ ;_ &quot;$&quot;\ * \-#,##0_ ;_ &quot;$&quot;\ * &quot;-&quot;??_ ;_ @_ "/>
    <numFmt numFmtId="169" formatCode="0.000%"/>
    <numFmt numFmtId="170" formatCode="&quot;$&quot;\ #,##0.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rebuchet MS"/>
      <family val="2"/>
    </font>
    <font>
      <sz val="10"/>
      <color theme="1"/>
      <name val="Calibri Light"/>
      <family val="2"/>
      <scheme val="major"/>
    </font>
    <font>
      <sz val="10"/>
      <name val="Calibri Light"/>
      <family val="2"/>
      <scheme val="major"/>
    </font>
    <font>
      <b/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 Light"/>
      <family val="2"/>
      <scheme val="major"/>
    </font>
    <font>
      <b/>
      <sz val="10"/>
      <name val="Calibri Light"/>
      <family val="2"/>
      <scheme val="major"/>
    </font>
    <font>
      <b/>
      <sz val="10"/>
      <color rgb="FF000000"/>
      <name val="Trebuchet MS"/>
      <family val="2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7F"/>
      <name val="Calibri"/>
      <family val="2"/>
    </font>
    <font>
      <b/>
      <sz val="11"/>
      <color theme="0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9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FF"/>
        <bgColor theme="4"/>
      </patternFill>
    </fill>
    <fill>
      <patternFill patternType="solid">
        <fgColor theme="3"/>
        <b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BDDE"/>
        <bgColor rgb="FF000000"/>
      </patternFill>
    </fill>
    <fill>
      <patternFill patternType="solid">
        <fgColor rgb="FFFF007F"/>
        <bgColor rgb="FF000000"/>
      </patternFill>
    </fill>
    <fill>
      <patternFill patternType="solid">
        <fgColor theme="4" tint="0.79998168889431442"/>
        <bgColor theme="4" tint="0.79998168889431442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 style="hair">
        <color theme="7"/>
      </left>
      <right style="hair">
        <color theme="7"/>
      </right>
      <top style="hair">
        <color theme="7"/>
      </top>
      <bottom style="hair">
        <color theme="7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 style="hair">
        <color theme="4" tint="0.39997558519241921"/>
      </right>
      <top style="hair">
        <color theme="4" tint="0.39997558519241921"/>
      </top>
      <bottom style="medium">
        <color rgb="FF002060"/>
      </bottom>
      <diagonal/>
    </border>
    <border>
      <left style="hair">
        <color theme="4" tint="0.39997558519241921"/>
      </left>
      <right style="hair">
        <color theme="4" tint="0.39997558519241921"/>
      </right>
      <top style="hair">
        <color theme="4" tint="0.39997558519241921"/>
      </top>
      <bottom style="medium">
        <color rgb="FF002060"/>
      </bottom>
      <diagonal/>
    </border>
    <border>
      <left style="hair">
        <color theme="7"/>
      </left>
      <right style="hair">
        <color theme="7"/>
      </right>
      <top style="hair">
        <color theme="7"/>
      </top>
      <bottom/>
      <diagonal/>
    </border>
    <border>
      <left style="hair">
        <color theme="7"/>
      </left>
      <right style="hair">
        <color theme="7"/>
      </right>
      <top/>
      <bottom/>
      <diagonal/>
    </border>
    <border>
      <left/>
      <right/>
      <top style="medium">
        <color indexed="64"/>
      </top>
      <bottom/>
      <diagonal/>
    </border>
    <border>
      <left style="hair">
        <color theme="7"/>
      </left>
      <right style="hair">
        <color theme="7"/>
      </right>
      <top style="thin">
        <color theme="9"/>
      </top>
      <bottom style="hair">
        <color theme="7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/>
      <right style="thin">
        <color theme="8"/>
      </right>
      <top/>
      <bottom/>
      <diagonal/>
    </border>
    <border>
      <left style="hair">
        <color theme="7"/>
      </left>
      <right style="hair">
        <color theme="7"/>
      </right>
      <top style="thin">
        <color theme="9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rgb="FF002060"/>
      </left>
      <right style="hair">
        <color theme="4" tint="0.39997558519241921"/>
      </right>
      <top style="hair">
        <color theme="4" tint="0.39997558519241921"/>
      </top>
      <bottom/>
      <diagonal/>
    </border>
    <border>
      <left style="hair">
        <color theme="4" tint="0.39997558519241921"/>
      </left>
      <right style="hair">
        <color theme="4" tint="0.39997558519241921"/>
      </right>
      <top style="hair">
        <color theme="4" tint="0.39997558519241921"/>
      </top>
      <bottom/>
      <diagonal/>
    </border>
    <border>
      <left style="hair">
        <color theme="4" tint="0.39997558519241921"/>
      </left>
      <right style="medium">
        <color rgb="FF002060"/>
      </right>
      <top style="hair">
        <color theme="4" tint="0.39997558519241921"/>
      </top>
      <bottom/>
      <diagonal/>
    </border>
    <border>
      <left style="hair">
        <color theme="4" tint="0.39997558519241921"/>
      </left>
      <right style="medium">
        <color rgb="FF002060"/>
      </right>
      <top/>
      <bottom style="medium">
        <color rgb="FF00206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rgb="FF002060"/>
      </right>
      <top style="hair">
        <color theme="4" tint="0.39997558519241921"/>
      </top>
      <bottom/>
      <diagonal/>
    </border>
    <border>
      <left style="hair">
        <color theme="4" tint="0.39997558519241921"/>
      </left>
      <right/>
      <top style="hair">
        <color theme="4" tint="0.3999755851924192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8">
    <xf numFmtId="0" fontId="0" fillId="0" borderId="0"/>
    <xf numFmtId="166" fontId="1" fillId="0" borderId="0"/>
    <xf numFmtId="9" fontId="1" fillId="0" borderId="0"/>
    <xf numFmtId="0" fontId="12" fillId="8" borderId="0"/>
    <xf numFmtId="0" fontId="2" fillId="9" borderId="13"/>
    <xf numFmtId="0" fontId="14" fillId="16" borderId="0"/>
    <xf numFmtId="0" fontId="15" fillId="17" borderId="18" applyNumberFormat="0" applyAlignment="0" applyProtection="0"/>
    <xf numFmtId="44" fontId="1" fillId="0" borderId="0" applyFont="0" applyFill="0" applyBorder="0" applyAlignment="0" applyProtection="0"/>
  </cellStyleXfs>
  <cellXfs count="181">
    <xf numFmtId="0" fontId="0" fillId="0" borderId="0" xfId="0"/>
    <xf numFmtId="0" fontId="6" fillId="0" borderId="3" xfId="1" applyNumberFormat="1" applyFont="1" applyBorder="1"/>
    <xf numFmtId="0" fontId="8" fillId="0" borderId="3" xfId="0" applyFont="1" applyBorder="1" applyAlignment="1">
      <alignment horizontal="left"/>
    </xf>
    <xf numFmtId="0" fontId="5" fillId="3" borderId="2" xfId="0" applyFont="1" applyFill="1" applyBorder="1"/>
    <xf numFmtId="0" fontId="2" fillId="7" borderId="1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165" fontId="6" fillId="0" borderId="3" xfId="1" applyNumberFormat="1" applyFont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6" fontId="2" fillId="5" borderId="8" xfId="0" applyNumberFormat="1" applyFont="1" applyFill="1" applyBorder="1" applyAlignment="1">
      <alignment horizontal="center" vertical="center"/>
    </xf>
    <xf numFmtId="14" fontId="0" fillId="0" borderId="0" xfId="0" applyNumberFormat="1"/>
    <xf numFmtId="165" fontId="6" fillId="0" borderId="10" xfId="1" applyNumberFormat="1" applyFont="1" applyBorder="1" applyAlignment="1">
      <alignment horizontal="center" vertical="center"/>
    </xf>
    <xf numFmtId="0" fontId="10" fillId="0" borderId="3" xfId="1" applyNumberFormat="1" applyFont="1" applyBorder="1"/>
    <xf numFmtId="14" fontId="6" fillId="0" borderId="3" xfId="1" applyNumberFormat="1" applyFont="1" applyBorder="1"/>
    <xf numFmtId="1" fontId="6" fillId="0" borderId="3" xfId="1" applyNumberFormat="1" applyFont="1" applyBorder="1"/>
    <xf numFmtId="49" fontId="6" fillId="0" borderId="3" xfId="1" applyNumberFormat="1" applyFont="1" applyBorder="1"/>
    <xf numFmtId="168" fontId="0" fillId="0" borderId="0" xfId="1" applyNumberFormat="1" applyFont="1"/>
    <xf numFmtId="0" fontId="0" fillId="10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13" fillId="10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top"/>
    </xf>
    <xf numFmtId="0" fontId="0" fillId="11" borderId="0" xfId="0" applyFill="1" applyAlignment="1">
      <alignment vertical="top"/>
    </xf>
    <xf numFmtId="0" fontId="2" fillId="9" borderId="13" xfId="4" applyAlignment="1">
      <alignment horizontal="center" vertical="center"/>
    </xf>
    <xf numFmtId="49" fontId="2" fillId="9" borderId="13" xfId="4" applyNumberFormat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49" fontId="2" fillId="7" borderId="0" xfId="0" applyNumberFormat="1" applyFont="1" applyFill="1" applyAlignment="1">
      <alignment horizontal="center" vertical="center"/>
    </xf>
    <xf numFmtId="166" fontId="5" fillId="3" borderId="2" xfId="1" applyFont="1" applyFill="1" applyBorder="1"/>
    <xf numFmtId="0" fontId="4" fillId="3" borderId="2" xfId="0" applyFont="1" applyFill="1" applyBorder="1" applyAlignment="1">
      <alignment horizontal="justify" vertical="center"/>
    </xf>
    <xf numFmtId="0" fontId="8" fillId="14" borderId="0" xfId="0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0" fontId="12" fillId="8" borderId="0" xfId="3" applyAlignment="1">
      <alignment horizontal="center" vertical="center"/>
    </xf>
    <xf numFmtId="0" fontId="9" fillId="3" borderId="2" xfId="1" applyNumberFormat="1" applyFont="1" applyFill="1" applyBorder="1" applyAlignment="1">
      <alignment horizontal="center"/>
    </xf>
    <xf numFmtId="0" fontId="5" fillId="3" borderId="2" xfId="1" applyNumberFormat="1" applyFont="1" applyFill="1" applyBorder="1"/>
    <xf numFmtId="0" fontId="9" fillId="3" borderId="2" xfId="0" applyFont="1" applyFill="1" applyBorder="1" applyAlignment="1">
      <alignment horizontal="center"/>
    </xf>
    <xf numFmtId="166" fontId="5" fillId="15" borderId="2" xfId="1" applyFont="1" applyFill="1" applyBorder="1"/>
    <xf numFmtId="166" fontId="5" fillId="2" borderId="2" xfId="1" applyFont="1" applyFill="1" applyBorder="1"/>
    <xf numFmtId="0" fontId="5" fillId="2" borderId="2" xfId="1" applyNumberFormat="1" applyFont="1" applyFill="1" applyBorder="1"/>
    <xf numFmtId="0" fontId="4" fillId="2" borderId="2" xfId="0" applyFont="1" applyFill="1" applyBorder="1" applyAlignment="1">
      <alignment horizontal="justify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/>
    </xf>
    <xf numFmtId="49" fontId="8" fillId="2" borderId="2" xfId="0" applyNumberFormat="1" applyFont="1" applyFill="1" applyBorder="1" applyAlignment="1">
      <alignment horizontal="center" vertical="center"/>
    </xf>
    <xf numFmtId="49" fontId="12" fillId="8" borderId="0" xfId="3" applyNumberFormat="1" applyAlignment="1">
      <alignment horizontal="center" vertical="center"/>
    </xf>
    <xf numFmtId="0" fontId="8" fillId="3" borderId="2" xfId="1" applyNumberFormat="1" applyFont="1" applyFill="1" applyBorder="1" applyAlignment="1">
      <alignment horizontal="center"/>
    </xf>
    <xf numFmtId="49" fontId="8" fillId="3" borderId="2" xfId="0" applyNumberFormat="1" applyFont="1" applyFill="1" applyBorder="1" applyAlignment="1">
      <alignment horizontal="center" vertical="center"/>
    </xf>
    <xf numFmtId="0" fontId="7" fillId="3" borderId="2" xfId="0" applyFont="1" applyFill="1" applyBorder="1"/>
    <xf numFmtId="0" fontId="0" fillId="0" borderId="14" xfId="0" applyBorder="1"/>
    <xf numFmtId="0" fontId="0" fillId="0" borderId="15" xfId="0" applyBorder="1"/>
    <xf numFmtId="0" fontId="0" fillId="0" borderId="0" xfId="0" quotePrefix="1"/>
    <xf numFmtId="0" fontId="0" fillId="11" borderId="0" xfId="0" applyFill="1"/>
    <xf numFmtId="0" fontId="7" fillId="2" borderId="2" xfId="0" applyFont="1" applyFill="1" applyBorder="1"/>
    <xf numFmtId="0" fontId="0" fillId="0" borderId="16" xfId="0" applyBorder="1"/>
    <xf numFmtId="0" fontId="2" fillId="5" borderId="7" xfId="0" applyFont="1" applyFill="1" applyBorder="1" applyAlignment="1">
      <alignment horizontal="center" vertical="center"/>
    </xf>
    <xf numFmtId="9" fontId="0" fillId="0" borderId="0" xfId="0" applyNumberFormat="1"/>
    <xf numFmtId="10" fontId="0" fillId="0" borderId="0" xfId="0" applyNumberFormat="1"/>
    <xf numFmtId="166" fontId="1" fillId="0" borderId="0" xfId="1"/>
    <xf numFmtId="10" fontId="1" fillId="0" borderId="0" xfId="2" applyNumberFormat="1"/>
    <xf numFmtId="17" fontId="2" fillId="5" borderId="0" xfId="0" applyNumberFormat="1" applyFont="1" applyFill="1" applyAlignment="1">
      <alignment horizontal="center" vertical="center"/>
    </xf>
    <xf numFmtId="17" fontId="2" fillId="18" borderId="0" xfId="0" applyNumberFormat="1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19" fillId="20" borderId="21" xfId="0" applyFont="1" applyFill="1" applyBorder="1" applyAlignment="1">
      <alignment horizontal="center"/>
    </xf>
    <xf numFmtId="0" fontId="19" fillId="20" borderId="22" xfId="0" applyFont="1" applyFill="1" applyBorder="1" applyAlignment="1">
      <alignment horizontal="center"/>
    </xf>
    <xf numFmtId="10" fontId="17" fillId="0" borderId="19" xfId="0" applyNumberFormat="1" applyFont="1" applyBorder="1" applyAlignment="1">
      <alignment horizontal="center" wrapText="1"/>
    </xf>
    <xf numFmtId="0" fontId="17" fillId="0" borderId="23" xfId="0" applyFont="1" applyBorder="1" applyAlignment="1">
      <alignment horizontal="center" wrapText="1"/>
    </xf>
    <xf numFmtId="10" fontId="20" fillId="0" borderId="21" xfId="0" applyNumberFormat="1" applyFont="1" applyBorder="1"/>
    <xf numFmtId="44" fontId="0" fillId="0" borderId="0" xfId="0" applyNumberFormat="1"/>
    <xf numFmtId="17" fontId="15" fillId="0" borderId="0" xfId="6" applyNumberFormat="1" applyFill="1" applyBorder="1" applyAlignment="1">
      <alignment horizontal="center"/>
    </xf>
    <xf numFmtId="8" fontId="0" fillId="0" borderId="0" xfId="0" applyNumberFormat="1"/>
    <xf numFmtId="169" fontId="0" fillId="0" borderId="0" xfId="0" applyNumberFormat="1"/>
    <xf numFmtId="8" fontId="16" fillId="0" borderId="0" xfId="0" applyNumberFormat="1" applyFont="1" applyAlignment="1">
      <alignment horizontal="center" vertical="center" wrapText="1"/>
    </xf>
    <xf numFmtId="10" fontId="1" fillId="0" borderId="0" xfId="1" applyNumberFormat="1"/>
    <xf numFmtId="10" fontId="19" fillId="20" borderId="21" xfId="0" applyNumberFormat="1" applyFont="1" applyFill="1" applyBorder="1" applyAlignment="1">
      <alignment horizontal="center"/>
    </xf>
    <xf numFmtId="49" fontId="2" fillId="5" borderId="0" xfId="0" applyNumberFormat="1" applyFont="1" applyFill="1" applyAlignment="1">
      <alignment horizontal="center" vertical="center"/>
    </xf>
    <xf numFmtId="0" fontId="24" fillId="5" borderId="4" xfId="0" applyFont="1" applyFill="1" applyBorder="1"/>
    <xf numFmtId="0" fontId="24" fillId="5" borderId="5" xfId="0" applyFont="1" applyFill="1" applyBorder="1"/>
    <xf numFmtId="0" fontId="25" fillId="5" borderId="5" xfId="0" applyFont="1" applyFill="1" applyBorder="1"/>
    <xf numFmtId="0" fontId="22" fillId="0" borderId="0" xfId="0" applyFont="1"/>
    <xf numFmtId="166" fontId="22" fillId="0" borderId="0" xfId="1" applyFont="1"/>
    <xf numFmtId="9" fontId="22" fillId="0" borderId="0" xfId="0" applyNumberFormat="1" applyFont="1"/>
    <xf numFmtId="166" fontId="22" fillId="0" borderId="0" xfId="0" applyNumberFormat="1" applyFont="1"/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0" fontId="28" fillId="5" borderId="4" xfId="0" applyFont="1" applyFill="1" applyBorder="1" applyAlignment="1">
      <alignment horizontal="center" vertical="center"/>
    </xf>
    <xf numFmtId="0" fontId="28" fillId="5" borderId="5" xfId="0" applyFont="1" applyFill="1" applyBorder="1" applyAlignment="1">
      <alignment horizontal="center" vertical="center"/>
    </xf>
    <xf numFmtId="0" fontId="29" fillId="5" borderId="5" xfId="0" applyFont="1" applyFill="1" applyBorder="1" applyAlignment="1">
      <alignment horizontal="center" vertical="center"/>
    </xf>
    <xf numFmtId="0" fontId="28" fillId="5" borderId="6" xfId="0" applyFont="1" applyFill="1" applyBorder="1" applyAlignment="1">
      <alignment horizontal="center" vertical="center"/>
    </xf>
    <xf numFmtId="44" fontId="26" fillId="0" borderId="0" xfId="0" applyNumberFormat="1" applyFont="1" applyAlignment="1">
      <alignment horizontal="center"/>
    </xf>
    <xf numFmtId="166" fontId="26" fillId="0" borderId="0" xfId="1" applyFont="1" applyAlignment="1">
      <alignment horizontal="center"/>
    </xf>
    <xf numFmtId="0" fontId="26" fillId="5" borderId="4" xfId="0" applyFont="1" applyFill="1" applyBorder="1" applyAlignment="1">
      <alignment horizontal="center"/>
    </xf>
    <xf numFmtId="0" fontId="26" fillId="5" borderId="5" xfId="0" applyFont="1" applyFill="1" applyBorder="1" applyAlignment="1">
      <alignment horizontal="center"/>
    </xf>
    <xf numFmtId="0" fontId="26" fillId="5" borderId="6" xfId="0" applyFont="1" applyFill="1" applyBorder="1" applyAlignment="1">
      <alignment horizontal="center"/>
    </xf>
    <xf numFmtId="0" fontId="30" fillId="16" borderId="4" xfId="5" applyFont="1" applyBorder="1" applyAlignment="1">
      <alignment horizontal="center"/>
    </xf>
    <xf numFmtId="0" fontId="30" fillId="16" borderId="5" xfId="5" applyFont="1" applyBorder="1" applyAlignment="1">
      <alignment horizontal="center"/>
    </xf>
    <xf numFmtId="0" fontId="30" fillId="16" borderId="6" xfId="5" applyFont="1" applyBorder="1" applyAlignment="1">
      <alignment horizontal="center"/>
    </xf>
    <xf numFmtId="0" fontId="33" fillId="0" borderId="0" xfId="0" applyFont="1" applyAlignment="1">
      <alignment horizontal="center" vertical="center" wrapText="1"/>
    </xf>
    <xf numFmtId="164" fontId="34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justify" vertical="center"/>
    </xf>
    <xf numFmtId="0" fontId="8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3" fillId="21" borderId="24" xfId="0" applyFont="1" applyFill="1" applyBorder="1"/>
    <xf numFmtId="0" fontId="3" fillId="0" borderId="0" xfId="0" applyFont="1" applyAlignment="1">
      <alignment horizontal="center" vertical="center"/>
    </xf>
    <xf numFmtId="0" fontId="2" fillId="5" borderId="25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0" fontId="2" fillId="5" borderId="27" xfId="0" applyFont="1" applyFill="1" applyBorder="1" applyAlignment="1">
      <alignment horizontal="center" vertical="center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 vertical="center"/>
    </xf>
    <xf numFmtId="0" fontId="11" fillId="0" borderId="0" xfId="0" applyFont="1" applyAlignment="1">
      <alignment horizontal="justify" vertical="center"/>
    </xf>
    <xf numFmtId="0" fontId="5" fillId="0" borderId="0" xfId="0" applyFont="1"/>
    <xf numFmtId="49" fontId="1" fillId="0" borderId="0" xfId="2" applyNumberFormat="1"/>
    <xf numFmtId="169" fontId="1" fillId="0" borderId="0" xfId="2" applyNumberFormat="1"/>
    <xf numFmtId="0" fontId="6" fillId="0" borderId="0" xfId="1" applyNumberFormat="1" applyFont="1"/>
    <xf numFmtId="0" fontId="23" fillId="5" borderId="28" xfId="0" applyFont="1" applyFill="1" applyBorder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25" fillId="6" borderId="11" xfId="0" applyFont="1" applyFill="1" applyBorder="1" applyAlignment="1">
      <alignment horizontal="centerContinuous" vertical="center"/>
    </xf>
    <xf numFmtId="0" fontId="25" fillId="6" borderId="29" xfId="0" applyFont="1" applyFill="1" applyBorder="1" applyAlignment="1">
      <alignment horizontal="centerContinuous" vertical="center"/>
    </xf>
    <xf numFmtId="0" fontId="23" fillId="5" borderId="4" xfId="0" applyFont="1" applyFill="1" applyBorder="1" applyAlignment="1">
      <alignment horizontal="centerContinuous" vertical="center"/>
    </xf>
    <xf numFmtId="0" fontId="22" fillId="5" borderId="5" xfId="0" applyFont="1" applyFill="1" applyBorder="1" applyAlignment="1">
      <alignment horizontal="centerContinuous" vertical="center"/>
    </xf>
    <xf numFmtId="0" fontId="22" fillId="5" borderId="6" xfId="0" applyFont="1" applyFill="1" applyBorder="1" applyAlignment="1">
      <alignment horizontal="centerContinuous" vertical="center"/>
    </xf>
    <xf numFmtId="0" fontId="31" fillId="0" borderId="3" xfId="0" applyFont="1" applyBorder="1" applyAlignment="1">
      <alignment horizontal="center"/>
    </xf>
    <xf numFmtId="0" fontId="31" fillId="0" borderId="3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5" fillId="0" borderId="9" xfId="0" applyFont="1" applyBorder="1" applyAlignment="1">
      <alignment horizontal="center" vertical="center"/>
    </xf>
    <xf numFmtId="165" fontId="26" fillId="0" borderId="0" xfId="0" applyNumberFormat="1" applyFont="1" applyAlignment="1">
      <alignment horizontal="center"/>
    </xf>
    <xf numFmtId="166" fontId="26" fillId="0" borderId="0" xfId="0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31" fillId="0" borderId="9" xfId="0" applyFont="1" applyBorder="1" applyAlignment="1">
      <alignment horizontal="center"/>
    </xf>
    <xf numFmtId="0" fontId="31" fillId="5" borderId="25" xfId="0" applyFont="1" applyFill="1" applyBorder="1" applyAlignment="1">
      <alignment horizontal="center" vertical="center"/>
    </xf>
    <xf numFmtId="0" fontId="31" fillId="5" borderId="26" xfId="0" applyFont="1" applyFill="1" applyBorder="1" applyAlignment="1">
      <alignment horizontal="center" vertical="center"/>
    </xf>
    <xf numFmtId="0" fontId="31" fillId="5" borderId="27" xfId="0" applyFont="1" applyFill="1" applyBorder="1" applyAlignment="1">
      <alignment horizontal="center" vertical="center"/>
    </xf>
    <xf numFmtId="0" fontId="30" fillId="16" borderId="25" xfId="5" applyFont="1" applyBorder="1" applyAlignment="1">
      <alignment horizontal="center" vertical="center"/>
    </xf>
    <xf numFmtId="0" fontId="30" fillId="16" borderId="27" xfId="5" applyFont="1" applyBorder="1" applyAlignment="1">
      <alignment horizontal="center" vertical="center"/>
    </xf>
    <xf numFmtId="0" fontId="30" fillId="16" borderId="26" xfId="5" applyFont="1" applyBorder="1" applyAlignment="1">
      <alignment horizontal="center" vertical="center"/>
    </xf>
    <xf numFmtId="0" fontId="30" fillId="16" borderId="30" xfId="5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165" fontId="26" fillId="0" borderId="0" xfId="1" applyNumberFormat="1" applyFont="1" applyAlignment="1">
      <alignment horizontal="center" vertical="center"/>
    </xf>
    <xf numFmtId="167" fontId="26" fillId="0" borderId="0" xfId="0" applyNumberFormat="1" applyFont="1" applyAlignment="1">
      <alignment horizontal="center" vertical="center"/>
    </xf>
    <xf numFmtId="167" fontId="26" fillId="0" borderId="0" xfId="1" applyNumberFormat="1" applyFont="1" applyAlignment="1">
      <alignment horizontal="center" vertical="center"/>
    </xf>
    <xf numFmtId="170" fontId="26" fillId="0" borderId="0" xfId="1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66" fontId="32" fillId="0" borderId="0" xfId="1" applyFont="1" applyAlignment="1">
      <alignment horizontal="center"/>
    </xf>
    <xf numFmtId="0" fontId="26" fillId="0" borderId="3" xfId="0" applyFont="1" applyBorder="1" applyAlignment="1">
      <alignment horizontal="left"/>
    </xf>
    <xf numFmtId="0" fontId="26" fillId="0" borderId="9" xfId="0" applyFont="1" applyBorder="1" applyAlignment="1">
      <alignment horizontal="left"/>
    </xf>
    <xf numFmtId="0" fontId="26" fillId="0" borderId="0" xfId="0" applyFont="1" applyAlignment="1">
      <alignment horizontal="left"/>
    </xf>
    <xf numFmtId="0" fontId="32" fillId="0" borderId="0" xfId="1" applyNumberFormat="1" applyFont="1" applyAlignment="1">
      <alignment horizontal="left"/>
    </xf>
    <xf numFmtId="0" fontId="12" fillId="8" borderId="0" xfId="3"/>
    <xf numFmtId="166" fontId="22" fillId="0" borderId="0" xfId="0" applyNumberFormat="1" applyFont="1" applyAlignment="1">
      <alignment horizontal="center" vertical="center"/>
    </xf>
    <xf numFmtId="165" fontId="22" fillId="0" borderId="0" xfId="0" applyNumberFormat="1" applyFont="1" applyAlignment="1">
      <alignment horizontal="center" vertical="center"/>
    </xf>
    <xf numFmtId="0" fontId="8" fillId="5" borderId="25" xfId="0" applyFont="1" applyFill="1" applyBorder="1" applyAlignment="1">
      <alignment horizontal="center" vertical="center"/>
    </xf>
    <xf numFmtId="0" fontId="8" fillId="5" borderId="26" xfId="0" applyFont="1" applyFill="1" applyBorder="1" applyAlignment="1">
      <alignment horizontal="center" vertical="center"/>
    </xf>
    <xf numFmtId="0" fontId="8" fillId="5" borderId="27" xfId="0" applyFont="1" applyFill="1" applyBorder="1" applyAlignment="1">
      <alignment horizontal="center" vertical="center"/>
    </xf>
    <xf numFmtId="0" fontId="8" fillId="5" borderId="31" xfId="0" applyFont="1" applyFill="1" applyBorder="1" applyAlignment="1">
      <alignment horizontal="center" vertical="center"/>
    </xf>
    <xf numFmtId="0" fontId="23" fillId="6" borderId="32" xfId="0" applyFont="1" applyFill="1" applyBorder="1" applyAlignment="1">
      <alignment horizontal="center" vertical="center"/>
    </xf>
    <xf numFmtId="0" fontId="23" fillId="6" borderId="33" xfId="0" applyFont="1" applyFill="1" applyBorder="1" applyAlignment="1">
      <alignment horizontal="center" vertical="center"/>
    </xf>
    <xf numFmtId="165" fontId="22" fillId="0" borderId="0" xfId="0" applyNumberFormat="1" applyFont="1"/>
    <xf numFmtId="165" fontId="22" fillId="0" borderId="0" xfId="0" applyNumberFormat="1" applyFont="1" applyAlignment="1">
      <alignment horizontal="center"/>
    </xf>
    <xf numFmtId="165" fontId="22" fillId="0" borderId="0" xfId="1" applyNumberFormat="1" applyFont="1"/>
    <xf numFmtId="0" fontId="22" fillId="0" borderId="0" xfId="1" applyNumberFormat="1" applyFont="1"/>
    <xf numFmtId="165" fontId="22" fillId="0" borderId="0" xfId="1" applyNumberFormat="1" applyFont="1" applyAlignment="1">
      <alignment horizontal="center" vertical="center"/>
    </xf>
    <xf numFmtId="165" fontId="22" fillId="0" borderId="0" xfId="2" applyNumberFormat="1" applyFont="1"/>
    <xf numFmtId="165" fontId="22" fillId="0" borderId="0" xfId="1" applyNumberFormat="1" applyFont="1" applyAlignment="1">
      <alignment horizontal="center"/>
    </xf>
    <xf numFmtId="0" fontId="32" fillId="0" borderId="3" xfId="1" applyNumberFormat="1" applyFont="1" applyBorder="1" applyAlignment="1">
      <alignment horizontal="left"/>
    </xf>
    <xf numFmtId="0" fontId="8" fillId="0" borderId="0" xfId="0" applyFont="1"/>
    <xf numFmtId="0" fontId="5" fillId="3" borderId="0" xfId="1" applyNumberFormat="1" applyFont="1" applyFill="1"/>
    <xf numFmtId="0" fontId="32" fillId="0" borderId="0" xfId="0" applyFont="1" applyAlignment="1">
      <alignment horizontal="left"/>
    </xf>
    <xf numFmtId="0" fontId="32" fillId="0" borderId="3" xfId="0" applyFont="1" applyBorder="1" applyAlignment="1">
      <alignment horizontal="left"/>
    </xf>
    <xf numFmtId="0" fontId="26" fillId="0" borderId="2" xfId="0" applyFont="1" applyBorder="1" applyAlignment="1">
      <alignment horizontal="left"/>
    </xf>
    <xf numFmtId="0" fontId="36" fillId="0" borderId="0" xfId="0" applyFont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17" xfId="0" applyFont="1" applyBorder="1" applyAlignment="1">
      <alignment horizontal="center" vertical="center"/>
    </xf>
    <xf numFmtId="10" fontId="17" fillId="19" borderId="19" xfId="0" applyNumberFormat="1" applyFont="1" applyFill="1" applyBorder="1" applyAlignment="1">
      <alignment horizontal="center"/>
    </xf>
    <xf numFmtId="0" fontId="17" fillId="19" borderId="19" xfId="0" applyFont="1" applyFill="1" applyBorder="1" applyAlignment="1">
      <alignment horizontal="center"/>
    </xf>
    <xf numFmtId="0" fontId="18" fillId="20" borderId="20" xfId="0" applyFont="1" applyFill="1" applyBorder="1" applyAlignment="1">
      <alignment horizontal="center" vertical="center" wrapText="1"/>
    </xf>
    <xf numFmtId="0" fontId="18" fillId="20" borderId="19" xfId="0" applyFont="1" applyFill="1" applyBorder="1" applyAlignment="1">
      <alignment horizontal="center" vertical="center" wrapText="1"/>
    </xf>
    <xf numFmtId="0" fontId="15" fillId="17" borderId="18" xfId="6" applyAlignment="1">
      <alignment horizontal="center" wrapText="1"/>
    </xf>
  </cellXfs>
  <cellStyles count="8">
    <cellStyle name="Celda de comprobación" xfId="4" builtinId="23"/>
    <cellStyle name="Énfasis6" xfId="5" builtinId="49"/>
    <cellStyle name="Entrada" xfId="6" builtinId="20"/>
    <cellStyle name="Incorrecto" xfId="3" builtinId="27"/>
    <cellStyle name="Moneda" xfId="1" builtinId="4"/>
    <cellStyle name="Moneda 2" xfId="7" xr:uid="{58A1B5E1-3D19-4017-9A2F-F0109AFAE276}"/>
    <cellStyle name="Normal" xfId="0" builtinId="0"/>
    <cellStyle name="Porcentaje" xfId="2" builtinId="5"/>
  </cellStyles>
  <dxfs count="87"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>
          <bgColor rgb="FFFFFF00"/>
        </patternFill>
      </fill>
    </dxf>
    <dxf>
      <numFmt numFmtId="0" formatCode="General"/>
      <border>
        <left/>
        <right style="thin">
          <color theme="8"/>
        </right>
        <top style="thin">
          <color theme="8"/>
        </top>
        <bottom/>
        <vertical/>
        <horizontal/>
      </border>
    </dxf>
    <dxf>
      <border>
        <left/>
        <right/>
        <top style="thin">
          <color theme="8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9" tint="0.59999389629810485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9" tint="0.59999389629810485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/>
      <border>
        <left/>
        <right/>
        <top style="thin">
          <color theme="4"/>
        </top>
        <bottom/>
      </border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6" tint="0.59999389629810485"/>
        </patternFill>
      </fill>
      <alignment horizontal="center" vertical="bottom"/>
      <border>
        <left/>
        <right/>
        <top style="thin">
          <color theme="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/>
      <border>
        <left/>
        <right/>
        <top style="thin">
          <color theme="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8"/>
        <color rgb="FF000000"/>
        <name val="Trebuchet MS"/>
        <family val="2"/>
      </font>
      <fill>
        <patternFill patternType="solid">
          <fgColor indexed="64"/>
          <bgColor theme="6" tint="0.59999389629810485"/>
        </patternFill>
      </fill>
      <alignment horizontal="justify" vertical="center"/>
      <border>
        <left/>
        <right/>
        <top style="thin">
          <color theme="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 Light"/>
        <family val="2"/>
        <scheme val="major"/>
      </font>
      <numFmt numFmtId="166" formatCode="_ &quot;$&quot;\ * #,##0.00_ ;_ &quot;$&quot;\ * \-#,##0.00_ ;_ &quot;$&quot;\ * &quot;-&quot;??_ ;_ @_ "/>
      <fill>
        <patternFill patternType="solid">
          <fgColor indexed="64"/>
          <bgColor theme="6" tint="0.59999389629810485"/>
        </patternFill>
      </fill>
      <alignment horizontal="general" vertical="bottom"/>
      <border>
        <left/>
        <right/>
        <top style="thin">
          <color theme="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6" tint="0.59999389629810485"/>
        </patternFill>
      </fill>
      <border>
        <left/>
        <right/>
        <top style="thin">
          <color theme="4"/>
        </top>
        <bottom/>
        <vertical/>
        <horizontal/>
      </border>
    </dxf>
    <dxf>
      <border outline="0">
        <left style="medium">
          <color indexed="64"/>
        </left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/>
    </dxf>
    <dxf>
      <numFmt numFmtId="169" formatCode="0.000%"/>
      <fill>
        <patternFill patternType="none">
          <fgColor indexed="64"/>
          <bgColor auto="1"/>
        </patternFill>
      </fill>
    </dxf>
    <dxf>
      <numFmt numFmtId="169" formatCode="0.000%"/>
      <fill>
        <patternFill patternType="none">
          <fgColor indexed="64"/>
          <bgColor auto="1"/>
        </patternFill>
      </fill>
    </dxf>
    <dxf>
      <numFmt numFmtId="169" formatCode="0.000%"/>
      <fill>
        <patternFill patternType="none">
          <fgColor indexed="64"/>
          <bgColor auto="1"/>
        </patternFill>
      </fill>
    </dxf>
    <dxf>
      <numFmt numFmtId="169" formatCode="0.000%"/>
      <fill>
        <patternFill patternType="none">
          <fgColor indexed="64"/>
          <bgColor auto="1"/>
        </patternFill>
      </fill>
    </dxf>
    <dxf>
      <numFmt numFmtId="169" formatCode="0.000%"/>
      <fill>
        <patternFill patternType="none">
          <fgColor indexed="64"/>
          <bgColor auto="1"/>
        </patternFill>
      </fill>
    </dxf>
    <dxf>
      <numFmt numFmtId="169" formatCode="0.000%"/>
      <fill>
        <patternFill patternType="none">
          <fgColor indexed="64"/>
          <bgColor auto="1"/>
        </patternFill>
      </fill>
    </dxf>
    <dxf>
      <numFmt numFmtId="169" formatCode="0.000%"/>
      <fill>
        <patternFill patternType="none">
          <fgColor indexed="64"/>
          <bgColor auto="1"/>
        </patternFill>
      </fill>
    </dxf>
    <dxf>
      <numFmt numFmtId="169" formatCode="0.000%"/>
      <fill>
        <patternFill patternType="none">
          <fgColor indexed="64"/>
          <bgColor auto="1"/>
        </patternFill>
      </fill>
    </dxf>
    <dxf>
      <numFmt numFmtId="169" formatCode="0.000%"/>
      <fill>
        <patternFill patternType="none">
          <fgColor indexed="64"/>
          <bgColor auto="1"/>
        </patternFill>
      </fill>
    </dxf>
    <dxf>
      <numFmt numFmtId="169" formatCode="0.000%"/>
      <fill>
        <patternFill patternType="none">
          <fgColor indexed="64"/>
          <bgColor auto="1"/>
        </patternFill>
      </fill>
    </dxf>
    <dxf>
      <numFmt numFmtId="169" formatCode="0.000%"/>
      <fill>
        <patternFill patternType="none">
          <fgColor indexed="64"/>
          <bgColor auto="1"/>
        </patternFill>
      </fill>
    </dxf>
    <dxf>
      <numFmt numFmtId="169" formatCode="0.000%"/>
      <fill>
        <patternFill patternType="none">
          <fgColor indexed="64"/>
          <bgColor auto="1"/>
        </patternFill>
      </fill>
    </dxf>
    <dxf>
      <numFmt numFmtId="169" formatCode="0.000%"/>
      <fill>
        <patternFill patternType="none">
          <fgColor indexed="64"/>
          <bgColor auto="1"/>
        </patternFill>
      </fill>
    </dxf>
    <dxf>
      <numFmt numFmtId="169" formatCode="0.000%"/>
      <fill>
        <patternFill patternType="none">
          <fgColor indexed="64"/>
          <bgColor auto="1"/>
        </patternFill>
      </fill>
    </dxf>
    <dxf>
      <numFmt numFmtId="169" formatCode="0.000%"/>
      <fill>
        <patternFill patternType="none">
          <fgColor indexed="64"/>
          <bgColor auto="1"/>
        </patternFill>
      </fill>
    </dxf>
    <dxf>
      <numFmt numFmtId="169" formatCode="0.000%"/>
      <fill>
        <patternFill patternType="none">
          <fgColor indexed="64"/>
          <bgColor auto="1"/>
        </patternFill>
      </fill>
    </dxf>
    <dxf>
      <numFmt numFmtId="169" formatCode="0.000%"/>
      <fill>
        <patternFill patternType="none">
          <fgColor indexed="64"/>
          <bgColor auto="1"/>
        </patternFill>
      </fill>
    </dxf>
    <dxf>
      <numFmt numFmtId="169" formatCode="0.000%"/>
      <fill>
        <patternFill patternType="none">
          <fgColor indexed="64"/>
          <bgColor auto="1"/>
        </patternFill>
      </fill>
    </dxf>
    <dxf>
      <numFmt numFmtId="169" formatCode="0.000%"/>
      <fill>
        <patternFill patternType="none">
          <fgColor indexed="64"/>
          <bgColor auto="1"/>
        </patternFill>
      </fill>
    </dxf>
    <dxf>
      <numFmt numFmtId="169" formatCode="0.000%"/>
      <fill>
        <patternFill patternType="none">
          <fgColor indexed="64"/>
          <bgColor auto="1"/>
        </patternFill>
      </fill>
    </dxf>
    <dxf>
      <numFmt numFmtId="169" formatCode="0.000%"/>
      <fill>
        <patternFill patternType="none">
          <fgColor indexed="64"/>
          <bgColor auto="1"/>
        </patternFill>
      </fill>
    </dxf>
    <dxf>
      <numFmt numFmtId="169" formatCode="0.000%"/>
      <fill>
        <patternFill patternType="none">
          <fgColor indexed="64"/>
          <bgColor auto="1"/>
        </patternFill>
      </fill>
    </dxf>
    <dxf>
      <numFmt numFmtId="169" formatCode="0.000%"/>
      <fill>
        <patternFill patternType="none">
          <fgColor indexed="64"/>
          <bgColor auto="1"/>
        </patternFill>
      </fill>
    </dxf>
    <dxf>
      <numFmt numFmtId="169" formatCode="0.000%"/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maj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rebuchet MS"/>
        <family val="2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2" formatCode="mmm\-yy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165" formatCode="&quot;$&quot;\ #,##0.00"/>
      <fill>
        <patternFill patternType="none">
          <fgColor indexed="64"/>
          <bgColor auto="1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165" formatCode="&quot;$&quot;\ #,##0.00"/>
      <fill>
        <patternFill patternType="none">
          <fgColor indexed="64"/>
          <bgColor auto="1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165" formatCode="&quot;$&quot;\ #,##0.00"/>
      <fill>
        <patternFill patternType="none">
          <fgColor indexed="64"/>
          <bgColor auto="1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165" formatCode="&quot;$&quot;\ #,##0.00"/>
      <fill>
        <patternFill patternType="none">
          <fgColor indexed="64"/>
          <bgColor auto="1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165" formatCode="&quot;$&quot;\ #,##0.00"/>
      <fill>
        <patternFill patternType="none">
          <fgColor indexed="64"/>
          <bgColor auto="1"/>
        </patternFill>
      </fill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165" formatCode="&quot;$&quot;\ #,##0.00"/>
      <fill>
        <patternFill patternType="none">
          <fgColor indexed="64"/>
          <bgColor auto="1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condense val="0"/>
        <extend val="0"/>
        <outline val="0"/>
        <shadow val="0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strike val="0"/>
        <condense val="0"/>
        <extend val="0"/>
        <outline val="0"/>
        <shadow val="0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/>
    </dxf>
    <dxf>
      <font>
        <b/>
        <strike val="0"/>
        <outline val="0"/>
        <shadow val="0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strike val="0"/>
        <condense val="0"/>
        <extend val="0"/>
        <outline val="0"/>
        <shadow val="0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7" formatCode="&quot;$&quot;\ 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7" formatCode="&quot;$&quot;\ 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7" formatCode="&quot;$&quot;\ 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7" formatCode="&quot;$&quot;\ 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7" formatCode="&quot;$&quot;\ 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strike val="0"/>
        <condense val="0"/>
        <extend val="0"/>
        <outline val="0"/>
        <shadow val="0"/>
        <vertAlign val="baseline"/>
        <sz val="9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strike val="0"/>
        <outline val="0"/>
        <shadow val="0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strike val="0"/>
        <outline val="0"/>
        <shadow val="0"/>
        <vertAlign val="baseline"/>
        <sz val="9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</dxf>
    <dxf>
      <font>
        <b/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microsoft.com/office/2007/relationships/slicerCache" Target="slicerCaches/slicerCache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2</xdr:row>
          <xdr:rowOff>38100</xdr:rowOff>
        </xdr:from>
        <xdr:to>
          <xdr:col>2</xdr:col>
          <xdr:colOff>819150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1128713</xdr:colOff>
      <xdr:row>0</xdr:row>
      <xdr:rowOff>28576</xdr:rowOff>
    </xdr:from>
    <xdr:to>
      <xdr:col>8</xdr:col>
      <xdr:colOff>660400</xdr:colOff>
      <xdr:row>8</xdr:row>
      <xdr:rowOff>22225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CARRIER">
              <a:extLst>
                <a:ext uri="{FF2B5EF4-FFF2-40B4-BE49-F238E27FC236}">
                  <a16:creationId xmlns:a16="http://schemas.microsoft.com/office/drawing/2014/main" id="{6BA1F10A-8A32-A72C-7514-75986F3942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RRI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67188" y="28576"/>
              <a:ext cx="4960937" cy="12604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8</xdr:col>
      <xdr:colOff>717550</xdr:colOff>
      <xdr:row>0</xdr:row>
      <xdr:rowOff>28575</xdr:rowOff>
    </xdr:from>
    <xdr:to>
      <xdr:col>11</xdr:col>
      <xdr:colOff>157163</xdr:colOff>
      <xdr:row>8</xdr:row>
      <xdr:rowOff>9525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PROVINCE">
              <a:extLst>
                <a:ext uri="{FF2B5EF4-FFF2-40B4-BE49-F238E27FC236}">
                  <a16:creationId xmlns:a16="http://schemas.microsoft.com/office/drawing/2014/main" id="{0DDF6CC8-E9DF-C640-B429-D4C1D5CF8F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VINC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85275" y="28575"/>
              <a:ext cx="1830388" cy="1247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11</xdr:col>
      <xdr:colOff>223838</xdr:colOff>
      <xdr:row>0</xdr:row>
      <xdr:rowOff>38101</xdr:rowOff>
    </xdr:from>
    <xdr:to>
      <xdr:col>14</xdr:col>
      <xdr:colOff>179387</xdr:colOff>
      <xdr:row>7</xdr:row>
      <xdr:rowOff>165101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CITY FOS">
              <a:extLst>
                <a:ext uri="{FF2B5EF4-FFF2-40B4-BE49-F238E27FC236}">
                  <a16:creationId xmlns:a16="http://schemas.microsoft.com/office/drawing/2014/main" id="{9510ED88-CBAC-9D46-A940-F47CCEE3B4C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TY F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82338" y="38101"/>
              <a:ext cx="1831974" cy="1193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190500</xdr:colOff>
      <xdr:row>0</xdr:row>
      <xdr:rowOff>104776</xdr:rowOff>
    </xdr:from>
    <xdr:to>
      <xdr:col>5</xdr:col>
      <xdr:colOff>507627</xdr:colOff>
      <xdr:row>9</xdr:row>
      <xdr:rowOff>114301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CARRIER 1">
              <a:extLst>
                <a:ext uri="{FF2B5EF4-FFF2-40B4-BE49-F238E27FC236}">
                  <a16:creationId xmlns:a16="http://schemas.microsoft.com/office/drawing/2014/main" id="{6C30D4D2-58A4-940E-9620-97EA84E1671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RRI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71900" y="104776"/>
              <a:ext cx="3390900" cy="1733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19050</xdr:rowOff>
        </xdr:from>
        <xdr:to>
          <xdr:col>0</xdr:col>
          <xdr:colOff>1657350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mez, Fernando" refreshedDate="45901.685543634259" createdVersion="8" refreshedVersion="8" minRefreshableVersion="3" recordCount="205" xr:uid="{64126CDB-58A8-42E4-9EAE-C616CA29ABB8}">
  <cacheSource type="worksheet">
    <worksheetSource ref="A12:AE669" sheet="Aumentos"/>
  </cacheSource>
  <cacheFields count="31">
    <cacheField name="CARRIER" numFmtId="0">
      <sharedItems containsBlank="1" count="9">
        <s v="ANDREANI LOGISTICA S.A."/>
        <s v="CELSUR LOGISTICA S.A"/>
        <s v="DISTRI 10 S.R.L."/>
        <s v="GIAMPAOLETTI BUOSI S.A."/>
        <s v="I-FLOW S.A."/>
        <s v="LOGISCHER NEA SA"/>
        <s v="TTES. LOS AMIGOS S.A."/>
        <s v="WAL-MART ARGENTINA SRL"/>
        <m u="1"/>
      </sharedItems>
    </cacheField>
    <cacheField name="RUTA" numFmtId="0">
      <sharedItems/>
    </cacheField>
    <cacheField name="PROVINCE" numFmtId="0">
      <sharedItems/>
    </cacheField>
    <cacheField name="CITY FOS" numFmtId="0">
      <sharedItems/>
    </cacheField>
    <cacheField name="TRANSPORT ZONE" numFmtId="0">
      <sharedItems/>
    </cacheField>
    <cacheField name="TYPE OF SHIPMENT" numFmtId="0">
      <sharedItems/>
    </cacheField>
    <cacheField name="0,00%" numFmtId="0">
      <sharedItems containsMixedTypes="1" containsNumber="1" containsInteger="1" minValue="0" maxValue="0"/>
    </cacheField>
    <cacheField name="ene-24" numFmtId="169">
      <sharedItems containsNonDate="0" containsString="0" containsBlank="1"/>
    </cacheField>
    <cacheField name="feb-24" numFmtId="169">
      <sharedItems containsString="0" containsBlank="1" containsNumber="1" minValue="0.26640000000000003" maxValue="0.39"/>
    </cacheField>
    <cacheField name="mar-24" numFmtId="169">
      <sharedItems containsString="0" containsBlank="1" containsNumber="1" minValue="0.10249999999999999" maxValue="0.3"/>
    </cacheField>
    <cacheField name="abr-24" numFmtId="169">
      <sharedItems containsString="0" containsBlank="1" containsNumber="1" minValue="0.1067" maxValue="0.1542"/>
    </cacheField>
    <cacheField name="may-24" numFmtId="169">
      <sharedItems containsString="0" containsBlank="1" containsNumber="1" minValue="0.1" maxValue="0.1188"/>
    </cacheField>
    <cacheField name="jun-24" numFmtId="169">
      <sharedItems containsString="0" containsBlank="1" containsNumber="1" minValue="0.14410000000000001" maxValue="0.14410000000000001"/>
    </cacheField>
    <cacheField name="jul-24" numFmtId="169">
      <sharedItems containsString="0" containsBlank="1" containsNumber="1" minValue="7.1099999999999997E-2" maxValue="0.21740000000000001"/>
    </cacheField>
    <cacheField name="ago-24" numFmtId="169">
      <sharedItems containsNonDate="0" containsString="0" containsBlank="1"/>
    </cacheField>
    <cacheField name="sept-24" numFmtId="169">
      <sharedItems containsString="0" containsBlank="1" containsNumber="1" minValue="0.154" maxValue="0.154"/>
    </cacheField>
    <cacheField name="oct-24" numFmtId="169">
      <sharedItems containsString="0" containsBlank="1" containsNumber="1" minValue="0.1056" maxValue="0.1056"/>
    </cacheField>
    <cacheField name="nov-24" numFmtId="169">
      <sharedItems containsString="0" containsBlank="1" containsNumber="1" minValue="9.4299999999999995E-2" maxValue="0.11799999999999999"/>
    </cacheField>
    <cacheField name="dic-24" numFmtId="0">
      <sharedItems containsString="0" containsBlank="1" containsNumber="1" minValue="0.36163168525999989" maxValue="0.78229455989616015"/>
    </cacheField>
    <cacheField name="ene-25" numFmtId="169">
      <sharedItems containsString="0" containsBlank="1" containsNumber="1" minValue="4.2200000000000001E-2" maxValue="0.08"/>
    </cacheField>
    <cacheField name="feb-25" numFmtId="169">
      <sharedItems containsString="0" containsBlank="1" containsNumber="1" minValue="6.8000000000000005E-2" maxValue="7.1999999999999995E-2"/>
    </cacheField>
    <cacheField name="mar-25" numFmtId="169">
      <sharedItems containsString="0" containsBlank="1" containsNumber="1" minValue="7.9399999999999998E-2" maxValue="7.9399999999999998E-2"/>
    </cacheField>
    <cacheField name="abr-25" numFmtId="169">
      <sharedItems containsString="0" containsBlank="1" containsNumber="1" minValue="0.06" maxValue="0.06"/>
    </cacheField>
    <cacheField name="may-25" numFmtId="169">
      <sharedItems containsString="0" containsBlank="1" containsNumber="1" minValue="4.2999999999999997E-2" maxValue="0.10290000000000001"/>
    </cacheField>
    <cacheField name="jun-25" numFmtId="169">
      <sharedItems containsNonDate="0" containsString="0" containsBlank="1"/>
    </cacheField>
    <cacheField name="jul-25" numFmtId="169">
      <sharedItems containsString="0" containsBlank="1" containsNumber="1" minValue="3.1199999999999999E-2" maxValue="9.06E-2"/>
    </cacheField>
    <cacheField name="ago-25" numFmtId="169">
      <sharedItems containsString="0" containsBlank="1" containsNumber="1" minValue="-0.03" maxValue="-1.499E-2"/>
    </cacheField>
    <cacheField name="sept-25" numFmtId="169">
      <sharedItems containsNonDate="0" containsString="0" containsBlank="1"/>
    </cacheField>
    <cacheField name="oct-252" numFmtId="169">
      <sharedItems containsNonDate="0" containsString="0" containsBlank="1"/>
    </cacheField>
    <cacheField name="nov-252" numFmtId="169">
      <sharedItems containsNonDate="0" containsString="0" containsBlank="1"/>
    </cacheField>
    <cacheField name="dic-25" numFmtId="16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mez, Fernando" refreshedDate="45964.632717361113" createdVersion="8" refreshedVersion="8" minRefreshableVersion="3" recordCount="408" xr:uid="{DC4D160D-576E-43E8-BB60-F27680240FC6}">
  <cacheSource type="worksheet">
    <worksheetSource name="Tabla16"/>
  </cacheSource>
  <cacheFields count="22">
    <cacheField name="RUT" numFmtId="0">
      <sharedItems/>
    </cacheField>
    <cacheField name="&amp;ZONA (Parada) Base ICDRB" numFmtId="0">
      <sharedItems/>
    </cacheField>
    <cacheField name="&amp;ZONA (Parada) Para tarifario" numFmtId="0">
      <sharedItems count="205">
        <s v="Santa Cruz"/>
        <s v="Santiago"/>
        <s v="Asuncion"/>
        <s v="Capital"/>
        <s v="Zona Norte"/>
        <s v="Zona Oeste"/>
        <s v="Zona Sur"/>
        <s v="Mercedes"/>
        <s v="Campana"/>
        <s v="Zarate"/>
        <s v="Pilar"/>
        <s v="Balcarce"/>
        <s v="Gral.Madariaga"/>
        <s v="Mar de Ajo"/>
        <s v="Mar Del Plata"/>
        <s v="Miramar"/>
        <s v="Necochea"/>
        <s v="Pinamar"/>
        <s v="San Bernardo"/>
        <s v="San Clemente del Tuyu"/>
        <s v="Villa Gessel"/>
        <s v="Bahia Blanca"/>
        <s v="9 de Julio"/>
        <s v="America, Buenos Aires"/>
        <s v="Azul"/>
        <s v="Bragado"/>
        <s v="Chascomus"/>
        <s v="Chivilcoy, Buenos Aires"/>
        <s v="Coronel Suarez"/>
        <s v="Dolores, Buenos Aires"/>
        <s v="Bolivar"/>
        <s v="Gral.Villegas, Buenos Aires"/>
        <s v="Junin"/>
        <s v="Lincoln, Buenos Aires"/>
        <s v="Loberia, Buenos Aires"/>
        <s v="Olavarria"/>
        <s v="Otamendi, Buenos Aires"/>
        <s v="Pehuajo"/>
        <s v="Pergamino"/>
        <s v="Pigue, Buenos Aires"/>
        <s v="Saladillo, Buenos Aires"/>
        <s v="Tandil"/>
        <s v="Tres Arroyos, Buenos Aires"/>
        <s v="Vedia BS AS"/>
        <s v="San Nicolas"/>
        <s v="Trenque Lauquen"/>
        <s v="Catamarca"/>
        <s v="Alta Gracia"/>
        <s v="Arguello, Cordoba"/>
        <s v="Arroyito, Cordoba"/>
        <s v="B.Villa Cabrera"/>
        <s v="Barrio Alto Verde"/>
        <s v="Camino Colonia Tirolesa"/>
        <s v="Colonia Caroya, Cordoba"/>
        <s v="Cordoba"/>
        <s v="Corral de Bustos"/>
        <s v="Cosquin, Cordoba"/>
        <s v="Embalse Rio Tercero, Cordoba"/>
        <s v="Jesus Maria, Cordoba"/>
        <s v="Las Peyas, Cordoba"/>
        <s v="Monte Cristo, Cordoba"/>
        <s v="Obispo Trejo, Cordoba"/>
        <s v="Rio Ceballos"/>
        <s v="Rio Cuarto"/>
        <s v="Rio Tercero"/>
        <s v="San Francisco"/>
        <s v="San Francisco Del Chanar"/>
        <s v="Santa Rosa de Rio Primero"/>
        <s v="Unquillo"/>
        <s v="Villa Carlos Paz"/>
        <s v="Villa del Rosario, Cordoba"/>
        <s v="Villa Maria"/>
        <s v="Corrientes"/>
        <s v="Goya ,Corrientes"/>
        <s v="Paso de los Libres"/>
        <s v="Chajari, Entre Rios"/>
        <s v="Colon, Entre Rios"/>
        <s v="Concepcion del Uruguay"/>
        <s v="Concordia"/>
        <s v="Crespo, Entre Rios"/>
        <s v="Diamante, Entre Rios"/>
        <s v="Gualeguay, Entre Rios"/>
        <s v="Gualeguaychu"/>
        <s v="La Paz, Entre Rios"/>
        <s v="Mesopotamia 1"/>
        <s v="Nogoya, Entre Rios"/>
        <s v="Santa Helena, Entre Rios"/>
        <s v="Victoria, Entre Rios"/>
        <s v="Villaguay, Entre Rios"/>
        <s v="Parana"/>
        <s v="Clorinda"/>
        <s v="Formosa"/>
        <s v="La Quiaca, Jujuy"/>
        <s v="Lib.Gral.San Martin"/>
        <s v="Palpala"/>
        <s v="San Pedro de Jujuy, Jujuy"/>
        <s v="San S. de Jujuy, Jujuy"/>
        <s v="Gral. Pico"/>
        <s v="Intendente Alvear, La Pampa"/>
        <s v="La Pampa"/>
        <s v="Santa Rosa"/>
        <s v="Chilecito"/>
        <s v="La Rioja"/>
        <s v="Acceso Este Rodeo de la Cruz"/>
        <s v="Godoy Cruz"/>
        <s v="Gral.Alvear"/>
        <s v="Guaymallen"/>
        <s v="Las Heras"/>
        <s v="Lujan de Cuyo"/>
        <s v="Mendoza"/>
        <s v="Rivadavia"/>
        <s v="San Jose"/>
        <s v="San Martin"/>
        <s v="Obera, Misiones"/>
        <s v="Villanueva, Mendonza"/>
        <s v="San Rafael"/>
        <s v="Eldorado"/>
        <s v="Jardin America, Misiones"/>
        <s v="Leandro N. Alem, Misiones"/>
        <s v="Posadas"/>
        <s v="Puerto Rico, Misiones"/>
        <s v="Choele Choel"/>
        <s v="Cipolletti"/>
        <s v="El Bolson"/>
        <s v="Gral. Roca"/>
        <s v="Rio Negro"/>
        <s v="San C. de Bariloche"/>
        <s v="Viedma"/>
        <s v="Villa Regina, Rio Negro"/>
        <s v="Cerrillos"/>
        <s v="Pocitos, Salta"/>
        <s v="Salta"/>
        <s v="San Juan "/>
        <s v="Santa Lucia "/>
        <s v="Villa Krause, San Juan"/>
        <s v="San Luis"/>
        <s v="Villa Mercedes"/>
        <s v="Caleta Olivia"/>
        <s v="Cte.Luis Piedrabuena"/>
        <s v="El Calafate"/>
        <s v="Gobernador Gregores"/>
        <s v="Los Antiguos"/>
        <s v="Patagonia"/>
        <s v="Perito Moreno"/>
        <s v="Pico Truncado"/>
        <s v="Pto.Deseado"/>
        <s v="Puerto San Julian"/>
        <s v="Puerto Santa Cruz"/>
        <s v="Rio Gallegos"/>
        <s v="Rio Turbio"/>
        <s v="Avellaneda, Santa Fe"/>
        <s v="Cañada de Gomez"/>
        <s v="Capitan Bermudez"/>
        <s v="Casilda"/>
        <s v="Chabas"/>
        <s v="Chanar Ladeado"/>
        <s v="EMP V Constitucion, Santa Fe"/>
        <s v="Esperanza, Santa Fe"/>
        <s v="Firmat"/>
        <s v="Frontera"/>
        <s v="Granadero Baigorria, Santa Fe"/>
        <s v="Laguna Paiva, Santa Fe"/>
        <s v="Maggiolo, Santa Fe"/>
        <s v="Rafaela"/>
        <s v="Reconquista"/>
        <s v="Rosario"/>
        <s v="Rufino"/>
        <s v="San Jorge, Santa Fe"/>
        <s v="San Justo"/>
        <s v="San Lorenzo, Santa Fe"/>
        <s v="Santa Fe"/>
        <s v="Santa Fe 1"/>
        <s v="Santo Tome"/>
        <s v="Venado Tuerto"/>
        <s v="Villa Gobernador Galvez,Santa"/>
        <s v="Fernandez, Sgo. del Estero"/>
        <s v="Santiago del Estero"/>
        <s v="Rio Grande"/>
        <s v="Ushuaia"/>
        <s v="Aguilares, Tucuman"/>
        <s v="Concepcion, Tucuman"/>
        <s v="Juan B.Alberdi, Tucuman"/>
        <s v="Monteros, Tucuman"/>
        <s v="San M.de Tucuman"/>
        <s v="Yerba Buena, Tucuman"/>
        <s v="Charata"/>
        <s v="Pcia.Roque S.PE&amp;A"/>
        <s v="Quitilipi, Chaco  "/>
        <s v="Resistencia"/>
        <s v="Villa Ángela"/>
        <s v="Comodoro Rivadavia"/>
        <s v="Esquel"/>
        <s v="Playa Union"/>
        <s v="Puerto Madryn"/>
        <s v="Rawson"/>
        <s v="Rio Mayo, Chubut"/>
        <s v="Sarmiento"/>
        <s v="Trelew"/>
        <s v="Puerto Madryn, Chubut"/>
        <s v="Centenario, Neuquen"/>
        <s v="Neuquen, Neuquen"/>
        <s v="San M. de Los Andes,Neuquen"/>
        <s v="Zapala"/>
        <s v="Neuquén"/>
        <s v="Montevideo"/>
      </sharedItems>
    </cacheField>
    <cacheField name="Provincia" numFmtId="0">
      <sharedItems count="27">
        <s v="Bolivia"/>
        <s v="Chile"/>
        <s v="Paraguay"/>
        <s v="Provincia de Buenos Aires"/>
        <s v="Provincia de Catamarca"/>
        <s v="Provincia de Córdoba"/>
        <s v="Provincia de Corrientes"/>
        <s v="Provincia de Entre Ríos"/>
        <s v="Provincia de Formosa"/>
        <s v="Provincia de Jujuy"/>
        <s v="Provincia de La Pampa"/>
        <s v="Provincia de La Rioja"/>
        <s v="Provincia de Mendoza"/>
        <s v="Provincia de Misiones"/>
        <s v="Provincia de Río Negro"/>
        <s v="Provincia de Salta"/>
        <s v="Provincia de San Juan"/>
        <s v="Provincia de San Luis"/>
        <s v="Provincia de Santa Cruz"/>
        <s v="Provincia de Santa Fe"/>
        <s v="Provincia de Santiago del Estero"/>
        <s v="Provincia de Tierra del Fuego, Antártida e Islas del Atlántico Sur"/>
        <s v="Provincia de Tucumán"/>
        <s v="Provincia del Chaco"/>
        <s v="Provincia del Chubut"/>
        <s v="Provincia del Neuquén"/>
        <s v="Uruguay"/>
      </sharedItems>
    </cacheField>
    <cacheField name="Ruta" numFmtId="0">
      <sharedItems containsBlank="1" count="12">
        <m/>
        <s v="BUE"/>
        <s v="ATL"/>
        <s v="BHN"/>
        <s v="PAM"/>
        <s v="SFE"/>
        <s v="NOA"/>
        <s v="COR"/>
        <s v="NEA"/>
        <s v="MSO"/>
        <s v="CUY"/>
        <s v="PAT"/>
      </sharedItems>
    </cacheField>
    <cacheField name="ZONA" numFmtId="0">
      <sharedItems containsBlank="1" containsMixedTypes="1" containsNumber="1" containsInteger="1" minValue="261" maxValue="362"/>
    </cacheField>
    <cacheField name="Parada" numFmtId="0">
      <sharedItems containsBlank="1" containsMixedTypes="1" containsNumber="1" containsInteger="1" minValue="230" maxValue="995"/>
    </cacheField>
    <cacheField name="ABR_01" numFmtId="0">
      <sharedItems/>
    </cacheField>
    <cacheField name="ABR_02" numFmtId="0">
      <sharedItems/>
    </cacheField>
    <cacheField name="ZONA2" numFmtId="49">
      <sharedItems/>
    </cacheField>
    <cacheField name="PARADA2" numFmtId="49">
      <sharedItems/>
    </cacheField>
    <cacheField name="FROM" numFmtId="0">
      <sharedItems/>
    </cacheField>
    <cacheField name="TO" numFmtId="0">
      <sharedItems/>
    </cacheField>
    <cacheField name="Pick Pack" numFmtId="0">
      <sharedItems/>
    </cacheField>
    <cacheField name="Shipping condition" numFmtId="0">
      <sharedItems/>
    </cacheField>
    <cacheField name="Shipping Description" numFmtId="0">
      <sharedItems/>
    </cacheField>
    <cacheField name="Transit time" numFmtId="0">
      <sharedItems/>
    </cacheField>
    <cacheField name="Transport Zone SAP" numFmtId="0">
      <sharedItems count="204">
        <s v="AR00BO1002"/>
        <s v="AR00CL1004"/>
        <s v="AR00PA1003"/>
        <s v="AR00BA1001"/>
        <s v="AR00BA1002"/>
        <s v="AR00BA1003"/>
        <s v="AR00BA1004"/>
        <s v="AR00BA1005"/>
        <s v="AR00BA1006"/>
        <s v="AR00BA1007"/>
        <s v="AR00BA1008"/>
        <s v="AR00BA2001"/>
        <s v="AR00BA2002"/>
        <s v="AR00BA2003"/>
        <s v="AR00BA2004"/>
        <s v="AR00BA2005"/>
        <s v="AR00BA2006"/>
        <s v="AR00BA2007"/>
        <s v="AR00BA2008"/>
        <s v="AR00BA2009"/>
        <s v="AR00BA2010"/>
        <s v="AR00BA4001"/>
        <s v="AR00BA3001"/>
        <s v="AR00BA3002"/>
        <s v="AR00BA3003"/>
        <s v="AR00BA3004"/>
        <s v="AR00BA3005"/>
        <s v="AR00BA3006"/>
        <s v="AR00BA3007"/>
        <s v="AR00BA3008"/>
        <s v="AR00BA3009"/>
        <s v="AR00BA3010"/>
        <s v="AR00BA3011"/>
        <s v="AR00BA3012"/>
        <s v="AR00BA3013"/>
        <s v="AR00BA3014"/>
        <s v="AR00BA3015"/>
        <s v="AR00BA3016"/>
        <s v="AR00BA3017"/>
        <s v="AR00BA3018"/>
        <s v="AR00BA3019"/>
        <s v="AR00BA3020"/>
        <s v="AR00BA3021"/>
        <s v="AR00BA3022"/>
        <s v="AR00BA3023"/>
        <s v="AR00BA3024"/>
        <s v="AR00BA3025"/>
        <s v="AR00CA1001"/>
        <s v="AR00CB1001"/>
        <s v="AR00CB1002"/>
        <s v="AR00CB1003"/>
        <s v="AR00CB1004"/>
        <s v="AR00CB1005"/>
        <s v="AR00CB1006"/>
        <s v="AR00CB1007"/>
        <s v="AR00CB1008"/>
        <s v="AR00CB1009"/>
        <s v="AR00CB1010"/>
        <s v="AR00CB1011"/>
        <s v="AR00CB1012"/>
        <s v="AR00CB1013"/>
        <s v="AR00CB1014"/>
        <s v="AR00CB1015"/>
        <s v="AR00CB1016"/>
        <s v="AR00CB1017"/>
        <s v="AR00CB1018"/>
        <s v="AR00CB1019"/>
        <s v="AR00CB1020"/>
        <s v="AR00CB1021"/>
        <s v="AR00CB1022"/>
        <s v="AR00CB1023"/>
        <s v="AR00CB1024"/>
        <s v="AR00CB1025"/>
        <s v="AR00CR1001"/>
        <s v="AR00CR1002"/>
        <s v="AR00CR1003"/>
        <s v="AR00ER1001"/>
        <s v="AR00ER1002"/>
        <s v="AR00ER1003"/>
        <s v="AR00ER1004"/>
        <s v="AR00ER1005"/>
        <s v="AR00ER1006"/>
        <s v="AR00ER1007"/>
        <s v="AR00ER1008"/>
        <s v="AR00ER1009"/>
        <s v="AR00ER1010"/>
        <s v="AR00ER1011"/>
        <s v="AR00ER1012"/>
        <s v="AR00ER1013"/>
        <s v="AR00ER1014"/>
        <s v="AR00ER1015"/>
        <s v="AR00FO1001"/>
        <s v="AR00FO1002"/>
        <s v="AR00JY1001"/>
        <s v="AR00JY1002"/>
        <s v="AR00JY1003"/>
        <s v="AR00JY1004"/>
        <s v="AR00JY1005"/>
        <s v="AR00LP1001"/>
        <s v="AR00LP1002"/>
        <s v="AR00LP1003"/>
        <s v="AR00LP1004"/>
        <s v="AR00LR1001"/>
        <s v="AR00LR1002"/>
        <s v="AR00MZ1001"/>
        <s v="AR00MZ1002"/>
        <s v="AR00MZ1003"/>
        <s v="AR00MZ1004"/>
        <s v="AR00MZ1005"/>
        <s v="AR00MZ1006"/>
        <s v="AR00MZ1007"/>
        <s v="AR00MZ1008"/>
        <s v="AR00MZ1009"/>
        <s v="AR00MZ1010"/>
        <s v="AR00MZ1011"/>
        <s v="AR00MZ1012"/>
        <s v="AR00MI1001"/>
        <s v="AR00MI1002"/>
        <s v="AR00MI1003"/>
        <s v="AR00MI1004"/>
        <s v="AR00MI1005"/>
        <s v="AR00MI1006"/>
        <s v="AR00RN1001"/>
        <s v="AR00RN1002"/>
        <s v="AR00RN1003"/>
        <s v="AR00RN1004"/>
        <s v="AR00RN1005"/>
        <s v="AR00RN1006"/>
        <s v="AR00RN1007"/>
        <s v="AR00RN1008"/>
        <s v="AR00SA1001"/>
        <s v="AR00SA1002"/>
        <s v="AR00SA1003"/>
        <s v="AR00SJ1001"/>
        <s v="AR00SJ1002"/>
        <s v="AR00SJ1003"/>
        <s v="AR00SL1001"/>
        <s v="AR00SL1002"/>
        <s v="AR00SC1001"/>
        <s v="AR00SC1002"/>
        <s v="AR00SC1003"/>
        <s v="AR00SC1004"/>
        <s v="AR00SC1005"/>
        <s v="AR00SC1006"/>
        <s v="AR00SC1007"/>
        <s v="AR00SC1008"/>
        <s v="AR00SC1009"/>
        <s v="AR00SC1010"/>
        <s v="AR00SC1011"/>
        <s v="AR00SC1012"/>
        <s v="AR00SC1013"/>
        <s v="AR00SF1001"/>
        <s v="AR00SF1002"/>
        <s v="AR00SF1003"/>
        <s v="AR00SF1004"/>
        <s v="AR00SF1005"/>
        <s v="AR00SF1006"/>
        <s v="AR00SF1007"/>
        <s v="AR00SF1008"/>
        <s v="AR00SF1009"/>
        <s v="AR00SF1010"/>
        <s v="AR00SF1011"/>
        <s v="AR00SF1012"/>
        <s v="AR00SF1013"/>
        <s v="AR00SF1014"/>
        <s v="AR00SF1015"/>
        <s v="AR00SF1016"/>
        <s v="AR00SF1017"/>
        <s v="AR00SF1018"/>
        <s v="AR00SF1019"/>
        <s v="AR00SF1020"/>
        <s v="AR00SF1021"/>
        <s v="AR00SF1022"/>
        <s v="AR00SF1023"/>
        <s v="AR00SF1024"/>
        <s v="AR00SF1025"/>
        <s v="AR00SE1001"/>
        <s v="AR00SE1002"/>
        <s v="AR00TF1001"/>
        <s v="AR00TF1002"/>
        <s v="AR00TU1001"/>
        <s v="AR00TU1002"/>
        <s v="AR00TU1003"/>
        <s v="AR00TU1004"/>
        <s v="AR00TU1005"/>
        <s v="AR00TU1006"/>
        <s v="AR00CH1001"/>
        <s v="AR00CH1002"/>
        <s v="AR00CH1003"/>
        <s v="AR00CH1004"/>
        <s v="AR00CH1005"/>
        <s v="AR00CT1001"/>
        <s v="AR00CT1002"/>
        <s v="AR00CT1003"/>
        <s v="AR00CT1004"/>
        <s v="AR00CT1005"/>
        <s v="AR00CT1006"/>
        <s v="AR00CT1007"/>
        <s v="AR00CT1008"/>
        <s v="AR00NQ1001"/>
        <s v="AR00NQ1002"/>
        <s v="AR00NQ1003"/>
        <s v="AR00NQ1004"/>
        <s v="AR00UR1001"/>
      </sharedItems>
    </cacheField>
    <cacheField name="Ruta SAP" numFmtId="0">
      <sharedItems/>
    </cacheField>
    <cacheField name="Health" numFmtId="0">
      <sharedItems containsBlank="1"/>
    </cacheField>
    <cacheField name="Hyho" numFmtId="0">
      <sharedItems/>
    </cacheField>
    <cacheField name="CUT O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5">
  <r>
    <x v="0"/>
    <s v="BHN"/>
    <s v="Buenos Aires"/>
    <s v="Bahia Blanca"/>
    <s v="AR00BA400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M"/>
    <s v="Buenos Aires"/>
    <s v="Junin"/>
    <s v="AR00BA3012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ATL"/>
    <s v="Buenos Aires"/>
    <s v="Mar del Plata"/>
    <s v="AR00BA2004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M"/>
    <s v="Buenos Aires"/>
    <s v="PEHUAJO"/>
    <s v="AR00BA3017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M"/>
    <s v="Buenos Aires"/>
    <s v="Tandil"/>
    <s v="AR00BA302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NOA"/>
    <s v="Catamarca"/>
    <s v="Catamarca"/>
    <s v="AR00CA100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NEA"/>
    <s v="Chaco"/>
    <s v="Pcia.Roque S.PE&amp;A"/>
    <s v="AR00CH1002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NEA"/>
    <s v="Chaco"/>
    <s v="Resistencia"/>
    <s v="AR00CH1004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Chubut"/>
    <s v="Comodoro Rivadavia"/>
    <s v="AR00CT100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Chubut"/>
    <s v="Esquel"/>
    <s v="AR00CT1002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Chubut"/>
    <s v="Puerto Madryn"/>
    <s v="AR00CT1004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Chubut"/>
    <s v="Rawson"/>
    <s v="AR00CT1005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Chubut"/>
    <s v="Sarmiento"/>
    <s v="AR00CT1007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Chubut"/>
    <s v="Trelew"/>
    <s v="AR00CT1008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COR"/>
    <s v="Cordoba"/>
    <s v="Cordoba"/>
    <s v="AR00CB1008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COR"/>
    <s v="Cordoba"/>
    <s v="Rio Cuarto"/>
    <s v="AR00CB1017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COR"/>
    <s v="Cordoba"/>
    <s v="SAN FRANCISCO"/>
    <s v="AR00CB1019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COR"/>
    <s v="Cordoba"/>
    <s v="Villa Maria"/>
    <s v="AR00CB1025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MSO"/>
    <s v="Entre Rios"/>
    <s v="Concordia"/>
    <s v="AR00ER1004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MSO"/>
    <s v="Entre Rios"/>
    <s v="Gualeguaychu"/>
    <s v="AR00ER1008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NEA"/>
    <s v="Formosa"/>
    <s v="Formosa"/>
    <s v="AR00FO1002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NOA"/>
    <s v="Jujuy"/>
    <s v="San S. de Jujuy, Jujuy"/>
    <s v="AR00JY1005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M"/>
    <s v="La Pampa"/>
    <s v="Gral. Pico"/>
    <s v="AR00LP100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M"/>
    <s v="La Pampa"/>
    <s v="Santa rosa"/>
    <s v="AR00LP1004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COR"/>
    <s v="La Rioja"/>
    <s v="La Rioja"/>
    <s v="AR00LR1002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CUY"/>
    <s v="Mendoza"/>
    <s v="Mendoza"/>
    <s v="AR00MZ1007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CUY"/>
    <s v="Mendoza"/>
    <s v="San Rafael"/>
    <s v="AR00MZ101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NEA"/>
    <s v="Misiones"/>
    <s v="Posadas"/>
    <s v="AR00MI1005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BHN"/>
    <s v="Neuquén"/>
    <s v="Neuquén"/>
    <s v="AR00NQ1002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BHN"/>
    <s v="Neuquén"/>
    <s v="San C. de Bariloche"/>
    <s v="AR00RN1006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BHN"/>
    <s v="Neuquén"/>
    <s v="San M. de Los Andes,Neuquen"/>
    <s v="AR00NQ1003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BHN"/>
    <s v="Neuquén"/>
    <s v="Zapala"/>
    <s v="AR00NQ1004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BHN"/>
    <s v="Río Negro"/>
    <s v="Choele Choel"/>
    <s v="AR00RN100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BHN"/>
    <s v="Río Negro"/>
    <s v="El Bolson"/>
    <s v="AR00RN1003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BHN"/>
    <s v="Río Negro"/>
    <s v="Gral. Roca"/>
    <s v="AR00RN1004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BHN"/>
    <s v="Río Negro"/>
    <s v="Viedma"/>
    <s v="AR00RN1007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BHN"/>
    <s v="Río Negro"/>
    <s v="Villa Regina, Rio Negro"/>
    <s v="AR00RN1008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NOA"/>
    <s v="Salta"/>
    <s v="Cerrillos"/>
    <s v="AR00SA100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NOA"/>
    <s v="Salta"/>
    <s v="Salta"/>
    <s v="AR00SA1003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CUY"/>
    <s v="San Juan"/>
    <s v="San Juan "/>
    <s v="AR00SJ100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CUY"/>
    <s v="San Luis"/>
    <s v="San luis"/>
    <s v="AR00SL100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CUY"/>
    <s v="San Luis"/>
    <s v="Villa Mercedes"/>
    <s v="AR00SL1002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Santa Cruz"/>
    <s v="Caleta Olivia"/>
    <s v="AR00SC100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Santa Cruz"/>
    <s v="Cte.Luis Piedrabuena"/>
    <s v="AR00SC1002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Santa Cruz"/>
    <s v="El Calafate"/>
    <s v="AR00SC1003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Santa Cruz"/>
    <s v="Perito Moreno"/>
    <s v="AR00SC1007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Santa Cruz"/>
    <s v="Pico Truncado"/>
    <s v="AR00SC1008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Santa Cruz"/>
    <s v="Pto.Deseado"/>
    <s v="AR00SC1009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Santa Cruz"/>
    <s v="Puerto Santa Cruz"/>
    <s v="AR00SC101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Santa Cruz"/>
    <s v="Rio Gallegos"/>
    <s v="AR00SC1012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Santa Cruz"/>
    <s v="Rio Turbio"/>
    <s v="AR00SC1013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SFE"/>
    <s v="Santa Fe"/>
    <s v="Casilda"/>
    <s v="AR00SF1004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SFE"/>
    <s v="Santa Fe"/>
    <s v="RECONQUISTA"/>
    <s v="AR00SF1015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SFE"/>
    <s v="Santa Fe"/>
    <s v="Rosario"/>
    <s v="AR00SF1016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SFE"/>
    <s v="Santa Fe"/>
    <s v="Santa Fe"/>
    <s v="AR00SF102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SFE"/>
    <s v="Santa Fe"/>
    <s v="Venado Tuerto"/>
    <s v="AR00SF1024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NOA"/>
    <s v="Santiago del Estero"/>
    <s v="Santiago del Estero"/>
    <s v="AR00SE1002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Tierra del Fuego"/>
    <s v="Rio Grande"/>
    <s v="AR00TF100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Tierra del Fuego"/>
    <s v="Ushuaia"/>
    <s v="AR00TF1002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NOA"/>
    <s v="Tucuman"/>
    <s v="San M.de Tucuman"/>
    <s v="AR00TU1005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1"/>
    <s v="BUE"/>
    <s v="Buenos Aires"/>
    <s v="Zona Oeste"/>
    <s v="AR00BA1003"/>
    <s v="Directo"/>
    <n v="0"/>
    <m/>
    <m/>
    <m/>
    <m/>
    <m/>
    <m/>
    <m/>
    <m/>
    <m/>
    <m/>
    <m/>
    <m/>
    <m/>
    <m/>
    <m/>
    <m/>
    <m/>
    <m/>
    <m/>
    <m/>
    <m/>
    <m/>
    <m/>
    <m/>
  </r>
  <r>
    <x v="2"/>
    <s v="BUE"/>
    <s v="Buenos Aires"/>
    <s v="Capital"/>
    <s v="AR00BA1001"/>
    <s v="Directo"/>
    <n v="0"/>
    <m/>
    <m/>
    <m/>
    <m/>
    <m/>
    <m/>
    <m/>
    <m/>
    <m/>
    <m/>
    <m/>
    <m/>
    <m/>
    <m/>
    <m/>
    <m/>
    <m/>
    <m/>
    <m/>
    <m/>
    <m/>
    <m/>
    <m/>
    <m/>
  </r>
  <r>
    <x v="3"/>
    <s v="BUE"/>
    <s v="Buenos Aires"/>
    <s v="Bahia Blanca"/>
    <s v="AR00BA4001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UE"/>
    <s v="Buenos Aires"/>
    <s v="Coronel Suarez"/>
    <s v="AR00BA3008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UE"/>
    <s v="Buenos Aires"/>
    <s v="Pigue, Buenos Aires"/>
    <s v="AR00BA3019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UE"/>
    <s v="Buenos Aires"/>
    <s v="Tres Arroyos, Buenos Aires"/>
    <s v="AR00BA3022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Chubut"/>
    <s v="Comodoro Rivadavia"/>
    <s v="AR00CT1001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Chubut"/>
    <s v="Esquel"/>
    <s v="AR00CT1002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Chubut"/>
    <s v="Playa Union"/>
    <s v="AR00CT1003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Chubut"/>
    <s v="Puerto Madryn"/>
    <s v="AR00CT1004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Chubut"/>
    <s v="Rawson"/>
    <s v="AR00CT1005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Chubut"/>
    <s v="Rio Mayo, Chubut"/>
    <s v="AR00CT1006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Chubut"/>
    <s v="Sarmiento"/>
    <s v="AR00CT1007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Chubut"/>
    <s v="Trelew"/>
    <s v="AR00CT1008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HN"/>
    <s v="Neuquén"/>
    <s v="Centenario, Neuquen"/>
    <s v="AR00NQ1001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HN"/>
    <s v="Neuquén"/>
    <s v="Neuquén"/>
    <s v="AR00NQ1002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HN"/>
    <s v="Neuquén"/>
    <s v="San M. de Los Andes,Neuquen"/>
    <s v="AR00NQ1003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HN"/>
    <s v="Neuquén"/>
    <s v="Zapala"/>
    <s v="AR00NQ1004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HN"/>
    <s v="Río Negro"/>
    <s v="Choele Choel"/>
    <s v="AR00RN1001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HN"/>
    <s v="Río Negro"/>
    <s v="Cipolletti"/>
    <s v="AR00RN1002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HN"/>
    <s v="Río Negro"/>
    <s v="El Bolson"/>
    <s v="AR00RN1003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HN"/>
    <s v="Río Negro"/>
    <s v="Gral. Roca"/>
    <s v="AR00RN1004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HN"/>
    <s v="Río Negro"/>
    <s v="San C. de Bariloche"/>
    <s v="AR00RN1006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HN"/>
    <s v="Río Negro"/>
    <s v="Viedma"/>
    <s v="AR00RN1007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HN"/>
    <s v="Río Negro"/>
    <s v="Villa Regina, Rio Negro"/>
    <s v="AR00RN1008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Santa Cruz"/>
    <s v="Caleta Olivia"/>
    <s v="AR00SC1001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Santa Cruz"/>
    <s v="Cte.Luis Piedrabuena"/>
    <s v="AR00SC1002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Santa Cruz"/>
    <s v="El Calafate"/>
    <s v="AR00SC1003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Santa Cruz"/>
    <s v="Gobernador Gregores"/>
    <s v="AR00SC1004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Santa Cruz"/>
    <s v="Los Antiguos"/>
    <s v="AR00SC1005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Santa Cruz"/>
    <s v="Perito Moreno"/>
    <s v="AR00SC1007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Santa Cruz"/>
    <s v="Pico Truncado"/>
    <s v="AR00SC1008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Santa Cruz"/>
    <s v="Pto.Deseado"/>
    <s v="AR00SC1009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Santa Cruz"/>
    <s v="Puerto San Julian"/>
    <s v="AR00SC1010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Santa Cruz"/>
    <s v="Puerto Santa Cruz"/>
    <s v="AR00SC1011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Santa Cruz"/>
    <s v="Rio Gallegos"/>
    <s v="AR00SC1012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Santa Cruz"/>
    <s v="Rio Turbio"/>
    <s v="AR00SC1013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Tierra del Fuego"/>
    <s v="Rio Grande"/>
    <s v="AR00TF1001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Tierra del Fuego"/>
    <s v="Ushuaia"/>
    <s v="AR00TF1002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4"/>
    <s v="BHN"/>
    <s v="Buenos Aires"/>
    <s v="Bahia Blanca"/>
    <s v="AR00BA4001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PAM"/>
    <s v="Buenos Aires"/>
    <s v="Bragado"/>
    <s v="AR00BA3004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BUE"/>
    <s v="Buenos Aires"/>
    <s v="Campana"/>
    <s v="AR00BA1006"/>
    <s v="Directo"/>
    <s v="67,69%"/>
    <m/>
    <m/>
    <m/>
    <m/>
    <m/>
    <m/>
    <m/>
    <m/>
    <m/>
    <m/>
    <n v="0.10561"/>
    <n v="0.36163168525999989"/>
    <m/>
    <n v="6.8000000000000005E-2"/>
    <m/>
    <m/>
    <n v="4.2999999999999997E-2"/>
    <m/>
    <m/>
    <m/>
    <m/>
    <m/>
    <m/>
    <m/>
  </r>
  <r>
    <x v="4"/>
    <s v="BUE"/>
    <s v="Buenos Aires"/>
    <s v="Capital"/>
    <s v="AR00BA1001"/>
    <s v="Directo"/>
    <s v="67,69%"/>
    <m/>
    <m/>
    <m/>
    <m/>
    <m/>
    <m/>
    <m/>
    <m/>
    <m/>
    <m/>
    <n v="0.10561"/>
    <n v="0.36163168525999989"/>
    <m/>
    <n v="6.8000000000000005E-2"/>
    <m/>
    <m/>
    <n v="4.2999999999999997E-2"/>
    <m/>
    <m/>
    <m/>
    <m/>
    <m/>
    <m/>
    <m/>
  </r>
  <r>
    <x v="4"/>
    <s v="PAM"/>
    <s v="Buenos Aires"/>
    <s v="Chascomus"/>
    <s v="AR00BA3006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PAM"/>
    <s v="Buenos Aires"/>
    <s v="Junin"/>
    <s v="AR00BA3012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ATL"/>
    <s v="Buenos Aires"/>
    <s v="Mar de Ajo"/>
    <s v="AR00BA2003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ATL"/>
    <s v="Buenos Aires"/>
    <s v="Mar Del Plata"/>
    <s v="AR00BA2004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BUE"/>
    <s v="Buenos Aires"/>
    <s v="Mercedes"/>
    <s v="AR00BA1005"/>
    <s v="Directo"/>
    <s v="67,69%"/>
    <m/>
    <m/>
    <m/>
    <m/>
    <m/>
    <m/>
    <m/>
    <m/>
    <m/>
    <m/>
    <n v="0.10561"/>
    <n v="0.36163168525999989"/>
    <m/>
    <n v="6.8000000000000005E-2"/>
    <m/>
    <m/>
    <n v="4.2999999999999997E-2"/>
    <m/>
    <m/>
    <m/>
    <m/>
    <m/>
    <m/>
    <m/>
  </r>
  <r>
    <x v="4"/>
    <s v="PAM"/>
    <s v="Buenos Aires"/>
    <s v="Olavarria"/>
    <s v="AR00BA3015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BUE"/>
    <s v="Buenos Aires"/>
    <s v="Pilar"/>
    <s v="AR00BA1008"/>
    <s v="Directo"/>
    <s v="67,69%"/>
    <m/>
    <m/>
    <m/>
    <m/>
    <m/>
    <m/>
    <m/>
    <m/>
    <m/>
    <m/>
    <n v="0.10561"/>
    <n v="0.36163168525999989"/>
    <m/>
    <n v="6.8000000000000005E-2"/>
    <m/>
    <m/>
    <n v="4.2999999999999997E-2"/>
    <m/>
    <m/>
    <m/>
    <m/>
    <m/>
    <m/>
    <m/>
  </r>
  <r>
    <x v="4"/>
    <s v="PAM"/>
    <s v="Buenos Aires"/>
    <s v="Tandil"/>
    <s v="AR00BA3021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BUE"/>
    <s v="Buenos Aires"/>
    <s v="Zarate"/>
    <s v="AR00BA1007"/>
    <s v="Directo"/>
    <s v="67,69%"/>
    <m/>
    <m/>
    <m/>
    <m/>
    <m/>
    <m/>
    <m/>
    <m/>
    <m/>
    <m/>
    <n v="0.10561"/>
    <n v="0.36163168525999989"/>
    <m/>
    <n v="6.8000000000000005E-2"/>
    <m/>
    <m/>
    <n v="4.2999999999999997E-2"/>
    <m/>
    <m/>
    <m/>
    <m/>
    <m/>
    <m/>
    <m/>
  </r>
  <r>
    <x v="4"/>
    <s v="BUE"/>
    <s v="Buenos Aires"/>
    <s v="Zona Norte"/>
    <s v="AR00BA1002"/>
    <s v="Directo"/>
    <s v="67,69%"/>
    <m/>
    <m/>
    <m/>
    <m/>
    <m/>
    <m/>
    <m/>
    <m/>
    <m/>
    <m/>
    <n v="0.10561"/>
    <n v="0.36163168525999989"/>
    <m/>
    <n v="6.8000000000000005E-2"/>
    <m/>
    <m/>
    <n v="4.2999999999999997E-2"/>
    <m/>
    <m/>
    <m/>
    <m/>
    <m/>
    <m/>
    <m/>
  </r>
  <r>
    <x v="4"/>
    <s v="BUE"/>
    <s v="Buenos Aires"/>
    <s v="Zona Oeste"/>
    <s v="AR00BA1003"/>
    <s v="Directo"/>
    <s v="67,69%"/>
    <m/>
    <m/>
    <m/>
    <m/>
    <m/>
    <m/>
    <m/>
    <m/>
    <m/>
    <m/>
    <n v="0.10561"/>
    <n v="0.36163168525999989"/>
    <m/>
    <n v="6.8000000000000005E-2"/>
    <m/>
    <m/>
    <n v="4.2999999999999997E-2"/>
    <m/>
    <m/>
    <m/>
    <m/>
    <m/>
    <m/>
    <m/>
  </r>
  <r>
    <x v="4"/>
    <s v="BUE"/>
    <s v="Buenos Aires"/>
    <s v="Zona Sur"/>
    <s v="AR00BA1004"/>
    <s v="Directo"/>
    <s v="67,69%"/>
    <m/>
    <m/>
    <m/>
    <m/>
    <m/>
    <m/>
    <m/>
    <m/>
    <m/>
    <m/>
    <n v="0.10561"/>
    <n v="0.36163168525999989"/>
    <m/>
    <n v="6.8000000000000005E-2"/>
    <m/>
    <m/>
    <n v="4.2999999999999997E-2"/>
    <m/>
    <m/>
    <m/>
    <m/>
    <m/>
    <m/>
    <m/>
  </r>
  <r>
    <x v="4"/>
    <s v="NEA"/>
    <s v="Chaco"/>
    <s v="Pcia.Roque S.PE&amp;A"/>
    <s v="AR00CH1002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NEA"/>
    <s v="Chaco"/>
    <s v="Resistencia"/>
    <s v="AR00CH1004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PAT"/>
    <s v="Chubut"/>
    <s v="Esquel"/>
    <s v="AR00CT1002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PAT"/>
    <s v="Chubut"/>
    <s v="Trelew"/>
    <s v="AR00CT1008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OR"/>
    <s v="Cordoba"/>
    <s v="B.Villa Cabrera"/>
    <s v="AR00CB1004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OR"/>
    <s v="Cordoba"/>
    <s v="Barrio Alto Verde"/>
    <s v="AR00CB1005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OR"/>
    <s v="Cordoba"/>
    <s v="Camino Colonia Tirolesa"/>
    <s v="AR00CB1006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OR"/>
    <s v="Cordoba"/>
    <s v="Cordoba"/>
    <s v="AR00CB1008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OR"/>
    <s v="Cordoba"/>
    <s v="Rio Cuarto"/>
    <s v="AR00CB1017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OR"/>
    <s v="Cordoba"/>
    <s v="Rio Tercero"/>
    <s v="AR00CB1018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OR"/>
    <s v="Cordoba"/>
    <s v="Villa Maria"/>
    <s v="AR00CB1025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NEA"/>
    <s v="Corrientes"/>
    <s v="Corrientes"/>
    <s v="AR00CR1001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MSO"/>
    <s v="Entre Rios"/>
    <s v="Concordia"/>
    <s v="AR00ER1004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MSO"/>
    <s v="Entre Rios"/>
    <s v="Parana"/>
    <s v="AR00ER1015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NOA"/>
    <s v="Jujuy"/>
    <s v="San S. de Jujuy, Jujuy"/>
    <s v="AR00JY1005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PAM"/>
    <s v="La Pampa"/>
    <s v="Santa Rosa"/>
    <s v="AR00LP1004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UY"/>
    <s v="Mendoza"/>
    <s v="Godoy Cruz"/>
    <s v="AR00MZ1002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UY"/>
    <s v="Mendoza"/>
    <s v="Guaymallen"/>
    <s v="AR00MZ1004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UY"/>
    <s v="Mendoza"/>
    <s v="Las Heras"/>
    <s v="AR00MZ1005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UY"/>
    <s v="Mendoza"/>
    <s v="Lujan de Cuyo"/>
    <s v="AR00MZ1006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UY"/>
    <s v="Mendoza"/>
    <s v="Mendoza"/>
    <s v="AR00MZ1007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UY"/>
    <s v="Mendoza"/>
    <s v="San Jose"/>
    <s v="AR00MZ1009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UY"/>
    <s v="Mendoza"/>
    <s v="San Rafael"/>
    <s v="AR00MZ1011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NEA"/>
    <s v="Misiones"/>
    <s v="Posadas"/>
    <s v="AR00MI1005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BHN"/>
    <s v="Neuquén"/>
    <s v="Neuquén"/>
    <s v="AR00NQ1002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BHN"/>
    <s v="Río Negro"/>
    <s v="Gral. Roca"/>
    <s v="AR00RN1004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BHN"/>
    <s v="Río Negro"/>
    <s v="San C. de Bariloche"/>
    <s v="AR00RN1006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NOA"/>
    <s v="Salta"/>
    <s v="Salta"/>
    <s v="AR00SA1003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UY"/>
    <s v="San Juan"/>
    <s v="San Juan "/>
    <s v="AR00SJ1001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UY"/>
    <s v="San Juan"/>
    <s v="Santa Lucia "/>
    <s v="AR00SJ1002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SFE"/>
    <s v="Santa Fe"/>
    <s v="Rosario"/>
    <s v="AR00SF1016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SFE"/>
    <s v="Santa Fe"/>
    <s v="Santa Fe"/>
    <s v="AR00SF1021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NOA"/>
    <s v="Tucuman"/>
    <s v="San M.de Tucuman"/>
    <s v="AR00TU1005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5"/>
    <s v="BHN"/>
    <s v="Buenos Aires"/>
    <s v="Bahia Blanca"/>
    <s v="AR00BA4001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BUE"/>
    <s v="Buenos Aires"/>
    <s v="Campana"/>
    <s v="AR00BA1006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BUE"/>
    <s v="Buenos Aires"/>
    <s v="Capital"/>
    <s v="AR00BA1001"/>
    <s v="Directo_AMBA"/>
    <s v="11,5%"/>
    <m/>
    <m/>
    <m/>
    <m/>
    <m/>
    <m/>
    <m/>
    <m/>
    <m/>
    <m/>
    <m/>
    <m/>
    <n v="4.2200000000000001E-2"/>
    <m/>
    <m/>
    <m/>
    <n v="0.10290000000000001"/>
    <m/>
    <m/>
    <n v="-0.03"/>
    <m/>
    <m/>
    <m/>
    <m/>
  </r>
  <r>
    <x v="5"/>
    <s v="PAM"/>
    <s v="Buenos Aires"/>
    <s v="Junin"/>
    <s v="AR00BA3012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ATL"/>
    <s v="Buenos Aires"/>
    <s v="Mar de Ajo"/>
    <s v="AR00BA2003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ATL"/>
    <s v="Buenos Aires"/>
    <s v="Mar del Plata"/>
    <s v="AR00BA2004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BUE"/>
    <s v="Buenos Aires"/>
    <s v="Mercedes"/>
    <s v="AR00BA1005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ATL"/>
    <s v="Buenos Aires"/>
    <s v="Necochea"/>
    <s v="AR00BA2006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PAM"/>
    <s v="Buenos Aires"/>
    <s v="Olavarria"/>
    <s v="AR00BA3015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BUE"/>
    <s v="Buenos Aires"/>
    <s v="Pilar"/>
    <s v="AR00BA1008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PAM"/>
    <s v="Buenos Aires"/>
    <s v="Tandil"/>
    <s v="AR00BA3021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BUE"/>
    <s v="Buenos Aires"/>
    <s v="Zarate"/>
    <s v="AR00BA1007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BUE"/>
    <s v="Buenos Aires"/>
    <s v="Zona Norte"/>
    <s v="AR00BA1002"/>
    <s v="Directo_AMBA"/>
    <s v="11,5%"/>
    <m/>
    <m/>
    <m/>
    <m/>
    <m/>
    <m/>
    <m/>
    <m/>
    <m/>
    <m/>
    <m/>
    <m/>
    <n v="4.2200000000000001E-2"/>
    <m/>
    <m/>
    <m/>
    <n v="0.10290000000000001"/>
    <m/>
    <m/>
    <n v="-0.03"/>
    <m/>
    <m/>
    <m/>
    <m/>
  </r>
  <r>
    <x v="5"/>
    <s v="BUE"/>
    <s v="Buenos Aires"/>
    <s v="Zona Oeste"/>
    <s v="AR00BA1003"/>
    <s v="Directo_AMBA"/>
    <s v="11,5%"/>
    <m/>
    <m/>
    <m/>
    <m/>
    <m/>
    <m/>
    <m/>
    <m/>
    <m/>
    <m/>
    <m/>
    <m/>
    <n v="4.2200000000000001E-2"/>
    <m/>
    <m/>
    <m/>
    <n v="0.10290000000000001"/>
    <m/>
    <m/>
    <n v="-0.03"/>
    <m/>
    <m/>
    <m/>
    <m/>
  </r>
  <r>
    <x v="5"/>
    <s v="BUE"/>
    <s v="Buenos Aires"/>
    <s v="Zona Sur"/>
    <s v="AR00BA1004"/>
    <s v="Directo_AMBA"/>
    <s v="11,5%"/>
    <m/>
    <m/>
    <m/>
    <m/>
    <m/>
    <m/>
    <m/>
    <m/>
    <m/>
    <m/>
    <m/>
    <m/>
    <n v="4.2200000000000001E-2"/>
    <m/>
    <m/>
    <m/>
    <n v="0.10290000000000001"/>
    <m/>
    <m/>
    <n v="-0.03"/>
    <m/>
    <m/>
    <m/>
    <m/>
  </r>
  <r>
    <x v="5"/>
    <s v="NEA"/>
    <s v="Chaco"/>
    <s v="Pcia.Roque S.PE&amp;A"/>
    <s v="AR00CH1002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NEA"/>
    <s v="Chaco"/>
    <s v="Resistencia"/>
    <s v="AR00CH1004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PAT"/>
    <s v="Chubut"/>
    <s v="Trelew"/>
    <s v="AR00CT1008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COR"/>
    <s v="Cordoba"/>
    <s v="B.Villa Cabrera"/>
    <s v="AR00CB1004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COR"/>
    <s v="Cordoba"/>
    <s v="Camino Colonia Tirolesa"/>
    <s v="AR00CB1006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COR"/>
    <s v="Cordoba"/>
    <s v="Cordoba"/>
    <s v="AR00CB1008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COR"/>
    <s v="Cordoba"/>
    <s v="Rio Cuarto"/>
    <s v="AR00CB1017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COR"/>
    <s v="Cordoba"/>
    <s v="Villa Maria"/>
    <s v="AR00CB1025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NEA"/>
    <s v="Corrientes"/>
    <s v="Corrientes"/>
    <s v="AR00CR1001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MSO"/>
    <s v="Entre Rios"/>
    <s v="Concordia"/>
    <s v="AR00ER1004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MSO"/>
    <s v="Entre Rios"/>
    <s v="Parana"/>
    <s v="AR00ER1015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NOA"/>
    <s v="Jujuy"/>
    <s v="San S. de Jujuy, Jujuy"/>
    <s v="AR00JY1005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PAM"/>
    <s v="La Pampa"/>
    <s v="Santa rosa"/>
    <s v="AR00LP1004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CUY"/>
    <s v="Mendoza"/>
    <s v="Godoy Cruz"/>
    <s v="AR00MZ1002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CUY"/>
    <s v="Mendoza"/>
    <s v="Guaymallen"/>
    <s v="AR00MZ1004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CUY"/>
    <s v="Mendoza"/>
    <s v="Las Heras"/>
    <s v="AR00MZ1005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CUY"/>
    <s v="Mendoza"/>
    <s v="Mendoza"/>
    <s v="AR00MZ1007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CUY"/>
    <s v="Mendoza"/>
    <s v="San Jose"/>
    <s v="AR00MZ1009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CUY"/>
    <s v="Mendoza"/>
    <s v="San Rafael"/>
    <s v="AR00MZ1011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NEA"/>
    <s v="Misiones"/>
    <s v="Posadas"/>
    <s v="AR00MI1005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BHN"/>
    <s v="Neuquén"/>
    <s v="Neuquén"/>
    <s v="AR00NQ1002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BHN"/>
    <s v="Neuquén"/>
    <s v="San C. de Bariloche"/>
    <s v="AR00RN1006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BHN"/>
    <s v="Río Negro"/>
    <s v="Gral. Roca"/>
    <s v="AR00RN1004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NOA"/>
    <s v="Salta"/>
    <s v="Salta"/>
    <s v="AR00SA1003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CUY"/>
    <s v="San Juan"/>
    <s v="Santa Lucia "/>
    <s v="AR00SJ1002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CUY"/>
    <s v="San Luis"/>
    <s v="San luis"/>
    <s v="AR00SL1001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SFE"/>
    <s v="Santa Fe"/>
    <s v="Frontera"/>
    <s v="AR00SF1010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SFE"/>
    <s v="Santa Fe"/>
    <s v="Rosario"/>
    <s v="AR00SF1016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SFE"/>
    <s v="Santa Fe"/>
    <s v="Santa Fe"/>
    <s v="AR00SF1021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NOA"/>
    <s v="Tucuman"/>
    <s v="San M.de Tucuman"/>
    <s v="AR00TU1005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6"/>
    <s v="BUE"/>
    <s v="Buenos Aires"/>
    <s v="Alcance Depo Fiscal"/>
    <s v="PY00000001"/>
    <s v="Directo"/>
    <s v="191,96%"/>
    <m/>
    <n v="0.39"/>
    <n v="0.24260000000000001"/>
    <n v="0.1067"/>
    <n v="0.1"/>
    <m/>
    <n v="7.1099999999999997E-2"/>
    <m/>
    <m/>
    <m/>
    <n v="0.11799999999999999"/>
    <m/>
    <m/>
    <m/>
    <n v="7.9399999999999998E-2"/>
    <m/>
    <m/>
    <m/>
    <n v="9.06E-2"/>
    <n v="-1.499E-2"/>
    <m/>
    <m/>
    <m/>
    <m/>
  </r>
  <r>
    <x v="6"/>
    <s v="BUE"/>
    <s v="Buenos Aires"/>
    <s v="Alcance Depo Fiscal"/>
    <s v="UY00000001"/>
    <s v="Directo"/>
    <s v="191,96%"/>
    <m/>
    <n v="0.39"/>
    <n v="0.24260000000000001"/>
    <n v="0.1067"/>
    <n v="0.1"/>
    <m/>
    <n v="7.1099999999999997E-2"/>
    <m/>
    <m/>
    <m/>
    <n v="0.11799999999999999"/>
    <m/>
    <m/>
    <m/>
    <n v="7.9399999999999998E-2"/>
    <m/>
    <m/>
    <m/>
    <n v="9.06E-2"/>
    <n v="-1.499E-2"/>
    <m/>
    <m/>
    <m/>
    <m/>
  </r>
  <r>
    <x v="6"/>
    <s v="BUE"/>
    <s v="Buenos Aires"/>
    <s v="Campana"/>
    <s v="AR00BA1006"/>
    <s v="Directo"/>
    <s v="191,96%"/>
    <m/>
    <n v="0.39"/>
    <n v="0.24260000000000001"/>
    <n v="0.1067"/>
    <n v="0.1"/>
    <m/>
    <n v="7.1099999999999997E-2"/>
    <m/>
    <m/>
    <m/>
    <n v="0.11799999999999999"/>
    <m/>
    <m/>
    <m/>
    <n v="7.9399999999999998E-2"/>
    <m/>
    <m/>
    <m/>
    <n v="9.06E-2"/>
    <n v="-1.499E-2"/>
    <m/>
    <m/>
    <m/>
    <m/>
  </r>
  <r>
    <x v="6"/>
    <s v="BUE"/>
    <s v="Buenos Aires"/>
    <s v="Capital"/>
    <s v="AR00BA1001"/>
    <s v="Directo"/>
    <s v="191,96%"/>
    <m/>
    <n v="0.39"/>
    <n v="0.24260000000000001"/>
    <n v="0.1067"/>
    <n v="0.1"/>
    <m/>
    <n v="7.1099999999999997E-2"/>
    <m/>
    <m/>
    <m/>
    <n v="0.11799999999999999"/>
    <m/>
    <m/>
    <m/>
    <n v="7.9399999999999998E-2"/>
    <m/>
    <m/>
    <m/>
    <n v="9.06E-2"/>
    <n v="-1.499E-2"/>
    <m/>
    <m/>
    <m/>
    <m/>
  </r>
  <r>
    <x v="6"/>
    <s v="BUE"/>
    <s v="Buenos Aires"/>
    <s v="Mercedes"/>
    <s v="AR00BA1005"/>
    <s v="Directo"/>
    <s v="191,96%"/>
    <m/>
    <n v="0.39"/>
    <n v="0.24260000000000001"/>
    <n v="0.1067"/>
    <n v="0.1"/>
    <m/>
    <n v="7.1099999999999997E-2"/>
    <m/>
    <m/>
    <m/>
    <n v="0.11799999999999999"/>
    <m/>
    <m/>
    <m/>
    <n v="7.9399999999999998E-2"/>
    <m/>
    <m/>
    <m/>
    <n v="9.06E-2"/>
    <n v="-1.499E-2"/>
    <m/>
    <m/>
    <m/>
    <m/>
  </r>
  <r>
    <x v="6"/>
    <s v="BUE"/>
    <s v="Buenos Aires"/>
    <s v="Pilar"/>
    <s v="AR00BA1008"/>
    <s v="Directo"/>
    <s v="191,96%"/>
    <m/>
    <n v="0.39"/>
    <n v="0.24260000000000001"/>
    <n v="0.1067"/>
    <n v="0.1"/>
    <m/>
    <n v="7.1099999999999997E-2"/>
    <m/>
    <m/>
    <m/>
    <n v="0.11799999999999999"/>
    <m/>
    <m/>
    <m/>
    <n v="7.9399999999999998E-2"/>
    <m/>
    <m/>
    <m/>
    <n v="9.06E-2"/>
    <n v="-1.499E-2"/>
    <m/>
    <m/>
    <m/>
    <m/>
  </r>
  <r>
    <x v="6"/>
    <s v="BUE"/>
    <s v="Buenos Aires"/>
    <s v="Zarate"/>
    <s v="AR00BA1007"/>
    <s v="Directo"/>
    <s v="191,96%"/>
    <m/>
    <n v="0.39"/>
    <n v="0.24260000000000001"/>
    <n v="0.1067"/>
    <n v="0.1"/>
    <m/>
    <n v="7.1099999999999997E-2"/>
    <m/>
    <m/>
    <m/>
    <n v="0.11799999999999999"/>
    <m/>
    <m/>
    <m/>
    <n v="7.9399999999999998E-2"/>
    <m/>
    <m/>
    <m/>
    <n v="9.06E-2"/>
    <n v="-1.499E-2"/>
    <m/>
    <m/>
    <m/>
    <m/>
  </r>
  <r>
    <x v="6"/>
    <s v="BUE"/>
    <s v="Buenos Aires"/>
    <s v="Zona Norte"/>
    <s v="AR00BA1002"/>
    <s v="Directo"/>
    <s v="191,96%"/>
    <m/>
    <n v="0.39"/>
    <n v="0.24260000000000001"/>
    <n v="0.1067"/>
    <n v="0.1"/>
    <m/>
    <n v="7.1099999999999997E-2"/>
    <m/>
    <m/>
    <m/>
    <n v="0.11799999999999999"/>
    <m/>
    <m/>
    <m/>
    <n v="7.9399999999999998E-2"/>
    <m/>
    <m/>
    <m/>
    <n v="9.06E-2"/>
    <n v="-1.499E-2"/>
    <m/>
    <m/>
    <m/>
    <m/>
  </r>
  <r>
    <x v="6"/>
    <s v="BUE"/>
    <s v="Buenos Aires"/>
    <s v="Zona Oeste"/>
    <s v="AR00BA1003"/>
    <s v="Directo"/>
    <s v="191,96%"/>
    <m/>
    <n v="0.39"/>
    <n v="0.24260000000000001"/>
    <n v="0.1067"/>
    <n v="0.1"/>
    <m/>
    <n v="7.1099999999999997E-2"/>
    <m/>
    <m/>
    <m/>
    <n v="0.11799999999999999"/>
    <m/>
    <m/>
    <m/>
    <n v="7.9399999999999998E-2"/>
    <m/>
    <m/>
    <m/>
    <n v="9.06E-2"/>
    <n v="-1.499E-2"/>
    <m/>
    <m/>
    <m/>
    <m/>
  </r>
  <r>
    <x v="6"/>
    <s v="BUE"/>
    <s v="Buenos Aires"/>
    <s v="Zona Sur"/>
    <s v="AR00BA1004"/>
    <s v="Directo"/>
    <s v="191,96%"/>
    <m/>
    <n v="0.39"/>
    <n v="0.24260000000000001"/>
    <n v="0.1067"/>
    <n v="0.1"/>
    <m/>
    <n v="7.1099999999999997E-2"/>
    <m/>
    <m/>
    <m/>
    <n v="0.11799999999999999"/>
    <m/>
    <m/>
    <m/>
    <n v="7.9399999999999998E-2"/>
    <m/>
    <m/>
    <m/>
    <n v="9.06E-2"/>
    <n v="-1.499E-2"/>
    <m/>
    <m/>
    <m/>
    <m/>
  </r>
  <r>
    <x v="7"/>
    <s v="BUE"/>
    <s v="Buenos Aires"/>
    <s v="Zona Oeste"/>
    <s v="AR00BA1002"/>
    <s v="Directo"/>
    <n v="0"/>
    <m/>
    <m/>
    <m/>
    <m/>
    <m/>
    <m/>
    <m/>
    <m/>
    <m/>
    <m/>
    <m/>
    <m/>
    <m/>
    <m/>
    <m/>
    <m/>
    <m/>
    <m/>
    <m/>
    <m/>
    <m/>
    <m/>
    <m/>
    <m/>
  </r>
  <r>
    <x v="7"/>
    <s v="BUE"/>
    <s v="Buenos Aires"/>
    <s v="Zona Oeste"/>
    <s v="AR00BA1003"/>
    <s v="Directo"/>
    <n v="0"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8">
  <r>
    <s v="Exportacion"/>
    <s v="Santa Cruz"/>
    <x v="0"/>
    <x v="0"/>
    <x v="0"/>
    <m/>
    <m/>
    <s v="AR"/>
    <s v="BO"/>
    <s v="1"/>
    <s v="02"/>
    <s v="RB_FV"/>
    <s v="BO"/>
    <s v="1d"/>
    <s v="01"/>
    <s v="Road/Truck"/>
    <s v="3d"/>
    <x v="0"/>
    <s v="AR1X03"/>
    <s v="X"/>
    <s v="X"/>
    <s v="Expo"/>
  </r>
  <r>
    <s v="Exportacion"/>
    <s v="Santa Cruz"/>
    <x v="0"/>
    <x v="0"/>
    <x v="0"/>
    <m/>
    <m/>
    <s v="AR"/>
    <s v="BO"/>
    <s v="1"/>
    <s v="02"/>
    <s v="RB_FV"/>
    <s v="BO"/>
    <s v="1d"/>
    <s v="04"/>
    <s v="3PL Direct"/>
    <s v="3d"/>
    <x v="0"/>
    <s v="AR1X03"/>
    <s v="X"/>
    <s v="X"/>
    <s v="Expo"/>
  </r>
  <r>
    <s v="Exportacion"/>
    <s v="Santiago"/>
    <x v="1"/>
    <x v="1"/>
    <x v="0"/>
    <m/>
    <m/>
    <s v="AR"/>
    <s v="CL"/>
    <s v="1"/>
    <s v="04"/>
    <s v="RB_FV"/>
    <s v="CL"/>
    <s v="1d"/>
    <s v="01"/>
    <s v="Road/Truck"/>
    <s v="3d"/>
    <x v="1"/>
    <s v="AR1X03"/>
    <m/>
    <s v="X"/>
    <s v="Expo"/>
  </r>
  <r>
    <s v="Exportacion"/>
    <s v="Santiago"/>
    <x v="1"/>
    <x v="1"/>
    <x v="0"/>
    <m/>
    <m/>
    <s v="AR"/>
    <s v="CL"/>
    <s v="1"/>
    <s v="04"/>
    <s v="RB_FV"/>
    <s v="CL"/>
    <s v="1d"/>
    <s v="04"/>
    <s v="3PL Direct"/>
    <s v="3d"/>
    <x v="1"/>
    <s v="AR1X03"/>
    <m/>
    <s v="X"/>
    <s v="Expo"/>
  </r>
  <r>
    <s v="Exportacion"/>
    <s v="Asuncion"/>
    <x v="2"/>
    <x v="2"/>
    <x v="0"/>
    <m/>
    <m/>
    <s v="AR"/>
    <s v="PA"/>
    <s v="1"/>
    <s v="03"/>
    <s v="RB_FV"/>
    <s v="PA"/>
    <s v="1d"/>
    <s v="01"/>
    <s v="Road/Truck"/>
    <s v="3d"/>
    <x v="2"/>
    <s v="AR1X03"/>
    <s v="X"/>
    <s v="X"/>
    <s v="Expo"/>
  </r>
  <r>
    <s v="Exportacion"/>
    <s v="Asuncion"/>
    <x v="2"/>
    <x v="2"/>
    <x v="0"/>
    <m/>
    <m/>
    <s v="AR"/>
    <s v="PA"/>
    <s v="1"/>
    <s v="03"/>
    <s v="RB_FV"/>
    <s v="PA"/>
    <s v="1d"/>
    <s v="04"/>
    <s v="3PL Direct"/>
    <s v="3d"/>
    <x v="2"/>
    <s v="AR1X03"/>
    <s v="X"/>
    <s v="X"/>
    <s v="Expo"/>
  </r>
  <r>
    <s v="Cap - GBA"/>
    <s v="Capital"/>
    <x v="3"/>
    <x v="3"/>
    <x v="1"/>
    <s v="CPF"/>
    <s v="CPF"/>
    <s v="AR"/>
    <s v="BA"/>
    <s v="1"/>
    <s v="01"/>
    <s v="RB_FV"/>
    <s v="BA"/>
    <s v="1d"/>
    <s v="01"/>
    <s v="Road/Truck"/>
    <s v="1d"/>
    <x v="3"/>
    <s v="AR1X01"/>
    <s v="X"/>
    <s v="X"/>
    <s v="No Cut Off"/>
  </r>
  <r>
    <s v="Cap - GBA"/>
    <s v="Zona Norte"/>
    <x v="4"/>
    <x v="3"/>
    <x v="1"/>
    <s v="GBA"/>
    <s v="GBA"/>
    <s v="AR"/>
    <s v="BA"/>
    <s v="1"/>
    <s v="02"/>
    <s v="RB_FV"/>
    <s v="BA"/>
    <s v="1d"/>
    <s v="01"/>
    <s v="Road/Truck"/>
    <s v="1d"/>
    <x v="4"/>
    <s v="AR1X01"/>
    <s v="X"/>
    <s v="X"/>
    <s v="No Cut Off"/>
  </r>
  <r>
    <s v="Cap - GBA"/>
    <s v="Zona Oeste"/>
    <x v="5"/>
    <x v="3"/>
    <x v="1"/>
    <s v="GBA"/>
    <s v="004"/>
    <s v="AR"/>
    <s v="BA"/>
    <s v="1"/>
    <s v="03"/>
    <s v="RB_FV"/>
    <s v="BA"/>
    <s v="1d"/>
    <s v="01"/>
    <s v="Road/Truck"/>
    <s v="1d"/>
    <x v="5"/>
    <s v="AR1X01"/>
    <s v="X"/>
    <s v="X"/>
    <s v="No Cut Off"/>
  </r>
  <r>
    <s v="Cap - GBA"/>
    <s v="Zona Sur"/>
    <x v="6"/>
    <x v="3"/>
    <x v="1"/>
    <s v="ZMB"/>
    <s v="ZMB"/>
    <s v="AR"/>
    <s v="BA"/>
    <s v="1"/>
    <s v="04"/>
    <s v="RB_FV"/>
    <s v="BA"/>
    <s v="1d"/>
    <s v="01"/>
    <s v="Road/Truck"/>
    <s v="1d"/>
    <x v="6"/>
    <s v="AR1X01"/>
    <s v="X"/>
    <s v="X"/>
    <s v="No Cut Off"/>
  </r>
  <r>
    <s v="Cap - GBA"/>
    <s v="Mercedes"/>
    <x v="7"/>
    <x v="3"/>
    <x v="1"/>
    <s v="GBA"/>
    <s v="005"/>
    <s v="AR"/>
    <s v="BA"/>
    <s v="1"/>
    <s v="05"/>
    <s v="RB_FV"/>
    <s v="BA"/>
    <s v="1d"/>
    <s v="01"/>
    <s v="Road/Truck"/>
    <s v="1d"/>
    <x v="7"/>
    <s v="AR1X01"/>
    <s v="X"/>
    <s v="X"/>
    <s v="No Cut Off"/>
  </r>
  <r>
    <s v="Cap - GBA"/>
    <s v="Campana"/>
    <x v="8"/>
    <x v="3"/>
    <x v="1"/>
    <s v="GBA"/>
    <s v="006"/>
    <s v="AR"/>
    <s v="BA"/>
    <s v="1"/>
    <s v="06"/>
    <s v="RB_FV"/>
    <s v="BA"/>
    <s v="1d"/>
    <s v="01"/>
    <s v="Road/Truck"/>
    <s v="1d"/>
    <x v="8"/>
    <s v="AR1X01"/>
    <s v="X"/>
    <s v="X"/>
    <s v="No Cut Off"/>
  </r>
  <r>
    <s v="Cap - GBA"/>
    <s v="Zarate"/>
    <x v="9"/>
    <x v="3"/>
    <x v="1"/>
    <s v="GBA"/>
    <s v="007"/>
    <s v="AR"/>
    <s v="BA"/>
    <s v="1"/>
    <s v="07"/>
    <s v="RB_FV"/>
    <s v="BA"/>
    <s v="1d"/>
    <s v="01"/>
    <s v="Road/Truck"/>
    <s v="1d"/>
    <x v="9"/>
    <s v="AR1X01"/>
    <s v="X"/>
    <s v="X"/>
    <s v="No Cut Off"/>
  </r>
  <r>
    <s v="Cap - GBA"/>
    <s v="Pilar"/>
    <x v="10"/>
    <x v="3"/>
    <x v="1"/>
    <s v="GBA"/>
    <s v="008"/>
    <s v="AR"/>
    <s v="BA"/>
    <s v="1"/>
    <s v="08"/>
    <s v="RB_FV"/>
    <s v="BA"/>
    <s v="1d"/>
    <s v="01"/>
    <s v="Road/Truck"/>
    <s v="1d"/>
    <x v="10"/>
    <s v="AR1X01"/>
    <s v="X"/>
    <s v="X"/>
    <s v="No Cut Off"/>
  </r>
  <r>
    <s v="Cap - GBA"/>
    <s v="Capital"/>
    <x v="3"/>
    <x v="3"/>
    <x v="1"/>
    <s v="CPF"/>
    <s v="CPF"/>
    <s v="AR"/>
    <s v="BA"/>
    <s v="1"/>
    <s v="01"/>
    <s v="RB_FV"/>
    <s v="BA"/>
    <s v="1d"/>
    <s v="04"/>
    <s v="3PL Direct"/>
    <s v="0d"/>
    <x v="3"/>
    <s v="AR0X00"/>
    <s v="X"/>
    <s v="X"/>
    <s v="No Cut Off"/>
  </r>
  <r>
    <s v="Cap - GBA"/>
    <s v="Zona Norte"/>
    <x v="4"/>
    <x v="3"/>
    <x v="1"/>
    <s v="GBA"/>
    <s v="GBA"/>
    <s v="AR"/>
    <s v="BA"/>
    <s v="1"/>
    <s v="02"/>
    <s v="RB_FV"/>
    <s v="BA"/>
    <s v="1d"/>
    <s v="04"/>
    <s v="3PL Direct"/>
    <s v="0d"/>
    <x v="4"/>
    <s v="AR0X00"/>
    <s v="X"/>
    <s v="X"/>
    <s v="No Cut Off"/>
  </r>
  <r>
    <s v="Cap - GBA"/>
    <s v="Zona Oeste"/>
    <x v="5"/>
    <x v="3"/>
    <x v="1"/>
    <s v="GBA"/>
    <s v="004"/>
    <s v="AR"/>
    <s v="BA"/>
    <s v="1"/>
    <s v="03"/>
    <s v="RB_FV"/>
    <s v="BA"/>
    <s v="1d"/>
    <s v="04"/>
    <s v="3PL Direct"/>
    <s v="0d"/>
    <x v="5"/>
    <s v="AR0X00"/>
    <s v="X"/>
    <s v="X"/>
    <s v="No Cut Off"/>
  </r>
  <r>
    <s v="Cap - GBA"/>
    <s v="Zona Sur"/>
    <x v="6"/>
    <x v="3"/>
    <x v="1"/>
    <s v="ZMB"/>
    <s v="ZMB"/>
    <s v="AR"/>
    <s v="BA"/>
    <s v="1"/>
    <s v="04"/>
    <s v="RB_FV"/>
    <s v="BA"/>
    <s v="1d"/>
    <s v="04"/>
    <s v="3PL Direct"/>
    <s v="0d"/>
    <x v="6"/>
    <s v="AR0X00"/>
    <s v="X"/>
    <s v="X"/>
    <s v="No Cut Off"/>
  </r>
  <r>
    <s v="Cap - GBA"/>
    <s v="Mercedes"/>
    <x v="7"/>
    <x v="3"/>
    <x v="1"/>
    <s v="GBA"/>
    <s v="005"/>
    <s v="AR"/>
    <s v="BA"/>
    <s v="1"/>
    <s v="05"/>
    <s v="RB_FV"/>
    <s v="BA"/>
    <s v="1d"/>
    <s v="04"/>
    <s v="3PL Direct"/>
    <s v="0d"/>
    <x v="7"/>
    <s v="AR0X00"/>
    <s v="X"/>
    <s v="X"/>
    <s v="No Cut Off"/>
  </r>
  <r>
    <s v="Cap - GBA"/>
    <s v="Campana"/>
    <x v="8"/>
    <x v="3"/>
    <x v="1"/>
    <s v="GBA"/>
    <s v="006"/>
    <s v="AR"/>
    <s v="BA"/>
    <s v="1"/>
    <s v="06"/>
    <s v="RB_FV"/>
    <s v="BA"/>
    <s v="1d"/>
    <s v="04"/>
    <s v="3PL Direct"/>
    <s v="0d"/>
    <x v="8"/>
    <s v="AR0X00"/>
    <s v="X"/>
    <s v="X"/>
    <s v="No Cut Off"/>
  </r>
  <r>
    <s v="Cap - GBA"/>
    <s v="Zarate"/>
    <x v="9"/>
    <x v="3"/>
    <x v="1"/>
    <s v="GBA"/>
    <s v="007"/>
    <s v="AR"/>
    <s v="BA"/>
    <s v="1"/>
    <s v="07"/>
    <s v="RB_FV"/>
    <s v="BA"/>
    <s v="1d"/>
    <s v="04"/>
    <s v="3PL Direct"/>
    <s v="0d"/>
    <x v="9"/>
    <s v="AR0X00"/>
    <s v="X"/>
    <s v="X"/>
    <s v="No Cut Off"/>
  </r>
  <r>
    <s v="Cap - GBA"/>
    <s v="Pilar"/>
    <x v="10"/>
    <x v="3"/>
    <x v="1"/>
    <s v="GBA"/>
    <s v="008"/>
    <s v="AR"/>
    <s v="BA"/>
    <s v="1"/>
    <s v="08"/>
    <s v="RB_FV"/>
    <s v="BA"/>
    <s v="1d"/>
    <s v="04"/>
    <s v="3PL Direct"/>
    <s v="0d"/>
    <x v="10"/>
    <s v="AR0X00"/>
    <s v="X"/>
    <s v="X"/>
    <s v="No Cut Off"/>
  </r>
  <r>
    <s v="Interior"/>
    <s v="Balcarce, Buenos Aires"/>
    <x v="11"/>
    <x v="3"/>
    <x v="2"/>
    <s v="BSC"/>
    <n v="885"/>
    <s v="AR"/>
    <s v="BA"/>
    <s v="2"/>
    <s v="01"/>
    <s v="RB_FV"/>
    <s v="BA"/>
    <s v="1d"/>
    <s v="01"/>
    <s v="Road/Truck"/>
    <s v="6d"/>
    <x v="11"/>
    <s v="AR1X06"/>
    <s v="X"/>
    <s v="X"/>
    <s v="Cut Off"/>
  </r>
  <r>
    <s v="Interior"/>
    <s v="Gral.Madariaga, Buenos Aires"/>
    <x v="12"/>
    <x v="3"/>
    <x v="2"/>
    <s v="BSC"/>
    <n v="856"/>
    <s v="AR"/>
    <s v="BA"/>
    <s v="2"/>
    <s v="02"/>
    <s v="RB_FV"/>
    <s v="BA"/>
    <s v="1d"/>
    <s v="01"/>
    <s v="Road/Truck"/>
    <s v="6d"/>
    <x v="12"/>
    <s v="AR1X06"/>
    <s v="X"/>
    <s v="X"/>
    <s v="Cut Off"/>
  </r>
  <r>
    <s v="Interior"/>
    <s v="Mar de Ajo, Buenos Aires"/>
    <x v="13"/>
    <x v="3"/>
    <x v="2"/>
    <s v="BSC"/>
    <n v="823"/>
    <s v="AR"/>
    <s v="BA"/>
    <s v="2"/>
    <s v="03"/>
    <s v="RB_FV"/>
    <s v="BA"/>
    <s v="1d"/>
    <s v="01"/>
    <s v="Road/Truck"/>
    <s v="6d"/>
    <x v="13"/>
    <s v="AR1X06"/>
    <s v="X"/>
    <s v="X"/>
    <s v="Cut Off"/>
  </r>
  <r>
    <s v="Interior"/>
    <s v="Mar Del Plata, Buenos Aires"/>
    <x v="14"/>
    <x v="3"/>
    <x v="2"/>
    <s v="BSC"/>
    <n v="870"/>
    <s v="AR"/>
    <s v="BA"/>
    <s v="2"/>
    <s v="04"/>
    <s v="RB_FV"/>
    <s v="BA"/>
    <s v="1d"/>
    <s v="01"/>
    <s v="Road/Truck"/>
    <s v="6d"/>
    <x v="14"/>
    <s v="AR1X06"/>
    <s v="X"/>
    <s v="X"/>
    <s v="Cut Off"/>
  </r>
  <r>
    <s v="Interior"/>
    <s v="Miramar, Buenos Aires"/>
    <x v="15"/>
    <x v="3"/>
    <x v="2"/>
    <s v="BSC"/>
    <n v="880"/>
    <s v="AR"/>
    <s v="BA"/>
    <s v="2"/>
    <s v="05"/>
    <s v="RB_FV"/>
    <s v="BA"/>
    <s v="1d"/>
    <s v="01"/>
    <s v="Road/Truck"/>
    <s v="6d"/>
    <x v="15"/>
    <s v="AR1X06"/>
    <s v="X"/>
    <s v="X"/>
    <s v="Cut Off"/>
  </r>
  <r>
    <s v="Interior"/>
    <s v="Necochea, Buenos Aires"/>
    <x v="16"/>
    <x v="3"/>
    <x v="2"/>
    <s v="BSC"/>
    <n v="890"/>
    <s v="AR"/>
    <s v="BA"/>
    <s v="2"/>
    <s v="06"/>
    <s v="RB_FV"/>
    <s v="BA"/>
    <s v="1d"/>
    <s v="01"/>
    <s v="Road/Truck"/>
    <s v="6d"/>
    <x v="16"/>
    <s v="AR1X06"/>
    <s v="X"/>
    <s v="X"/>
    <s v="Cut Off"/>
  </r>
  <r>
    <s v="Interior"/>
    <s v="Pinamar, Buenos Aires"/>
    <x v="17"/>
    <x v="3"/>
    <x v="2"/>
    <s v="BSC"/>
    <n v="860"/>
    <s v="AR"/>
    <s v="BA"/>
    <s v="2"/>
    <s v="07"/>
    <s v="RB_FV"/>
    <s v="BA"/>
    <s v="1d"/>
    <s v="01"/>
    <s v="Road/Truck"/>
    <s v="6d"/>
    <x v="17"/>
    <s v="AR1X06"/>
    <s v="X"/>
    <s v="X"/>
    <s v="Cut Off"/>
  </r>
  <r>
    <s v="Interior"/>
    <s v="San Bernardo, Buenos Aires"/>
    <x v="18"/>
    <x v="3"/>
    <x v="2"/>
    <s v="BSC"/>
    <n v="854"/>
    <s v="AR"/>
    <s v="BA"/>
    <s v="2"/>
    <s v="08"/>
    <s v="RB_FV"/>
    <s v="BA"/>
    <s v="1d"/>
    <s v="01"/>
    <s v="Road/Truck"/>
    <s v="6d"/>
    <x v="18"/>
    <s v="AR1X06"/>
    <s v="X"/>
    <s v="X"/>
    <s v="Cut Off"/>
  </r>
  <r>
    <s v="Interior"/>
    <s v="San Clemente del Tuyu,Buenos A"/>
    <x v="19"/>
    <x v="3"/>
    <x v="2"/>
    <s v="BSC"/>
    <n v="852"/>
    <s v="AR"/>
    <s v="BA"/>
    <s v="2"/>
    <s v="09"/>
    <s v="RB_FV"/>
    <s v="BA"/>
    <s v="1d"/>
    <s v="01"/>
    <s v="Road/Truck"/>
    <s v="6d"/>
    <x v="19"/>
    <s v="AR1X06"/>
    <s v="X"/>
    <s v="X"/>
    <s v="Cut Off"/>
  </r>
  <r>
    <s v="Interior"/>
    <s v="Villa Gessel, Buenos Aires"/>
    <x v="20"/>
    <x v="3"/>
    <x v="2"/>
    <s v="BSC"/>
    <n v="858"/>
    <s v="AR"/>
    <s v="BA"/>
    <s v="2"/>
    <s v="10"/>
    <s v="RB_FV"/>
    <s v="BA"/>
    <s v="1d"/>
    <s v="01"/>
    <s v="Road/Truck"/>
    <s v="6d"/>
    <x v="20"/>
    <s v="AR1X06"/>
    <s v="X"/>
    <s v="X"/>
    <s v="Cut Off"/>
  </r>
  <r>
    <s v="Interior"/>
    <s v="Bahia Blanca, Buenos Aires"/>
    <x v="21"/>
    <x v="3"/>
    <x v="3"/>
    <n v="283"/>
    <n v="900"/>
    <s v="AR"/>
    <s v="BA"/>
    <s v="4"/>
    <s v="01"/>
    <s v="RB_FV"/>
    <s v="BA"/>
    <s v="1d"/>
    <s v="01"/>
    <s v="Road/Truck"/>
    <s v="7d"/>
    <x v="21"/>
    <s v="AR1X07"/>
    <s v="X"/>
    <s v="X"/>
    <s v="Cut Off"/>
  </r>
  <r>
    <s v="Interior"/>
    <s v="9 de Julio, Buenos Aires"/>
    <x v="22"/>
    <x v="3"/>
    <x v="4"/>
    <s v="BSI"/>
    <n v="825"/>
    <s v="AR"/>
    <s v="BA"/>
    <s v="3"/>
    <s v="01"/>
    <s v="RB_FV"/>
    <s v="BA"/>
    <s v="1d"/>
    <s v="01"/>
    <s v="Road/Truck"/>
    <s v="6d"/>
    <x v="22"/>
    <s v="AR1X06"/>
    <s v="X"/>
    <s v="X"/>
    <s v="Cut Off"/>
  </r>
  <r>
    <s v="Interior"/>
    <s v="America, Buenos Aires"/>
    <x v="23"/>
    <x v="3"/>
    <x v="4"/>
    <s v="BSI"/>
    <n v="810"/>
    <s v="AR"/>
    <s v="BA"/>
    <s v="3"/>
    <s v="02"/>
    <s v="RB_FV"/>
    <s v="BA"/>
    <s v="1d"/>
    <s v="01"/>
    <s v="Road/Truck"/>
    <s v="6d"/>
    <x v="23"/>
    <s v="AR1X06"/>
    <s v="X"/>
    <s v="X"/>
    <s v="Cut Off"/>
  </r>
  <r>
    <s v="Interior"/>
    <s v="Azul, Buenos Aires"/>
    <x v="24"/>
    <x v="3"/>
    <x v="4"/>
    <s v="BSI"/>
    <n v="814"/>
    <s v="AR"/>
    <s v="BA"/>
    <s v="3"/>
    <s v="03"/>
    <s v="RB_FV"/>
    <s v="BA"/>
    <s v="1d"/>
    <s v="01"/>
    <s v="Road/Truck"/>
    <s v="6d"/>
    <x v="24"/>
    <s v="AR1X06"/>
    <s v="X"/>
    <s v="X"/>
    <s v="Cut Off"/>
  </r>
  <r>
    <s v="Interior"/>
    <s v="Bragado, Buenos Aires"/>
    <x v="25"/>
    <x v="3"/>
    <x v="4"/>
    <s v="BSI"/>
    <n v="809"/>
    <s v="AR"/>
    <s v="BA"/>
    <s v="3"/>
    <s v="04"/>
    <s v="RB_FV"/>
    <s v="BA"/>
    <s v="1d"/>
    <s v="01"/>
    <s v="Road/Truck"/>
    <s v="6d"/>
    <x v="25"/>
    <s v="AR1X06"/>
    <s v="X"/>
    <s v="X"/>
    <s v="Cut Off"/>
  </r>
  <r>
    <s v="Interior"/>
    <s v="Campana, Buenos Aires"/>
    <x v="8"/>
    <x v="3"/>
    <x v="4"/>
    <s v="BSI"/>
    <n v="862"/>
    <s v="AR"/>
    <s v="BA"/>
    <s v="3"/>
    <s v="05"/>
    <s v="RB_FV"/>
    <s v="BA"/>
    <s v="1d"/>
    <s v="01"/>
    <s v="Road/Truck"/>
    <s v="6d"/>
    <x v="26"/>
    <s v="AR1X06"/>
    <s v="X"/>
    <s v="X"/>
    <s v="Cut Off"/>
  </r>
  <r>
    <s v="Interior"/>
    <s v="Chascomus,Buenos Aires"/>
    <x v="26"/>
    <x v="3"/>
    <x v="4"/>
    <s v="BSI"/>
    <n v="811"/>
    <s v="AR"/>
    <s v="BA"/>
    <s v="3"/>
    <s v="06"/>
    <s v="RB_FV"/>
    <s v="BA"/>
    <s v="1d"/>
    <s v="01"/>
    <s v="Road/Truck"/>
    <s v="6d"/>
    <x v="27"/>
    <s v="AR1X06"/>
    <s v="X"/>
    <s v="X"/>
    <s v="Cut Off"/>
  </r>
  <r>
    <s v="Interior"/>
    <s v="Chivilcoy, Buenos Aires"/>
    <x v="27"/>
    <x v="3"/>
    <x v="4"/>
    <s v="BSI"/>
    <n v="830"/>
    <s v="AR"/>
    <s v="BA"/>
    <s v="3"/>
    <s v="07"/>
    <s v="RB_FV"/>
    <s v="BA"/>
    <s v="1d"/>
    <s v="01"/>
    <s v="Road/Truck"/>
    <s v="6d"/>
    <x v="28"/>
    <s v="AR1X06"/>
    <s v="X"/>
    <s v="X"/>
    <s v="Cut Off"/>
  </r>
  <r>
    <s v="Interior"/>
    <s v="Coronel Suarez,Buenos Aires"/>
    <x v="28"/>
    <x v="3"/>
    <x v="4"/>
    <s v="BSI"/>
    <n v="813"/>
    <s v="AR"/>
    <s v="BA"/>
    <s v="3"/>
    <s v="08"/>
    <s v="RB_FV"/>
    <s v="BA"/>
    <s v="1d"/>
    <s v="01"/>
    <s v="Road/Truck"/>
    <s v="6d"/>
    <x v="29"/>
    <s v="AR1X06"/>
    <s v="X"/>
    <s v="X"/>
    <s v="Cut Off"/>
  </r>
  <r>
    <s v="Interior"/>
    <s v="Dolores, Buenos Aires"/>
    <x v="29"/>
    <x v="3"/>
    <x v="4"/>
    <s v="BSI"/>
    <n v="850"/>
    <s v="AR"/>
    <s v="BA"/>
    <s v="3"/>
    <s v="09"/>
    <s v="RB_FV"/>
    <s v="BA"/>
    <s v="1d"/>
    <s v="01"/>
    <s v="Road/Truck"/>
    <s v="6d"/>
    <x v="30"/>
    <s v="AR1X06"/>
    <s v="X"/>
    <s v="X"/>
    <s v="Cut Off"/>
  </r>
  <r>
    <s v="Interior"/>
    <s v="Bolivar, Buenos Aires"/>
    <x v="30"/>
    <x v="3"/>
    <x v="4"/>
    <s v="BSI"/>
    <n v="848"/>
    <s v="AR"/>
    <s v="BA"/>
    <s v="3"/>
    <s v="10"/>
    <s v="RB_FV"/>
    <s v="BA"/>
    <s v="1d"/>
    <s v="01"/>
    <s v="Road/Truck"/>
    <s v="6d"/>
    <x v="31"/>
    <s v="AR1X06"/>
    <s v="X"/>
    <s v="X"/>
    <s v="Cut Off"/>
  </r>
  <r>
    <s v="Interior"/>
    <s v="Gral.Villegas, Buenos Aires"/>
    <x v="31"/>
    <x v="3"/>
    <x v="4"/>
    <s v="BSI"/>
    <n v="808"/>
    <s v="AR"/>
    <s v="BA"/>
    <s v="3"/>
    <s v="11"/>
    <s v="RB_FV"/>
    <s v="BA"/>
    <s v="1d"/>
    <s v="01"/>
    <s v="Road/Truck"/>
    <s v="6d"/>
    <x v="32"/>
    <s v="AR1X06"/>
    <s v="X"/>
    <s v="X"/>
    <s v="Cut Off"/>
  </r>
  <r>
    <s v="Interior"/>
    <s v="Junin, Buenos Aires"/>
    <x v="32"/>
    <x v="3"/>
    <x v="4"/>
    <s v="BSI"/>
    <s v="lo "/>
    <s v="AR"/>
    <s v="BA"/>
    <s v="3"/>
    <s v="12"/>
    <s v="RB_FV"/>
    <s v="BA"/>
    <s v="1d"/>
    <s v="01"/>
    <s v="Road/Truck"/>
    <s v="6d"/>
    <x v="33"/>
    <s v="AR1X06"/>
    <s v="X"/>
    <s v="X"/>
    <s v="Cut Off"/>
  </r>
  <r>
    <s v="Interior"/>
    <s v="Lincoln, Buenos Aires"/>
    <x v="33"/>
    <x v="3"/>
    <x v="4"/>
    <s v="BSI"/>
    <n v="802"/>
    <s v="AR"/>
    <s v="BA"/>
    <s v="3"/>
    <s v="13"/>
    <s v="RB_FV"/>
    <s v="BA"/>
    <s v="1d"/>
    <s v="01"/>
    <s v="Road/Truck"/>
    <s v="6d"/>
    <x v="34"/>
    <s v="AR1X06"/>
    <s v="X"/>
    <s v="X"/>
    <s v="Cut Off"/>
  </r>
  <r>
    <s v="Interior"/>
    <s v="Loberia, Buenos Aires"/>
    <x v="34"/>
    <x v="3"/>
    <x v="4"/>
    <s v="BSI"/>
    <n v="895"/>
    <s v="AR"/>
    <s v="BA"/>
    <s v="3"/>
    <s v="14"/>
    <s v="RB_FV"/>
    <s v="BA"/>
    <s v="1d"/>
    <s v="01"/>
    <s v="Road/Truck"/>
    <s v="6d"/>
    <x v="35"/>
    <s v="AR1X06"/>
    <s v="X"/>
    <s v="X"/>
    <s v="Cut Off"/>
  </r>
  <r>
    <s v="Interior"/>
    <s v="Olavarria, Buenos Aires"/>
    <x v="35"/>
    <x v="3"/>
    <x v="4"/>
    <s v="BSI"/>
    <n v="816"/>
    <s v="AR"/>
    <s v="BA"/>
    <s v="3"/>
    <s v="15"/>
    <s v="RB_FV"/>
    <s v="BA"/>
    <s v="1d"/>
    <s v="01"/>
    <s v="Road/Truck"/>
    <s v="6d"/>
    <x v="36"/>
    <s v="AR1X06"/>
    <s v="X"/>
    <s v="X"/>
    <s v="Cut Off"/>
  </r>
  <r>
    <s v="Interior"/>
    <s v="Otamendi, Buenos Aires"/>
    <x v="36"/>
    <x v="3"/>
    <x v="4"/>
    <s v="BSI"/>
    <n v="875"/>
    <s v="AR"/>
    <s v="BA"/>
    <s v="3"/>
    <s v="16"/>
    <s v="RB_FV"/>
    <s v="BA"/>
    <s v="1d"/>
    <s v="01"/>
    <s v="Road/Truck"/>
    <s v="6d"/>
    <x v="37"/>
    <s v="AR1X06"/>
    <s v="X"/>
    <s v="X"/>
    <s v="Cut Off"/>
  </r>
  <r>
    <s v="Interior"/>
    <s v="Pehuajo,Buenos Aires"/>
    <x v="37"/>
    <x v="3"/>
    <x v="4"/>
    <s v="BSI"/>
    <n v="817"/>
    <s v="AR"/>
    <s v="BA"/>
    <s v="3"/>
    <s v="17"/>
    <s v="RB_FV"/>
    <s v="BA"/>
    <s v="1d"/>
    <s v="01"/>
    <s v="Road/Truck"/>
    <s v="6d"/>
    <x v="38"/>
    <s v="AR1X06"/>
    <s v="X"/>
    <s v="X"/>
    <s v="Cut Off"/>
  </r>
  <r>
    <s v="Interior"/>
    <s v="Pergamino, Buenos Aires"/>
    <x v="38"/>
    <x v="3"/>
    <x v="4"/>
    <s v="BSI"/>
    <n v="755"/>
    <s v="AR"/>
    <s v="BA"/>
    <s v="3"/>
    <s v="18"/>
    <s v="RB_FV"/>
    <s v="BA"/>
    <s v="1d"/>
    <s v="01"/>
    <s v="Road/Truck"/>
    <s v="6d"/>
    <x v="39"/>
    <s v="AR1X06"/>
    <s v="X"/>
    <s v="X"/>
    <s v="Cut Off"/>
  </r>
  <r>
    <s v="Interior"/>
    <s v="Pigue, Buenos Aires"/>
    <x v="39"/>
    <x v="3"/>
    <x v="4"/>
    <s v="BSI"/>
    <n v="902"/>
    <s v="AR"/>
    <s v="BA"/>
    <s v="3"/>
    <s v="19"/>
    <s v="RB_FV"/>
    <s v="BA"/>
    <s v="1d"/>
    <s v="01"/>
    <s v="Road/Truck"/>
    <s v="6d"/>
    <x v="40"/>
    <s v="AR1X06"/>
    <s v="X"/>
    <s v="X"/>
    <s v="Cut Off"/>
  </r>
  <r>
    <s v="Interior"/>
    <s v="Saladillo, Buenos Aires"/>
    <x v="40"/>
    <x v="3"/>
    <x v="4"/>
    <s v="BSI"/>
    <n v="812"/>
    <s v="AR"/>
    <s v="BA"/>
    <s v="3"/>
    <s v="20"/>
    <s v="RB_FV"/>
    <s v="BA"/>
    <s v="1d"/>
    <s v="01"/>
    <s v="Road/Truck"/>
    <s v="6d"/>
    <x v="41"/>
    <s v="AR1X06"/>
    <s v="X"/>
    <s v="X"/>
    <s v="Cut Off"/>
  </r>
  <r>
    <s v="Interior"/>
    <s v="Tandil, Buenos Aires"/>
    <x v="41"/>
    <x v="3"/>
    <x v="4"/>
    <s v="BSI"/>
    <n v="840"/>
    <s v="AR"/>
    <s v="BA"/>
    <s v="3"/>
    <s v="21"/>
    <s v="RB_FV"/>
    <s v="BA"/>
    <s v="1d"/>
    <s v="01"/>
    <s v="Road/Truck"/>
    <s v="6d"/>
    <x v="42"/>
    <s v="AR1X06"/>
    <s v="X"/>
    <s v="X"/>
    <s v="Cut Off"/>
  </r>
  <r>
    <s v="Interior"/>
    <s v="Tres Arroyos, Buenos Aires"/>
    <x v="42"/>
    <x v="3"/>
    <x v="4"/>
    <s v="BSI"/>
    <n v="818"/>
    <s v="AR"/>
    <s v="BA"/>
    <s v="3"/>
    <s v="22"/>
    <s v="RB_FV"/>
    <s v="BA"/>
    <s v="1d"/>
    <s v="01"/>
    <s v="Road/Truck"/>
    <s v="6d"/>
    <x v="43"/>
    <s v="AR1X06"/>
    <s v="X"/>
    <s v="X"/>
    <s v="Cut Off"/>
  </r>
  <r>
    <s v="Interior"/>
    <s v="Vedia BS AS"/>
    <x v="43"/>
    <x v="3"/>
    <x v="4"/>
    <s v="BSI"/>
    <n v="819"/>
    <s v="AR"/>
    <s v="BA"/>
    <s v="3"/>
    <s v="23"/>
    <s v="RB_FV"/>
    <s v="BA"/>
    <s v="1d"/>
    <s v="01"/>
    <s v="Road/Truck"/>
    <s v="6d"/>
    <x v="44"/>
    <s v="AR1X06"/>
    <s v="X"/>
    <s v="X"/>
    <s v="Cut Off"/>
  </r>
  <r>
    <s v="Interior"/>
    <s v="San Nicolas, Buenos Aires"/>
    <x v="44"/>
    <x v="3"/>
    <x v="5"/>
    <n v="342"/>
    <n v="775"/>
    <s v="AR"/>
    <s v="BA"/>
    <s v="3"/>
    <s v="24"/>
    <s v="RB_FV"/>
    <s v="BA"/>
    <s v="1d"/>
    <s v="01"/>
    <s v="Road/Truck"/>
    <s v="6d"/>
    <x v="45"/>
    <s v="AR1X06"/>
    <s v="X"/>
    <s v="X"/>
    <s v="Cut Off"/>
  </r>
  <r>
    <s v="Interior"/>
    <s v="Trenque Lauquen"/>
    <x v="45"/>
    <x v="3"/>
    <x v="4"/>
    <s v="BSI"/>
    <s v="010"/>
    <s v="AR"/>
    <s v="BA"/>
    <s v="3"/>
    <s v="25"/>
    <s v="RB_FV"/>
    <s v="BA"/>
    <s v="1d"/>
    <s v="01"/>
    <s v="Road/Truck"/>
    <s v="6d"/>
    <x v="46"/>
    <s v="AR1X06"/>
    <s v="X"/>
    <s v="X"/>
    <s v="Cut Off"/>
  </r>
  <r>
    <s v="Interior"/>
    <s v="Balcarce, Buenos Aires"/>
    <x v="11"/>
    <x v="3"/>
    <x v="2"/>
    <s v="BSC"/>
    <n v="885"/>
    <s v="AR"/>
    <s v="BA"/>
    <s v="2"/>
    <s v="01"/>
    <s v="RB_FV"/>
    <s v="BA"/>
    <s v="1d"/>
    <s v="04"/>
    <s v="3PL Direct"/>
    <s v="1d"/>
    <x v="11"/>
    <s v="AR1X01"/>
    <s v="X"/>
    <s v="X"/>
    <s v="No Cut Off"/>
  </r>
  <r>
    <s v="Interior"/>
    <s v="Gral.Madariaga, Buenos Aires"/>
    <x v="12"/>
    <x v="3"/>
    <x v="2"/>
    <s v="BSC"/>
    <n v="856"/>
    <s v="AR"/>
    <s v="BA"/>
    <s v="2"/>
    <s v="02"/>
    <s v="RB_FV"/>
    <s v="BA"/>
    <s v="1d"/>
    <s v="04"/>
    <s v="3PL Direct"/>
    <s v="1d"/>
    <x v="12"/>
    <s v="AR1X01"/>
    <s v="X"/>
    <s v="X"/>
    <s v="No Cut Off"/>
  </r>
  <r>
    <s v="Interior"/>
    <s v="Mar de Ajo, Buenos Aires"/>
    <x v="13"/>
    <x v="3"/>
    <x v="2"/>
    <s v="BSC"/>
    <n v="823"/>
    <s v="AR"/>
    <s v="BA"/>
    <s v="2"/>
    <s v="03"/>
    <s v="RB_FV"/>
    <s v="BA"/>
    <s v="1d"/>
    <s v="04"/>
    <s v="3PL Direct"/>
    <s v="1d"/>
    <x v="13"/>
    <s v="AR1X01"/>
    <s v="X"/>
    <s v="X"/>
    <s v="No Cut Off"/>
  </r>
  <r>
    <s v="Interior"/>
    <s v="Mar Del Plata, Buenos Aires"/>
    <x v="14"/>
    <x v="3"/>
    <x v="2"/>
    <s v="BSC"/>
    <n v="870"/>
    <s v="AR"/>
    <s v="BA"/>
    <s v="2"/>
    <s v="04"/>
    <s v="RB_FV"/>
    <s v="BA"/>
    <s v="1d"/>
    <s v="04"/>
    <s v="3PL Direct"/>
    <s v="1d"/>
    <x v="14"/>
    <s v="AR1X01"/>
    <s v="X"/>
    <s v="X"/>
    <s v="No Cut Off"/>
  </r>
  <r>
    <s v="Interior"/>
    <s v="Miramar, Buenos Aires"/>
    <x v="15"/>
    <x v="3"/>
    <x v="2"/>
    <s v="BSC"/>
    <n v="880"/>
    <s v="AR"/>
    <s v="BA"/>
    <s v="2"/>
    <s v="05"/>
    <s v="RB_FV"/>
    <s v="BA"/>
    <s v="1d"/>
    <s v="04"/>
    <s v="3PL Direct"/>
    <s v="1d"/>
    <x v="15"/>
    <s v="AR1X01"/>
    <s v="X"/>
    <s v="X"/>
    <s v="No Cut Off"/>
  </r>
  <r>
    <s v="Interior"/>
    <s v="Necochea, Buenos Aires"/>
    <x v="16"/>
    <x v="3"/>
    <x v="2"/>
    <s v="BSC"/>
    <n v="890"/>
    <s v="AR"/>
    <s v="BA"/>
    <s v="2"/>
    <s v="06"/>
    <s v="RB_FV"/>
    <s v="BA"/>
    <s v="1d"/>
    <s v="04"/>
    <s v="3PL Direct"/>
    <s v="1d"/>
    <x v="16"/>
    <s v="AR1X01"/>
    <s v="X"/>
    <s v="X"/>
    <s v="No Cut Off"/>
  </r>
  <r>
    <s v="Interior"/>
    <s v="Pinamar, Buenos Aires"/>
    <x v="17"/>
    <x v="3"/>
    <x v="2"/>
    <s v="BSC"/>
    <n v="860"/>
    <s v="AR"/>
    <s v="BA"/>
    <s v="2"/>
    <s v="07"/>
    <s v="RB_FV"/>
    <s v="BA"/>
    <s v="1d"/>
    <s v="04"/>
    <s v="3PL Direct"/>
    <s v="1d"/>
    <x v="17"/>
    <s v="AR1X01"/>
    <s v="X"/>
    <s v="X"/>
    <s v="No Cut Off"/>
  </r>
  <r>
    <s v="Interior"/>
    <s v="San Bernardo, Buenos Aires"/>
    <x v="18"/>
    <x v="3"/>
    <x v="2"/>
    <s v="BSC"/>
    <n v="854"/>
    <s v="AR"/>
    <s v="BA"/>
    <s v="2"/>
    <s v="08"/>
    <s v="RB_FV"/>
    <s v="BA"/>
    <s v="1d"/>
    <s v="04"/>
    <s v="3PL Direct"/>
    <s v="1d"/>
    <x v="18"/>
    <s v="AR1X01"/>
    <s v="X"/>
    <s v="X"/>
    <s v="No Cut Off"/>
  </r>
  <r>
    <s v="Interior"/>
    <s v="San Clemente del Tuyu,Buenos A"/>
    <x v="19"/>
    <x v="3"/>
    <x v="2"/>
    <s v="BSC"/>
    <n v="852"/>
    <s v="AR"/>
    <s v="BA"/>
    <s v="2"/>
    <s v="09"/>
    <s v="RB_FV"/>
    <s v="BA"/>
    <s v="1d"/>
    <s v="04"/>
    <s v="3PL Direct"/>
    <s v="1d"/>
    <x v="19"/>
    <s v="AR1X01"/>
    <s v="X"/>
    <s v="X"/>
    <s v="No Cut Off"/>
  </r>
  <r>
    <s v="Interior"/>
    <s v="Villa Gessel, Buenos Aires"/>
    <x v="20"/>
    <x v="3"/>
    <x v="2"/>
    <s v="BSC"/>
    <n v="858"/>
    <s v="AR"/>
    <s v="BA"/>
    <s v="2"/>
    <s v="10"/>
    <s v="RB_FV"/>
    <s v="BA"/>
    <s v="1d"/>
    <s v="04"/>
    <s v="3PL Direct"/>
    <s v="1d"/>
    <x v="20"/>
    <s v="AR1X01"/>
    <s v="X"/>
    <s v="X"/>
    <s v="No Cut Off"/>
  </r>
  <r>
    <s v="Interior"/>
    <s v="Bahia Blanca, Buenos Aires"/>
    <x v="21"/>
    <x v="3"/>
    <x v="3"/>
    <n v="283"/>
    <n v="900"/>
    <s v="AR"/>
    <s v="BA"/>
    <s v="4"/>
    <s v="01"/>
    <s v="RB_FV"/>
    <s v="BA"/>
    <s v="1d"/>
    <s v="04"/>
    <s v="3PL Direct"/>
    <s v="1d"/>
    <x v="21"/>
    <s v="AR1X01"/>
    <s v="X"/>
    <s v="X"/>
    <s v="No Cut Off"/>
  </r>
  <r>
    <s v="Interior"/>
    <s v="9 de Julio, Buenos Aires"/>
    <x v="22"/>
    <x v="3"/>
    <x v="4"/>
    <s v="BSI"/>
    <n v="825"/>
    <s v="AR"/>
    <s v="BA"/>
    <s v="3"/>
    <s v="01"/>
    <s v="RB_FV"/>
    <s v="BA"/>
    <s v="1d"/>
    <s v="04"/>
    <s v="3PL Direct"/>
    <s v="1d"/>
    <x v="22"/>
    <s v="AR1X01"/>
    <s v="X"/>
    <s v="X"/>
    <s v="No Cut Off"/>
  </r>
  <r>
    <s v="Interior"/>
    <s v="America, Buenos Aires"/>
    <x v="23"/>
    <x v="3"/>
    <x v="4"/>
    <s v="BSI"/>
    <n v="810"/>
    <s v="AR"/>
    <s v="BA"/>
    <s v="3"/>
    <s v="02"/>
    <s v="RB_FV"/>
    <s v="BA"/>
    <s v="1d"/>
    <s v="04"/>
    <s v="3PL Direct"/>
    <s v="1d"/>
    <x v="23"/>
    <s v="AR1X01"/>
    <s v="X"/>
    <s v="X"/>
    <s v="No Cut Off"/>
  </r>
  <r>
    <s v="Interior"/>
    <s v="Azul, Buenos Aires"/>
    <x v="24"/>
    <x v="3"/>
    <x v="4"/>
    <s v="BSI"/>
    <n v="814"/>
    <s v="AR"/>
    <s v="BA"/>
    <s v="3"/>
    <s v="03"/>
    <s v="RB_FV"/>
    <s v="BA"/>
    <s v="1d"/>
    <s v="04"/>
    <s v="3PL Direct"/>
    <s v="1d"/>
    <x v="24"/>
    <s v="AR1X01"/>
    <s v="X"/>
    <s v="X"/>
    <s v="No Cut Off"/>
  </r>
  <r>
    <s v="Interior"/>
    <s v="Bragado, Buenos Aires"/>
    <x v="25"/>
    <x v="3"/>
    <x v="4"/>
    <s v="BSI"/>
    <n v="809"/>
    <s v="AR"/>
    <s v="BA"/>
    <s v="3"/>
    <s v="04"/>
    <s v="RB_FV"/>
    <s v="BA"/>
    <s v="1d"/>
    <s v="04"/>
    <s v="3PL Direct"/>
    <s v="1d"/>
    <x v="25"/>
    <s v="AR1X01"/>
    <s v="X"/>
    <s v="X"/>
    <s v="No Cut Off"/>
  </r>
  <r>
    <s v="Interior"/>
    <s v="Campana, Buenos Aires"/>
    <x v="8"/>
    <x v="3"/>
    <x v="4"/>
    <s v="BSI"/>
    <n v="862"/>
    <s v="AR"/>
    <s v="BA"/>
    <s v="3"/>
    <s v="05"/>
    <s v="RB_FV"/>
    <s v="BA"/>
    <s v="1d"/>
    <s v="04"/>
    <s v="3PL Direct"/>
    <s v="1d"/>
    <x v="26"/>
    <s v="AR1X01"/>
    <s v="X"/>
    <s v="X"/>
    <s v="No Cut Off"/>
  </r>
  <r>
    <s v="Interior"/>
    <s v="Chascomus,Buenos Aires"/>
    <x v="26"/>
    <x v="3"/>
    <x v="4"/>
    <s v="BSI"/>
    <n v="811"/>
    <s v="AR"/>
    <s v="BA"/>
    <s v="3"/>
    <s v="06"/>
    <s v="RB_FV"/>
    <s v="BA"/>
    <s v="1d"/>
    <s v="04"/>
    <s v="3PL Direct"/>
    <s v="1d"/>
    <x v="27"/>
    <s v="AR1X01"/>
    <s v="X"/>
    <s v="X"/>
    <s v="No Cut Off"/>
  </r>
  <r>
    <s v="Interior"/>
    <s v="Chivilcoy, Buenos Aires"/>
    <x v="27"/>
    <x v="3"/>
    <x v="4"/>
    <s v="BSI"/>
    <n v="830"/>
    <s v="AR"/>
    <s v="BA"/>
    <s v="3"/>
    <s v="07"/>
    <s v="RB_FV"/>
    <s v="BA"/>
    <s v="1d"/>
    <s v="04"/>
    <s v="3PL Direct"/>
    <s v="1d"/>
    <x v="28"/>
    <s v="AR1X01"/>
    <s v="X"/>
    <s v="X"/>
    <s v="No Cut Off"/>
  </r>
  <r>
    <s v="Interior"/>
    <s v="Coronel Suarez,Buenos Aires"/>
    <x v="28"/>
    <x v="3"/>
    <x v="4"/>
    <s v="BSI"/>
    <n v="813"/>
    <s v="AR"/>
    <s v="BA"/>
    <s v="3"/>
    <s v="08"/>
    <s v="RB_FV"/>
    <s v="BA"/>
    <s v="1d"/>
    <s v="04"/>
    <s v="3PL Direct"/>
    <s v="1d"/>
    <x v="29"/>
    <s v="AR1X01"/>
    <s v="X"/>
    <s v="X"/>
    <s v="No Cut Off"/>
  </r>
  <r>
    <s v="Interior"/>
    <s v="Dolores, Buenos Aires"/>
    <x v="29"/>
    <x v="3"/>
    <x v="4"/>
    <s v="BSI"/>
    <n v="850"/>
    <s v="AR"/>
    <s v="BA"/>
    <s v="3"/>
    <s v="09"/>
    <s v="RB_FV"/>
    <s v="BA"/>
    <s v="1d"/>
    <s v="04"/>
    <s v="3PL Direct"/>
    <s v="1d"/>
    <x v="30"/>
    <s v="AR1X01"/>
    <s v="X"/>
    <s v="X"/>
    <s v="No Cut Off"/>
  </r>
  <r>
    <s v="Interior"/>
    <s v="Bolivar, Buenos Aires"/>
    <x v="30"/>
    <x v="3"/>
    <x v="4"/>
    <s v="BSI"/>
    <n v="848"/>
    <s v="AR"/>
    <s v="BA"/>
    <s v="3"/>
    <s v="10"/>
    <s v="RB_FV"/>
    <s v="BA"/>
    <s v="1d"/>
    <s v="04"/>
    <s v="3PL Direct"/>
    <s v="1d"/>
    <x v="31"/>
    <s v="AR1X01"/>
    <s v="X"/>
    <s v="X"/>
    <s v="No Cut Off"/>
  </r>
  <r>
    <s v="Interior"/>
    <s v="Gral.Villegas, Buenos Aires"/>
    <x v="31"/>
    <x v="3"/>
    <x v="4"/>
    <s v="BSI"/>
    <n v="808"/>
    <s v="AR"/>
    <s v="BA"/>
    <s v="3"/>
    <s v="11"/>
    <s v="RB_FV"/>
    <s v="BA"/>
    <s v="1d"/>
    <s v="04"/>
    <s v="3PL Direct"/>
    <s v="1d"/>
    <x v="32"/>
    <s v="AR1X01"/>
    <s v="X"/>
    <s v="X"/>
    <s v="No Cut Off"/>
  </r>
  <r>
    <s v="Interior"/>
    <s v="Junin, Buenos Aires"/>
    <x v="32"/>
    <x v="3"/>
    <x v="4"/>
    <s v="BSI"/>
    <s v="lo "/>
    <s v="AR"/>
    <s v="BA"/>
    <s v="3"/>
    <s v="12"/>
    <s v="RB_FV"/>
    <s v="BA"/>
    <s v="1d"/>
    <s v="04"/>
    <s v="3PL Direct"/>
    <s v="1d"/>
    <x v="33"/>
    <s v="AR1X01"/>
    <s v="X"/>
    <s v="X"/>
    <s v="No Cut Off"/>
  </r>
  <r>
    <s v="Interior"/>
    <s v="Lincoln, Buenos Aires"/>
    <x v="33"/>
    <x v="3"/>
    <x v="4"/>
    <s v="BSI"/>
    <n v="802"/>
    <s v="AR"/>
    <s v="BA"/>
    <s v="3"/>
    <s v="13"/>
    <s v="RB_FV"/>
    <s v="BA"/>
    <s v="1d"/>
    <s v="04"/>
    <s v="3PL Direct"/>
    <s v="1d"/>
    <x v="34"/>
    <s v="AR1X01"/>
    <s v="X"/>
    <s v="X"/>
    <s v="No Cut Off"/>
  </r>
  <r>
    <s v="Interior"/>
    <s v="Loberia, Buenos Aires"/>
    <x v="34"/>
    <x v="3"/>
    <x v="4"/>
    <s v="BSI"/>
    <n v="895"/>
    <s v="AR"/>
    <s v="BA"/>
    <s v="3"/>
    <s v="14"/>
    <s v="RB_FV"/>
    <s v="BA"/>
    <s v="1d"/>
    <s v="04"/>
    <s v="3PL Direct"/>
    <s v="1d"/>
    <x v="35"/>
    <s v="AR1X01"/>
    <s v="X"/>
    <s v="X"/>
    <s v="No Cut Off"/>
  </r>
  <r>
    <s v="Interior"/>
    <s v="Olavarria, Buenos Aires"/>
    <x v="35"/>
    <x v="3"/>
    <x v="4"/>
    <s v="BSI"/>
    <n v="816"/>
    <s v="AR"/>
    <s v="BA"/>
    <s v="3"/>
    <s v="15"/>
    <s v="RB_FV"/>
    <s v="BA"/>
    <s v="1d"/>
    <s v="04"/>
    <s v="3PL Direct"/>
    <s v="1d"/>
    <x v="36"/>
    <s v="AR1X01"/>
    <s v="X"/>
    <s v="X"/>
    <s v="No Cut Off"/>
  </r>
  <r>
    <s v="Interior"/>
    <s v="Otamendi, Buenos Aires"/>
    <x v="36"/>
    <x v="3"/>
    <x v="4"/>
    <s v="BSI"/>
    <n v="875"/>
    <s v="AR"/>
    <s v="BA"/>
    <s v="3"/>
    <s v="16"/>
    <s v="RB_FV"/>
    <s v="BA"/>
    <s v="1d"/>
    <s v="04"/>
    <s v="3PL Direct"/>
    <s v="1d"/>
    <x v="37"/>
    <s v="AR1X01"/>
    <s v="X"/>
    <s v="X"/>
    <s v="No Cut Off"/>
  </r>
  <r>
    <s v="Interior"/>
    <s v="Pehuajo,Buenos Aires"/>
    <x v="37"/>
    <x v="3"/>
    <x v="4"/>
    <s v="BSI"/>
    <n v="817"/>
    <s v="AR"/>
    <s v="BA"/>
    <s v="3"/>
    <s v="17"/>
    <s v="RB_FV"/>
    <s v="BA"/>
    <s v="1d"/>
    <s v="04"/>
    <s v="3PL Direct"/>
    <s v="1d"/>
    <x v="38"/>
    <s v="AR1X01"/>
    <s v="X"/>
    <s v="X"/>
    <s v="No Cut Off"/>
  </r>
  <r>
    <s v="Interior"/>
    <s v="Pergamino, Buenos Aires"/>
    <x v="38"/>
    <x v="3"/>
    <x v="4"/>
    <s v="BSI"/>
    <n v="755"/>
    <s v="AR"/>
    <s v="BA"/>
    <s v="3"/>
    <s v="18"/>
    <s v="RB_FV"/>
    <s v="BA"/>
    <s v="1d"/>
    <s v="04"/>
    <s v="3PL Direct"/>
    <s v="1d"/>
    <x v="39"/>
    <s v="AR1X01"/>
    <s v="X"/>
    <s v="X"/>
    <s v="No Cut Off"/>
  </r>
  <r>
    <s v="Interior"/>
    <s v="Pigue, Buenos Aires"/>
    <x v="39"/>
    <x v="3"/>
    <x v="4"/>
    <s v="BSI"/>
    <n v="902"/>
    <s v="AR"/>
    <s v="BA"/>
    <s v="3"/>
    <s v="19"/>
    <s v="RB_FV"/>
    <s v="BA"/>
    <s v="1d"/>
    <s v="04"/>
    <s v="3PL Direct"/>
    <s v="1d"/>
    <x v="40"/>
    <s v="AR1X01"/>
    <s v="X"/>
    <s v="X"/>
    <s v="No Cut Off"/>
  </r>
  <r>
    <s v="Interior"/>
    <s v="Saladillo, Buenos Aires"/>
    <x v="40"/>
    <x v="3"/>
    <x v="4"/>
    <s v="BSI"/>
    <n v="812"/>
    <s v="AR"/>
    <s v="BA"/>
    <s v="3"/>
    <s v="20"/>
    <s v="RB_FV"/>
    <s v="BA"/>
    <s v="1d"/>
    <s v="04"/>
    <s v="3PL Direct"/>
    <s v="1d"/>
    <x v="41"/>
    <s v="AR1X01"/>
    <s v="X"/>
    <s v="X"/>
    <s v="No Cut Off"/>
  </r>
  <r>
    <s v="Interior"/>
    <s v="Tandil, Buenos Aires"/>
    <x v="41"/>
    <x v="3"/>
    <x v="4"/>
    <s v="BSI"/>
    <n v="840"/>
    <s v="AR"/>
    <s v="BA"/>
    <s v="3"/>
    <s v="21"/>
    <s v="RB_FV"/>
    <s v="BA"/>
    <s v="1d"/>
    <s v="04"/>
    <s v="3PL Direct"/>
    <s v="1d"/>
    <x v="42"/>
    <s v="AR1X01"/>
    <s v="X"/>
    <s v="X"/>
    <s v="No Cut Off"/>
  </r>
  <r>
    <s v="Interior"/>
    <s v="Tres Arroyos, Buenos Aires"/>
    <x v="42"/>
    <x v="3"/>
    <x v="4"/>
    <s v="BSI"/>
    <n v="818"/>
    <s v="AR"/>
    <s v="BA"/>
    <s v="3"/>
    <s v="22"/>
    <s v="RB_FV"/>
    <s v="BA"/>
    <s v="1d"/>
    <s v="04"/>
    <s v="3PL Direct"/>
    <s v="1d"/>
    <x v="43"/>
    <s v="AR1X01"/>
    <s v="X"/>
    <s v="X"/>
    <s v="No Cut Off"/>
  </r>
  <r>
    <s v="Interior"/>
    <s v="Vedia BS AS"/>
    <x v="43"/>
    <x v="3"/>
    <x v="4"/>
    <s v="BSI"/>
    <n v="819"/>
    <s v="AR"/>
    <s v="BA"/>
    <s v="3"/>
    <s v="23"/>
    <s v="RB_FV"/>
    <s v="BA"/>
    <s v="1d"/>
    <s v="04"/>
    <s v="3PL Direct"/>
    <s v="1d"/>
    <x v="44"/>
    <s v="AR1X01"/>
    <s v="X"/>
    <s v="X"/>
    <s v="No Cut Off"/>
  </r>
  <r>
    <s v="Interior"/>
    <s v="San Nicolas, Buenos Aires"/>
    <x v="44"/>
    <x v="3"/>
    <x v="5"/>
    <n v="342"/>
    <n v="775"/>
    <s v="AR"/>
    <s v="BA"/>
    <s v="3"/>
    <s v="24"/>
    <s v="RB_FV"/>
    <s v="BA"/>
    <s v="1d"/>
    <s v="04"/>
    <s v="3PL Direct"/>
    <s v="1d"/>
    <x v="45"/>
    <s v="AR1X01"/>
    <s v="X"/>
    <s v="X"/>
    <s v="No Cut Off"/>
  </r>
  <r>
    <s v="Interior"/>
    <s v="Trenque Lauquen"/>
    <x v="45"/>
    <x v="3"/>
    <x v="4"/>
    <s v="BSI"/>
    <s v="010"/>
    <s v="AR"/>
    <s v="BA"/>
    <s v="3"/>
    <s v="25"/>
    <s v="RB_FV"/>
    <s v="BA"/>
    <s v="1d"/>
    <s v="04"/>
    <s v="3PL Direct"/>
    <s v="1d"/>
    <x v="46"/>
    <s v="AR1X01"/>
    <s v="X"/>
    <s v="X"/>
    <s v="No Cut Off"/>
  </r>
  <r>
    <s v="Interior"/>
    <s v="Catamarca, Catamarca"/>
    <x v="46"/>
    <x v="4"/>
    <x v="6"/>
    <n v="354"/>
    <n v="470"/>
    <s v="AR"/>
    <s v="CA"/>
    <s v="1"/>
    <s v="01"/>
    <s v="RB_FV"/>
    <s v="CA"/>
    <s v="1d"/>
    <s v="01"/>
    <s v="Road/Truck"/>
    <s v="7d"/>
    <x v="47"/>
    <s v="AR1X07"/>
    <s v="X"/>
    <s v="X"/>
    <s v="Cut Off"/>
  </r>
  <r>
    <s v="Interior"/>
    <s v="Catamarca, Catamarca"/>
    <x v="46"/>
    <x v="4"/>
    <x v="6"/>
    <n v="354"/>
    <n v="470"/>
    <s v="AR"/>
    <s v="CA"/>
    <s v="1"/>
    <s v="01"/>
    <s v="RB_FV"/>
    <s v="CA"/>
    <s v="1d"/>
    <s v="04"/>
    <s v="3PL Direct"/>
    <s v="2d"/>
    <x v="47"/>
    <s v="AR1X02"/>
    <s v="X"/>
    <s v="X"/>
    <s v="No Cut Off"/>
  </r>
  <r>
    <s v="Interior"/>
    <s v="Alta Gracia, Cordoba  "/>
    <x v="47"/>
    <x v="5"/>
    <x v="7"/>
    <n v="351"/>
    <n v="607"/>
    <s v="AR"/>
    <s v="CB"/>
    <s v="1"/>
    <s v="01"/>
    <s v="RB_FV"/>
    <s v="CB"/>
    <s v="1d"/>
    <s v="01"/>
    <s v="Road/Truck"/>
    <s v="7d"/>
    <x v="48"/>
    <s v="AR1X07"/>
    <s v="X"/>
    <s v="X"/>
    <s v="Cut Off"/>
  </r>
  <r>
    <s v="Interior"/>
    <s v="Arguello, Cordoba"/>
    <x v="48"/>
    <x v="5"/>
    <x v="7"/>
    <n v="351"/>
    <n v="635"/>
    <s v="AR"/>
    <s v="CB"/>
    <s v="1"/>
    <s v="02"/>
    <s v="RB_FV"/>
    <s v="CB"/>
    <s v="1d"/>
    <s v="01"/>
    <s v="Road/Truck"/>
    <s v="7d"/>
    <x v="49"/>
    <s v="AR1X07"/>
    <s v="X"/>
    <s v="X"/>
    <s v="Cut Off"/>
  </r>
  <r>
    <s v="Interior"/>
    <s v="Arroyito, Cordoba"/>
    <x v="49"/>
    <x v="5"/>
    <x v="7"/>
    <n v="351"/>
    <n v="725"/>
    <s v="AR"/>
    <s v="CB"/>
    <s v="1"/>
    <s v="03"/>
    <s v="RB_FV"/>
    <s v="CB"/>
    <s v="1d"/>
    <s v="01"/>
    <s v="Road/Truck"/>
    <s v="7d"/>
    <x v="50"/>
    <s v="AR1X07"/>
    <s v="X"/>
    <s v="X"/>
    <s v="Cut Off"/>
  </r>
  <r>
    <s v="Interior"/>
    <s v="B.Villa Cabrera"/>
    <x v="50"/>
    <x v="5"/>
    <x v="7"/>
    <n v="351"/>
    <n v="627"/>
    <s v="AR"/>
    <s v="CB"/>
    <s v="1"/>
    <s v="04"/>
    <s v="RB_FV"/>
    <s v="CB"/>
    <s v="1d"/>
    <s v="01"/>
    <s v="Road/Truck"/>
    <s v="7d"/>
    <x v="51"/>
    <s v="AR1X07"/>
    <s v="X"/>
    <s v="X"/>
    <s v="Cut Off"/>
  </r>
  <r>
    <s v="Interior"/>
    <s v="Barrio Alto Verde"/>
    <x v="51"/>
    <x v="5"/>
    <x v="7"/>
    <n v="351"/>
    <n v="628"/>
    <s v="AR"/>
    <s v="CB"/>
    <s v="1"/>
    <s v="05"/>
    <s v="RB_FV"/>
    <s v="CB"/>
    <s v="1d"/>
    <s v="01"/>
    <s v="Road/Truck"/>
    <s v="7d"/>
    <x v="52"/>
    <s v="AR1X07"/>
    <s v="X"/>
    <s v="X"/>
    <s v="Cut Off"/>
  </r>
  <r>
    <s v="Interior"/>
    <s v="Camino Colonia Tirolesa, Cordo"/>
    <x v="52"/>
    <x v="5"/>
    <x v="7"/>
    <n v="351"/>
    <n v="605"/>
    <s v="AR"/>
    <s v="CB"/>
    <s v="1"/>
    <s v="06"/>
    <s v="RB_FV"/>
    <s v="CB"/>
    <s v="1d"/>
    <s v="01"/>
    <s v="Road/Truck"/>
    <s v="7d"/>
    <x v="53"/>
    <s v="AR1X07"/>
    <s v="X"/>
    <s v="X"/>
    <s v="Cut Off"/>
  </r>
  <r>
    <s v="Interior"/>
    <s v="Colonia Caroya, Cordoba"/>
    <x v="53"/>
    <x v="5"/>
    <x v="7"/>
    <n v="351"/>
    <n v="650"/>
    <s v="AR"/>
    <s v="CB"/>
    <s v="1"/>
    <s v="07"/>
    <s v="RB_FV"/>
    <s v="CB"/>
    <s v="1d"/>
    <s v="01"/>
    <s v="Road/Truck"/>
    <s v="7d"/>
    <x v="54"/>
    <s v="AR1X07"/>
    <s v="X"/>
    <s v="X"/>
    <s v="Cut Off"/>
  </r>
  <r>
    <s v="Interior"/>
    <s v="Cordoba, Cordoba"/>
    <x v="54"/>
    <x v="5"/>
    <x v="7"/>
    <n v="351"/>
    <n v="600"/>
    <s v="AR"/>
    <s v="CB"/>
    <s v="1"/>
    <s v="08"/>
    <s v="RB_FV"/>
    <s v="CB"/>
    <s v="1d"/>
    <s v="01"/>
    <s v="Road/Truck"/>
    <s v="7d"/>
    <x v="55"/>
    <s v="AR1X07"/>
    <s v="X"/>
    <s v="X"/>
    <s v="Cut Off"/>
  </r>
  <r>
    <s v="Interior"/>
    <s v="Corral de Bustos, Cordoba"/>
    <x v="55"/>
    <x v="5"/>
    <x v="7"/>
    <n v="351"/>
    <n v="680"/>
    <s v="AR"/>
    <s v="CB"/>
    <s v="1"/>
    <s v="09"/>
    <s v="RB_FV"/>
    <s v="CB"/>
    <s v="1d"/>
    <s v="01"/>
    <s v="Road/Truck"/>
    <s v="7d"/>
    <x v="56"/>
    <s v="AR1X07"/>
    <s v="X"/>
    <s v="X"/>
    <s v="Cut Off"/>
  </r>
  <r>
    <s v="Interior"/>
    <s v="Cosquin, Cordoba"/>
    <x v="56"/>
    <x v="5"/>
    <x v="7"/>
    <n v="351"/>
    <n v="610"/>
    <s v="AR"/>
    <s v="CB"/>
    <s v="1"/>
    <s v="10"/>
    <s v="RB_FV"/>
    <s v="CB"/>
    <s v="1d"/>
    <s v="01"/>
    <s v="Road/Truck"/>
    <s v="7d"/>
    <x v="57"/>
    <s v="AR1X07"/>
    <s v="X"/>
    <s v="X"/>
    <s v="Cut Off"/>
  </r>
  <r>
    <s v="Interior"/>
    <s v="Embalse Rio Tercero, Cordoba"/>
    <x v="57"/>
    <x v="5"/>
    <x v="7"/>
    <n v="351"/>
    <n v="670"/>
    <s v="AR"/>
    <s v="CB"/>
    <s v="1"/>
    <s v="11"/>
    <s v="RB_FV"/>
    <s v="CB"/>
    <s v="1d"/>
    <s v="01"/>
    <s v="Road/Truck"/>
    <s v="7d"/>
    <x v="58"/>
    <s v="AR1X07"/>
    <s v="X"/>
    <s v="X"/>
    <s v="Cut Off"/>
  </r>
  <r>
    <s v="Interior"/>
    <s v="Jesus Maria, Cordoba"/>
    <x v="58"/>
    <x v="5"/>
    <x v="7"/>
    <n v="351"/>
    <n v="645"/>
    <s v="AR"/>
    <s v="CB"/>
    <s v="1"/>
    <s v="12"/>
    <s v="RB_FV"/>
    <s v="CB"/>
    <s v="1d"/>
    <s v="01"/>
    <s v="Road/Truck"/>
    <s v="7d"/>
    <x v="59"/>
    <s v="AR1X07"/>
    <s v="X"/>
    <s v="X"/>
    <s v="Cut Off"/>
  </r>
  <r>
    <s v="Interior"/>
    <s v="Las Peyas, Cordoba"/>
    <x v="59"/>
    <x v="5"/>
    <x v="7"/>
    <n v="351"/>
    <n v="660"/>
    <s v="AR"/>
    <s v="CB"/>
    <s v="1"/>
    <s v="13"/>
    <s v="RB_FV"/>
    <s v="CB"/>
    <s v="1d"/>
    <s v="01"/>
    <s v="Road/Truck"/>
    <s v="7d"/>
    <x v="60"/>
    <s v="AR1X07"/>
    <s v="X"/>
    <s v="X"/>
    <s v="Cut Off"/>
  </r>
  <r>
    <s v="Interior"/>
    <s v="Monte Cristo, Cordoba"/>
    <x v="60"/>
    <x v="5"/>
    <x v="7"/>
    <n v="351"/>
    <n v="625"/>
    <s v="AR"/>
    <s v="CB"/>
    <s v="1"/>
    <s v="14"/>
    <s v="RB_FV"/>
    <s v="CB"/>
    <s v="1d"/>
    <s v="01"/>
    <s v="Road/Truck"/>
    <s v="7d"/>
    <x v="61"/>
    <s v="AR1X07"/>
    <s v="X"/>
    <s v="X"/>
    <s v="Cut Off"/>
  </r>
  <r>
    <s v="Interior"/>
    <s v="Obispo Trejo, Cordoba"/>
    <x v="61"/>
    <x v="5"/>
    <x v="7"/>
    <n v="351"/>
    <n v="655"/>
    <s v="AR"/>
    <s v="CB"/>
    <s v="1"/>
    <s v="15"/>
    <s v="RB_FV"/>
    <s v="CB"/>
    <s v="1d"/>
    <s v="01"/>
    <s v="Road/Truck"/>
    <s v="7d"/>
    <x v="62"/>
    <s v="AR1X07"/>
    <s v="X"/>
    <s v="X"/>
    <s v="Cut Off"/>
  </r>
  <r>
    <s v="Interior"/>
    <s v="Rio Ceballos, Cordoba"/>
    <x v="62"/>
    <x v="5"/>
    <x v="7"/>
    <n v="351"/>
    <n v="620"/>
    <s v="AR"/>
    <s v="CB"/>
    <s v="1"/>
    <s v="16"/>
    <s v="RB_FV"/>
    <s v="CB"/>
    <s v="1d"/>
    <s v="01"/>
    <s v="Road/Truck"/>
    <s v="7d"/>
    <x v="63"/>
    <s v="AR1X07"/>
    <s v="X"/>
    <s v="X"/>
    <s v="Cut Off"/>
  </r>
  <r>
    <s v="Interior"/>
    <s v="Rio Cuarto, Cordoba"/>
    <x v="63"/>
    <x v="5"/>
    <x v="7"/>
    <n v="351"/>
    <n v="662"/>
    <s v="AR"/>
    <s v="CB"/>
    <s v="1"/>
    <s v="17"/>
    <s v="RB_FV"/>
    <s v="CB"/>
    <s v="1d"/>
    <s v="01"/>
    <s v="Road/Truck"/>
    <s v="7d"/>
    <x v="64"/>
    <s v="AR1X07"/>
    <s v="X"/>
    <s v="X"/>
    <s v="Cut Off"/>
  </r>
  <r>
    <s v="Interior"/>
    <s v="Rio Tercero, Cordoba"/>
    <x v="64"/>
    <x v="5"/>
    <x v="7"/>
    <n v="351"/>
    <n v="665"/>
    <s v="AR"/>
    <s v="CB"/>
    <s v="1"/>
    <s v="18"/>
    <s v="RB_FV"/>
    <s v="CB"/>
    <s v="1d"/>
    <s v="01"/>
    <s v="Road/Truck"/>
    <s v="7d"/>
    <x v="65"/>
    <s v="AR1X07"/>
    <s v="X"/>
    <s v="X"/>
    <s v="Cut Off"/>
  </r>
  <r>
    <s v="Interior"/>
    <s v="San Francisco, Cordoba"/>
    <x v="65"/>
    <x v="5"/>
    <x v="7"/>
    <n v="351"/>
    <n v="720"/>
    <s v="AR"/>
    <s v="CB"/>
    <s v="1"/>
    <s v="19"/>
    <s v="RB_FV"/>
    <s v="CB"/>
    <s v="1d"/>
    <s v="01"/>
    <s v="Road/Truck"/>
    <s v="7d"/>
    <x v="66"/>
    <s v="AR1X07"/>
    <s v="X"/>
    <s v="X"/>
    <s v="Cut Off"/>
  </r>
  <r>
    <s v="Interior"/>
    <s v="San Francisco Del Chanar"/>
    <x v="66"/>
    <x v="5"/>
    <x v="7"/>
    <n v="351"/>
    <n v="657"/>
    <s v="AR"/>
    <s v="CB"/>
    <s v="1"/>
    <s v="20"/>
    <s v="RB_FV"/>
    <s v="CB"/>
    <s v="1d"/>
    <s v="01"/>
    <s v="Road/Truck"/>
    <s v="7d"/>
    <x v="67"/>
    <s v="AR1X07"/>
    <s v="X"/>
    <s v="X"/>
    <s v="Cut Off"/>
  </r>
  <r>
    <s v="Interior"/>
    <s v="Santa Rosa de Rio Primero,Cord"/>
    <x v="67"/>
    <x v="5"/>
    <x v="7"/>
    <n v="351"/>
    <n v="630"/>
    <s v="AR"/>
    <s v="CB"/>
    <s v="1"/>
    <s v="21"/>
    <s v="RB_FV"/>
    <s v="CB"/>
    <s v="1d"/>
    <s v="01"/>
    <s v="Road/Truck"/>
    <s v="7d"/>
    <x v="68"/>
    <s v="AR1X07"/>
    <s v="X"/>
    <s v="X"/>
    <s v="Cut Off"/>
  </r>
  <r>
    <s v="Interior"/>
    <s v="Unquillo, Cordoba"/>
    <x v="68"/>
    <x v="5"/>
    <x v="7"/>
    <n v="351"/>
    <n v="615"/>
    <s v="AR"/>
    <s v="CB"/>
    <s v="1"/>
    <s v="22"/>
    <s v="RB_FV"/>
    <s v="CB"/>
    <s v="1d"/>
    <s v="01"/>
    <s v="Road/Truck"/>
    <s v="7d"/>
    <x v="69"/>
    <s v="AR1X07"/>
    <s v="X"/>
    <s v="X"/>
    <s v="Cut Off"/>
  </r>
  <r>
    <s v="Interior"/>
    <s v="Villa Carlos Paz, Cordoba"/>
    <x v="69"/>
    <x v="5"/>
    <x v="7"/>
    <n v="351"/>
    <n v="640"/>
    <s v="AR"/>
    <s v="CB"/>
    <s v="1"/>
    <s v="23"/>
    <s v="RB_FV"/>
    <s v="CB"/>
    <s v="1d"/>
    <s v="01"/>
    <s v="Road/Truck"/>
    <s v="7d"/>
    <x v="70"/>
    <s v="AR1X07"/>
    <s v="X"/>
    <s v="X"/>
    <s v="Cut Off"/>
  </r>
  <r>
    <s v="Interior"/>
    <s v="Villa del Rosario, Cordoba"/>
    <x v="70"/>
    <x v="5"/>
    <x v="7"/>
    <n v="351"/>
    <n v="685"/>
    <s v="AR"/>
    <s v="CB"/>
    <s v="1"/>
    <s v="24"/>
    <s v="RB_FV"/>
    <s v="CB"/>
    <s v="1d"/>
    <s v="01"/>
    <s v="Road/Truck"/>
    <s v="7d"/>
    <x v="71"/>
    <s v="AR1X07"/>
    <s v="X"/>
    <s v="X"/>
    <s v="Cut Off"/>
  </r>
  <r>
    <s v="Interior"/>
    <s v="Villa Maria, Cordoba"/>
    <x v="71"/>
    <x v="5"/>
    <x v="7"/>
    <n v="351"/>
    <n v="675"/>
    <s v="AR"/>
    <s v="CB"/>
    <s v="1"/>
    <s v="25"/>
    <s v="RB_FV"/>
    <s v="CB"/>
    <s v="1d"/>
    <s v="01"/>
    <s v="Road/Truck"/>
    <s v="7d"/>
    <x v="72"/>
    <s v="AR1X07"/>
    <s v="X"/>
    <s v="X"/>
    <s v="Cut Off"/>
  </r>
  <r>
    <s v="Interior"/>
    <s v="Alta Gracia, Cordoba  "/>
    <x v="47"/>
    <x v="5"/>
    <x v="7"/>
    <n v="351"/>
    <n v="607"/>
    <s v="AR"/>
    <s v="CB"/>
    <s v="1"/>
    <s v="01"/>
    <s v="RB_FV"/>
    <s v="CB"/>
    <s v="1d"/>
    <s v="04"/>
    <s v="3PL Direct"/>
    <s v="1d"/>
    <x v="48"/>
    <s v="AR1X01"/>
    <s v="X"/>
    <s v="X"/>
    <s v="No Cut Off"/>
  </r>
  <r>
    <s v="Interior"/>
    <s v="Arguello, Cordoba"/>
    <x v="48"/>
    <x v="5"/>
    <x v="7"/>
    <n v="351"/>
    <n v="635"/>
    <s v="AR"/>
    <s v="CB"/>
    <s v="1"/>
    <s v="02"/>
    <s v="RB_FV"/>
    <s v="CB"/>
    <s v="1d"/>
    <s v="04"/>
    <s v="3PL Direct"/>
    <s v="1d"/>
    <x v="49"/>
    <s v="AR1X01"/>
    <s v="X"/>
    <s v="X"/>
    <s v="No Cut Off"/>
  </r>
  <r>
    <s v="Interior"/>
    <s v="Arroyito, Cordoba"/>
    <x v="49"/>
    <x v="5"/>
    <x v="7"/>
    <n v="351"/>
    <n v="725"/>
    <s v="AR"/>
    <s v="CB"/>
    <s v="1"/>
    <s v="03"/>
    <s v="RB_FV"/>
    <s v="CB"/>
    <s v="1d"/>
    <s v="04"/>
    <s v="3PL Direct"/>
    <s v="1d"/>
    <x v="50"/>
    <s v="AR1X01"/>
    <s v="X"/>
    <s v="X"/>
    <s v="No Cut Off"/>
  </r>
  <r>
    <s v="Interior"/>
    <s v="B.Villa Cabrera"/>
    <x v="50"/>
    <x v="5"/>
    <x v="7"/>
    <n v="351"/>
    <n v="627"/>
    <s v="AR"/>
    <s v="CB"/>
    <s v="1"/>
    <s v="04"/>
    <s v="RB_FV"/>
    <s v="CB"/>
    <s v="1d"/>
    <s v="04"/>
    <s v="3PL Direct"/>
    <s v="1d"/>
    <x v="51"/>
    <s v="AR1X01"/>
    <s v="X"/>
    <s v="X"/>
    <s v="No Cut Off"/>
  </r>
  <r>
    <s v="Interior"/>
    <s v="Barrio Alto Verde"/>
    <x v="51"/>
    <x v="5"/>
    <x v="7"/>
    <n v="351"/>
    <n v="628"/>
    <s v="AR"/>
    <s v="CB"/>
    <s v="1"/>
    <s v="05"/>
    <s v="RB_FV"/>
    <s v="CB"/>
    <s v="1d"/>
    <s v="04"/>
    <s v="3PL Direct"/>
    <s v="1d"/>
    <x v="52"/>
    <s v="AR1X01"/>
    <s v="X"/>
    <s v="X"/>
    <s v="No Cut Off"/>
  </r>
  <r>
    <s v="Interior"/>
    <s v="Camino Colonia Tirolesa, Cordo"/>
    <x v="52"/>
    <x v="5"/>
    <x v="7"/>
    <n v="351"/>
    <n v="605"/>
    <s v="AR"/>
    <s v="CB"/>
    <s v="1"/>
    <s v="06"/>
    <s v="RB_FV"/>
    <s v="CB"/>
    <s v="1d"/>
    <s v="04"/>
    <s v="3PL Direct"/>
    <s v="1d"/>
    <x v="53"/>
    <s v="AR1X01"/>
    <s v="X"/>
    <s v="X"/>
    <s v="No Cut Off"/>
  </r>
  <r>
    <s v="Interior"/>
    <s v="Colonia Caroya, Cordoba"/>
    <x v="53"/>
    <x v="5"/>
    <x v="7"/>
    <n v="351"/>
    <n v="650"/>
    <s v="AR"/>
    <s v="CB"/>
    <s v="1"/>
    <s v="07"/>
    <s v="RB_FV"/>
    <s v="CB"/>
    <s v="1d"/>
    <s v="04"/>
    <s v="3PL Direct"/>
    <s v="1d"/>
    <x v="54"/>
    <s v="AR1X01"/>
    <s v="X"/>
    <s v="X"/>
    <s v="No Cut Off"/>
  </r>
  <r>
    <s v="Interior"/>
    <s v="Cordoba, Cordoba"/>
    <x v="54"/>
    <x v="5"/>
    <x v="7"/>
    <n v="351"/>
    <n v="600"/>
    <s v="AR"/>
    <s v="CB"/>
    <s v="1"/>
    <s v="08"/>
    <s v="RB_FV"/>
    <s v="CB"/>
    <s v="1d"/>
    <s v="04"/>
    <s v="3PL Direct"/>
    <s v="1d"/>
    <x v="55"/>
    <s v="AR1X01"/>
    <s v="X"/>
    <s v="X"/>
    <s v="No Cut Off"/>
  </r>
  <r>
    <s v="Interior"/>
    <s v="Corral de Bustos, Cordoba"/>
    <x v="55"/>
    <x v="5"/>
    <x v="7"/>
    <n v="351"/>
    <n v="680"/>
    <s v="AR"/>
    <s v="CB"/>
    <s v="1"/>
    <s v="09"/>
    <s v="RB_FV"/>
    <s v="CB"/>
    <s v="1d"/>
    <s v="04"/>
    <s v="3PL Direct"/>
    <s v="1d"/>
    <x v="56"/>
    <s v="AR1X01"/>
    <s v="X"/>
    <s v="X"/>
    <s v="No Cut Off"/>
  </r>
  <r>
    <s v="Interior"/>
    <s v="Cosquin, Cordoba"/>
    <x v="56"/>
    <x v="5"/>
    <x v="7"/>
    <n v="351"/>
    <n v="610"/>
    <s v="AR"/>
    <s v="CB"/>
    <s v="1"/>
    <s v="10"/>
    <s v="RB_FV"/>
    <s v="CB"/>
    <s v="1d"/>
    <s v="04"/>
    <s v="3PL Direct"/>
    <s v="1d"/>
    <x v="57"/>
    <s v="AR1X01"/>
    <s v="X"/>
    <s v="X"/>
    <s v="No Cut Off"/>
  </r>
  <r>
    <s v="Interior"/>
    <s v="Embalse Rio Tercero, Cordoba"/>
    <x v="57"/>
    <x v="5"/>
    <x v="7"/>
    <n v="351"/>
    <n v="670"/>
    <s v="AR"/>
    <s v="CB"/>
    <s v="1"/>
    <s v="11"/>
    <s v="RB_FV"/>
    <s v="CB"/>
    <s v="1d"/>
    <s v="04"/>
    <s v="3PL Direct"/>
    <s v="1d"/>
    <x v="58"/>
    <s v="AR1X01"/>
    <s v="X"/>
    <s v="X"/>
    <s v="No Cut Off"/>
  </r>
  <r>
    <s v="Interior"/>
    <s v="Jesus Maria, Cordoba"/>
    <x v="58"/>
    <x v="5"/>
    <x v="7"/>
    <n v="351"/>
    <n v="645"/>
    <s v="AR"/>
    <s v="CB"/>
    <s v="1"/>
    <s v="12"/>
    <s v="RB_FV"/>
    <s v="CB"/>
    <s v="1d"/>
    <s v="04"/>
    <s v="3PL Direct"/>
    <s v="1d"/>
    <x v="59"/>
    <s v="AR1X01"/>
    <s v="X"/>
    <s v="X"/>
    <s v="No Cut Off"/>
  </r>
  <r>
    <s v="Interior"/>
    <s v="Las Peyas, Cordoba"/>
    <x v="59"/>
    <x v="5"/>
    <x v="7"/>
    <n v="351"/>
    <n v="660"/>
    <s v="AR"/>
    <s v="CB"/>
    <s v="1"/>
    <s v="13"/>
    <s v="RB_FV"/>
    <s v="CB"/>
    <s v="1d"/>
    <s v="04"/>
    <s v="3PL Direct"/>
    <s v="1d"/>
    <x v="60"/>
    <s v="AR1X01"/>
    <s v="X"/>
    <s v="X"/>
    <s v="No Cut Off"/>
  </r>
  <r>
    <s v="Interior"/>
    <s v="Monte Cristo, Cordoba"/>
    <x v="60"/>
    <x v="5"/>
    <x v="7"/>
    <n v="351"/>
    <n v="625"/>
    <s v="AR"/>
    <s v="CB"/>
    <s v="1"/>
    <s v="14"/>
    <s v="RB_FV"/>
    <s v="CB"/>
    <s v="1d"/>
    <s v="04"/>
    <s v="3PL Direct"/>
    <s v="1d"/>
    <x v="61"/>
    <s v="AR1X01"/>
    <s v="X"/>
    <s v="X"/>
    <s v="No Cut Off"/>
  </r>
  <r>
    <s v="Interior"/>
    <s v="Obispo Trejo, Cordoba"/>
    <x v="61"/>
    <x v="5"/>
    <x v="7"/>
    <n v="351"/>
    <n v="655"/>
    <s v="AR"/>
    <s v="CB"/>
    <s v="1"/>
    <s v="15"/>
    <s v="RB_FV"/>
    <s v="CB"/>
    <s v="1d"/>
    <s v="04"/>
    <s v="3PL Direct"/>
    <s v="1d"/>
    <x v="62"/>
    <s v="AR1X01"/>
    <s v="X"/>
    <s v="X"/>
    <s v="No Cut Off"/>
  </r>
  <r>
    <s v="Interior"/>
    <s v="Rio Ceballos, Cordoba"/>
    <x v="62"/>
    <x v="5"/>
    <x v="7"/>
    <n v="351"/>
    <n v="620"/>
    <s v="AR"/>
    <s v="CB"/>
    <s v="1"/>
    <s v="16"/>
    <s v="RB_FV"/>
    <s v="CB"/>
    <s v="1d"/>
    <s v="04"/>
    <s v="3PL Direct"/>
    <s v="1d"/>
    <x v="63"/>
    <s v="AR1X01"/>
    <s v="X"/>
    <s v="X"/>
    <s v="No Cut Off"/>
  </r>
  <r>
    <s v="Interior"/>
    <s v="Rio Cuarto, Cordoba"/>
    <x v="63"/>
    <x v="5"/>
    <x v="7"/>
    <n v="351"/>
    <n v="662"/>
    <s v="AR"/>
    <s v="CB"/>
    <s v="1"/>
    <s v="17"/>
    <s v="RB_FV"/>
    <s v="CB"/>
    <s v="1d"/>
    <s v="04"/>
    <s v="3PL Direct"/>
    <s v="1d"/>
    <x v="64"/>
    <s v="AR1X01"/>
    <s v="X"/>
    <s v="X"/>
    <s v="No Cut Off"/>
  </r>
  <r>
    <s v="Interior"/>
    <s v="Rio Tercero, Cordoba"/>
    <x v="64"/>
    <x v="5"/>
    <x v="7"/>
    <n v="351"/>
    <n v="665"/>
    <s v="AR"/>
    <s v="CB"/>
    <s v="1"/>
    <s v="18"/>
    <s v="RB_FV"/>
    <s v="CB"/>
    <s v="1d"/>
    <s v="04"/>
    <s v="3PL Direct"/>
    <s v="1d"/>
    <x v="65"/>
    <s v="AR1X01"/>
    <s v="X"/>
    <s v="X"/>
    <s v="No Cut Off"/>
  </r>
  <r>
    <s v="Interior"/>
    <s v="San Francisco, Cordoba"/>
    <x v="65"/>
    <x v="5"/>
    <x v="7"/>
    <n v="351"/>
    <n v="720"/>
    <s v="AR"/>
    <s v="CB"/>
    <s v="1"/>
    <s v="19"/>
    <s v="RB_FV"/>
    <s v="CB"/>
    <s v="1d"/>
    <s v="04"/>
    <s v="3PL Direct"/>
    <s v="1d"/>
    <x v="66"/>
    <s v="AR1X01"/>
    <s v="X"/>
    <s v="X"/>
    <s v="No Cut Off"/>
  </r>
  <r>
    <s v="Interior"/>
    <s v="San Francisco Del Chanar"/>
    <x v="66"/>
    <x v="5"/>
    <x v="7"/>
    <n v="351"/>
    <n v="657"/>
    <s v="AR"/>
    <s v="CB"/>
    <s v="1"/>
    <s v="20"/>
    <s v="RB_FV"/>
    <s v="CB"/>
    <s v="1d"/>
    <s v="04"/>
    <s v="3PL Direct"/>
    <s v="1d"/>
    <x v="67"/>
    <s v="AR1X01"/>
    <s v="X"/>
    <s v="X"/>
    <s v="No Cut Off"/>
  </r>
  <r>
    <s v="Interior"/>
    <s v="Santa Rosa de Rio Primero,Cord"/>
    <x v="67"/>
    <x v="5"/>
    <x v="7"/>
    <n v="351"/>
    <n v="630"/>
    <s v="AR"/>
    <s v="CB"/>
    <s v="1"/>
    <s v="21"/>
    <s v="RB_FV"/>
    <s v="CB"/>
    <s v="1d"/>
    <s v="04"/>
    <s v="3PL Direct"/>
    <s v="1d"/>
    <x v="68"/>
    <s v="AR1X01"/>
    <s v="X"/>
    <s v="X"/>
    <s v="No Cut Off"/>
  </r>
  <r>
    <s v="Interior"/>
    <s v="Unquillo, Cordoba"/>
    <x v="68"/>
    <x v="5"/>
    <x v="7"/>
    <n v="351"/>
    <n v="615"/>
    <s v="AR"/>
    <s v="CB"/>
    <s v="1"/>
    <s v="22"/>
    <s v="RB_FV"/>
    <s v="CB"/>
    <s v="1d"/>
    <s v="04"/>
    <s v="3PL Direct"/>
    <s v="1d"/>
    <x v="69"/>
    <s v="AR1X01"/>
    <s v="X"/>
    <s v="X"/>
    <s v="No Cut Off"/>
  </r>
  <r>
    <s v="Interior"/>
    <s v="Villa Carlos Paz, Cordoba"/>
    <x v="69"/>
    <x v="5"/>
    <x v="7"/>
    <n v="351"/>
    <n v="640"/>
    <s v="AR"/>
    <s v="CB"/>
    <s v="1"/>
    <s v="23"/>
    <s v="RB_FV"/>
    <s v="CB"/>
    <s v="1d"/>
    <s v="04"/>
    <s v="3PL Direct"/>
    <s v="1d"/>
    <x v="70"/>
    <s v="AR1X01"/>
    <s v="X"/>
    <s v="X"/>
    <s v="No Cut Off"/>
  </r>
  <r>
    <s v="Interior"/>
    <s v="Villa del Rosario, Cordoba"/>
    <x v="70"/>
    <x v="5"/>
    <x v="7"/>
    <n v="351"/>
    <n v="685"/>
    <s v="AR"/>
    <s v="CB"/>
    <s v="1"/>
    <s v="24"/>
    <s v="RB_FV"/>
    <s v="CB"/>
    <s v="1d"/>
    <s v="04"/>
    <s v="3PL Direct"/>
    <s v="1d"/>
    <x v="71"/>
    <s v="AR1X01"/>
    <s v="X"/>
    <s v="X"/>
    <s v="No Cut Off"/>
  </r>
  <r>
    <s v="Interior"/>
    <s v="Villa Maria, Cordoba"/>
    <x v="71"/>
    <x v="5"/>
    <x v="7"/>
    <n v="351"/>
    <n v="675"/>
    <s v="AR"/>
    <s v="CB"/>
    <s v="1"/>
    <s v="25"/>
    <s v="RB_FV"/>
    <s v="CB"/>
    <s v="1d"/>
    <s v="04"/>
    <s v="3PL Direct"/>
    <s v="1d"/>
    <x v="72"/>
    <s v="AR1X01"/>
    <s v="X"/>
    <s v="X"/>
    <s v="No Cut Off"/>
  </r>
  <r>
    <s v="Interior"/>
    <s v="Corrientes, Corrientes"/>
    <x v="72"/>
    <x v="6"/>
    <x v="8"/>
    <n v="361"/>
    <n v="330"/>
    <s v="AR"/>
    <s v="CR"/>
    <s v="1"/>
    <s v="01"/>
    <s v="RB_FV"/>
    <s v="CR"/>
    <s v="1d"/>
    <s v="01"/>
    <s v="Road/Truck"/>
    <s v="7d"/>
    <x v="73"/>
    <s v="AR1X07"/>
    <s v="X"/>
    <s v="X"/>
    <s v="Cut Off"/>
  </r>
  <r>
    <s v="Interior"/>
    <s v="Goya ,Corrientes"/>
    <x v="73"/>
    <x v="6"/>
    <x v="8"/>
    <n v="361"/>
    <n v="335"/>
    <s v="AR"/>
    <s v="CR"/>
    <s v="1"/>
    <s v="02"/>
    <s v="RB_FV"/>
    <s v="CR"/>
    <s v="1d"/>
    <s v="01"/>
    <s v="Road/Truck"/>
    <s v="7d"/>
    <x v="74"/>
    <s v="AR1X07"/>
    <s v="X"/>
    <s v="X"/>
    <s v="Cut Off"/>
  </r>
  <r>
    <s v="Interior"/>
    <s v="Paso de los Libres,Corrientes"/>
    <x v="74"/>
    <x v="6"/>
    <x v="8"/>
    <n v="361"/>
    <n v="285"/>
    <s v="AR"/>
    <s v="CR"/>
    <s v="1"/>
    <s v="03"/>
    <s v="RB_FV"/>
    <s v="CR"/>
    <s v="1d"/>
    <s v="01"/>
    <s v="Road/Truck"/>
    <s v="7d"/>
    <x v="75"/>
    <s v="AR1X07"/>
    <s v="X"/>
    <s v="X"/>
    <s v="Cut Off"/>
  </r>
  <r>
    <s v="Interior"/>
    <s v="Corrientes, Corrientes"/>
    <x v="72"/>
    <x v="6"/>
    <x v="8"/>
    <n v="361"/>
    <n v="330"/>
    <s v="AR"/>
    <s v="CR"/>
    <s v="1"/>
    <s v="01"/>
    <s v="RB_FV"/>
    <s v="CR"/>
    <s v="1d"/>
    <s v="04"/>
    <s v="3PL Direct"/>
    <s v="2d"/>
    <x v="73"/>
    <s v="AR1X02"/>
    <s v="X"/>
    <s v="X"/>
    <s v="No Cut Off"/>
  </r>
  <r>
    <s v="Interior"/>
    <s v="Goya ,Corrientes"/>
    <x v="73"/>
    <x v="6"/>
    <x v="8"/>
    <n v="361"/>
    <n v="335"/>
    <s v="AR"/>
    <s v="CR"/>
    <s v="1"/>
    <s v="02"/>
    <s v="RB_FV"/>
    <s v="CR"/>
    <s v="1d"/>
    <s v="04"/>
    <s v="3PL Direct"/>
    <s v="2d"/>
    <x v="74"/>
    <s v="AR1X02"/>
    <s v="X"/>
    <s v="X"/>
    <s v="No Cut Off"/>
  </r>
  <r>
    <s v="Interior"/>
    <s v="Paso de los Libres,Corrientes"/>
    <x v="74"/>
    <x v="6"/>
    <x v="8"/>
    <n v="361"/>
    <n v="285"/>
    <s v="AR"/>
    <s v="CR"/>
    <s v="1"/>
    <s v="03"/>
    <s v="RB_FV"/>
    <s v="CR"/>
    <s v="1d"/>
    <s v="04"/>
    <s v="3PL Direct"/>
    <s v="2d"/>
    <x v="75"/>
    <s v="AR1X02"/>
    <s v="X"/>
    <s v="X"/>
    <s v="No Cut Off"/>
  </r>
  <r>
    <s v="Interior"/>
    <s v="Chajari, Entre Rios"/>
    <x v="75"/>
    <x v="7"/>
    <x v="9"/>
    <n v="347"/>
    <n v="280"/>
    <s v="AR"/>
    <s v="ER"/>
    <s v="1"/>
    <s v="01"/>
    <s v="RB_FV"/>
    <s v="ER"/>
    <s v="1d"/>
    <s v="01"/>
    <s v="Road/Truck"/>
    <s v="6d"/>
    <x v="76"/>
    <s v="AR1X06"/>
    <s v="X"/>
    <s v="X"/>
    <s v="Cut Off"/>
  </r>
  <r>
    <s v="Interior"/>
    <s v="Colon, Entre Rios"/>
    <x v="76"/>
    <x v="7"/>
    <x v="9"/>
    <n v="347"/>
    <n v="298"/>
    <s v="AR"/>
    <s v="ER"/>
    <s v="1"/>
    <s v="02"/>
    <s v="RB_FV"/>
    <s v="ER"/>
    <s v="1d"/>
    <s v="01"/>
    <s v="Road/Truck"/>
    <s v="6d"/>
    <x v="77"/>
    <s v="AR1X06"/>
    <s v="X"/>
    <s v="X"/>
    <s v="Cut Off"/>
  </r>
  <r>
    <s v="Interior"/>
    <s v="Concepcion del Uruguay,Entre R"/>
    <x v="77"/>
    <x v="7"/>
    <x v="9"/>
    <n v="347"/>
    <n v="293"/>
    <s v="AR"/>
    <s v="ER"/>
    <s v="1"/>
    <s v="03"/>
    <s v="RB_FV"/>
    <s v="ER"/>
    <s v="1d"/>
    <s v="01"/>
    <s v="Road/Truck"/>
    <s v="6d"/>
    <x v="78"/>
    <s v="AR1X06"/>
    <s v="X"/>
    <s v="X"/>
    <s v="Cut Off"/>
  </r>
  <r>
    <s v="Interior"/>
    <s v="Concordia, Entre Rios"/>
    <x v="78"/>
    <x v="7"/>
    <x v="9"/>
    <n v="347"/>
    <n v="277"/>
    <s v="AR"/>
    <s v="ER"/>
    <s v="1"/>
    <s v="04"/>
    <s v="RB_FV"/>
    <s v="ER"/>
    <s v="1d"/>
    <s v="01"/>
    <s v="Road/Truck"/>
    <s v="6d"/>
    <x v="79"/>
    <s v="AR1X06"/>
    <s v="X"/>
    <s v="X"/>
    <s v="Cut Off"/>
  </r>
  <r>
    <s v="Interior"/>
    <s v="Crespo, Entre Rios"/>
    <x v="79"/>
    <x v="7"/>
    <x v="9"/>
    <n v="347"/>
    <n v="250"/>
    <s v="AR"/>
    <s v="ER"/>
    <s v="1"/>
    <s v="05"/>
    <s v="RB_FV"/>
    <s v="ER"/>
    <s v="1d"/>
    <s v="01"/>
    <s v="Road/Truck"/>
    <s v="6d"/>
    <x v="80"/>
    <s v="AR1X06"/>
    <s v="X"/>
    <s v="X"/>
    <s v="Cut Off"/>
  </r>
  <r>
    <s v="Interior"/>
    <s v="Diamante, Entre Rios"/>
    <x v="80"/>
    <x v="7"/>
    <x v="9"/>
    <n v="347"/>
    <n v="245"/>
    <s v="AR"/>
    <s v="ER"/>
    <s v="1"/>
    <s v="06"/>
    <s v="RB_FV"/>
    <s v="ER"/>
    <s v="1d"/>
    <s v="01"/>
    <s v="Road/Truck"/>
    <s v="6d"/>
    <x v="81"/>
    <s v="AR1X06"/>
    <s v="X"/>
    <s v="X"/>
    <s v="Cut Off"/>
  </r>
  <r>
    <s v="Interior"/>
    <s v="Gualeguay, Entre Rios"/>
    <x v="81"/>
    <x v="7"/>
    <x v="9"/>
    <n v="347"/>
    <n v="235"/>
    <s v="AR"/>
    <s v="ER"/>
    <s v="1"/>
    <s v="07"/>
    <s v="RB_FV"/>
    <s v="ER"/>
    <s v="1d"/>
    <s v="01"/>
    <s v="Road/Truck"/>
    <s v="6d"/>
    <x v="82"/>
    <s v="AR1X06"/>
    <s v="X"/>
    <s v="X"/>
    <s v="Cut Off"/>
  </r>
  <r>
    <s v="Interior"/>
    <s v="Gualeguaychu, Entre Rios"/>
    <x v="82"/>
    <x v="7"/>
    <x v="9"/>
    <n v="347"/>
    <n v="230"/>
    <s v="AR"/>
    <s v="ER"/>
    <s v="1"/>
    <s v="08"/>
    <s v="RB_FV"/>
    <s v="ER"/>
    <s v="1d"/>
    <s v="01"/>
    <s v="Road/Truck"/>
    <s v="6d"/>
    <x v="83"/>
    <s v="AR1X06"/>
    <s v="X"/>
    <s v="X"/>
    <s v="Cut Off"/>
  </r>
  <r>
    <s v="Interior"/>
    <s v="La Paz, Entre Rios"/>
    <x v="83"/>
    <x v="7"/>
    <x v="9"/>
    <n v="347"/>
    <n v="267"/>
    <s v="AR"/>
    <s v="ER"/>
    <s v="1"/>
    <s v="09"/>
    <s v="RB_FV"/>
    <s v="ER"/>
    <s v="1d"/>
    <s v="01"/>
    <s v="Road/Truck"/>
    <s v="6d"/>
    <x v="84"/>
    <s v="AR1X06"/>
    <s v="X"/>
    <s v="X"/>
    <s v="Cut Off"/>
  </r>
  <r>
    <s v="Interior"/>
    <s v="Mesopotamia 1"/>
    <x v="84"/>
    <x v="7"/>
    <x v="9"/>
    <n v="347"/>
    <n v="343"/>
    <s v="AR"/>
    <s v="ER"/>
    <s v="1"/>
    <s v="10"/>
    <s v="RB_FV"/>
    <s v="ER"/>
    <s v="1d"/>
    <s v="01"/>
    <s v="Road/Truck"/>
    <s v="6d"/>
    <x v="85"/>
    <s v="AR1X06"/>
    <s v="X"/>
    <s v="X"/>
    <s v="Cut Off"/>
  </r>
  <r>
    <s v="Interior"/>
    <s v="Nogoya, Entre Rios"/>
    <x v="85"/>
    <x v="7"/>
    <x v="9"/>
    <n v="347"/>
    <n v="255"/>
    <s v="AR"/>
    <s v="ER"/>
    <s v="1"/>
    <s v="11"/>
    <s v="RB_FV"/>
    <s v="ER"/>
    <s v="1d"/>
    <s v="01"/>
    <s v="Road/Truck"/>
    <s v="6d"/>
    <x v="86"/>
    <s v="AR1X06"/>
    <s v="X"/>
    <s v="X"/>
    <s v="Cut Off"/>
  </r>
  <r>
    <s v="Interior"/>
    <s v="Santa Helena, Entre Rios"/>
    <x v="86"/>
    <x v="7"/>
    <x v="9"/>
    <n v="347"/>
    <n v="268"/>
    <s v="AR"/>
    <s v="ER"/>
    <s v="1"/>
    <s v="12"/>
    <s v="RB_FV"/>
    <s v="ER"/>
    <s v="1d"/>
    <s v="01"/>
    <s v="Road/Truck"/>
    <s v="6d"/>
    <x v="87"/>
    <s v="AR1X06"/>
    <s v="X"/>
    <s v="X"/>
    <s v="Cut Off"/>
  </r>
  <r>
    <s v="Interior"/>
    <s v="Victoria, Entre Rios"/>
    <x v="87"/>
    <x v="7"/>
    <x v="9"/>
    <n v="347"/>
    <n v="260"/>
    <s v="AR"/>
    <s v="ER"/>
    <s v="1"/>
    <s v="13"/>
    <s v="RB_FV"/>
    <s v="ER"/>
    <s v="1d"/>
    <s v="01"/>
    <s v="Road/Truck"/>
    <s v="6d"/>
    <x v="88"/>
    <s v="AR1X06"/>
    <s v="X"/>
    <s v="X"/>
    <s v="Cut Off"/>
  </r>
  <r>
    <s v="Interior"/>
    <s v="Villaguay, Entre Rios"/>
    <x v="88"/>
    <x v="7"/>
    <x v="9"/>
    <n v="347"/>
    <n v="290"/>
    <s v="AR"/>
    <s v="ER"/>
    <s v="1"/>
    <s v="14"/>
    <s v="RB_FV"/>
    <s v="ER"/>
    <s v="1d"/>
    <s v="01"/>
    <s v="Road/Truck"/>
    <s v="6d"/>
    <x v="89"/>
    <s v="AR1X06"/>
    <s v="X"/>
    <s v="X"/>
    <s v="Cut Off"/>
  </r>
  <r>
    <s v="Interior"/>
    <s v="Parana, Entre Rios"/>
    <x v="89"/>
    <x v="7"/>
    <x v="5"/>
    <n v="342"/>
    <n v="240"/>
    <s v="AR"/>
    <s v="ER"/>
    <s v="1"/>
    <s v="15"/>
    <s v="RB_FV"/>
    <s v="ER"/>
    <s v="1d"/>
    <s v="01"/>
    <s v="Road/Truck"/>
    <s v="6d"/>
    <x v="90"/>
    <s v="AR1X06"/>
    <s v="X"/>
    <s v="X"/>
    <s v="Cut Off"/>
  </r>
  <r>
    <s v="Interior"/>
    <s v="Chajari, Entre Rios"/>
    <x v="75"/>
    <x v="7"/>
    <x v="9"/>
    <n v="347"/>
    <n v="280"/>
    <s v="AR"/>
    <s v="ER"/>
    <s v="1"/>
    <s v="01"/>
    <s v="RB_FV"/>
    <s v="ER"/>
    <s v="1d"/>
    <s v="04"/>
    <s v="3PL Direct"/>
    <s v="1d"/>
    <x v="76"/>
    <s v="AR1X01"/>
    <s v="X"/>
    <s v="X"/>
    <s v="No Cut Off"/>
  </r>
  <r>
    <s v="Interior"/>
    <s v="Colon, Entre Rios"/>
    <x v="76"/>
    <x v="7"/>
    <x v="9"/>
    <n v="347"/>
    <n v="298"/>
    <s v="AR"/>
    <s v="ER"/>
    <s v="1"/>
    <s v="02"/>
    <s v="RB_FV"/>
    <s v="ER"/>
    <s v="1d"/>
    <s v="04"/>
    <s v="3PL Direct"/>
    <s v="1d"/>
    <x v="77"/>
    <s v="AR1X01"/>
    <s v="X"/>
    <s v="X"/>
    <s v="No Cut Off"/>
  </r>
  <r>
    <s v="Interior"/>
    <s v="Concepcion del Uruguay,Entre R"/>
    <x v="77"/>
    <x v="7"/>
    <x v="9"/>
    <n v="347"/>
    <n v="293"/>
    <s v="AR"/>
    <s v="ER"/>
    <s v="1"/>
    <s v="03"/>
    <s v="RB_FV"/>
    <s v="ER"/>
    <s v="1d"/>
    <s v="04"/>
    <s v="3PL Direct"/>
    <s v="1d"/>
    <x v="78"/>
    <s v="AR1X01"/>
    <s v="X"/>
    <s v="X"/>
    <s v="No Cut Off"/>
  </r>
  <r>
    <s v="Interior"/>
    <s v="Concordia, Entre Rios"/>
    <x v="78"/>
    <x v="7"/>
    <x v="9"/>
    <n v="347"/>
    <n v="277"/>
    <s v="AR"/>
    <s v="ER"/>
    <s v="1"/>
    <s v="04"/>
    <s v="RB_FV"/>
    <s v="ER"/>
    <s v="1d"/>
    <s v="04"/>
    <s v="3PL Direct"/>
    <s v="1d"/>
    <x v="79"/>
    <s v="AR1X01"/>
    <s v="X"/>
    <s v="X"/>
    <s v="No Cut Off"/>
  </r>
  <r>
    <s v="Interior"/>
    <s v="Crespo, Entre Rios"/>
    <x v="79"/>
    <x v="7"/>
    <x v="9"/>
    <n v="347"/>
    <n v="250"/>
    <s v="AR"/>
    <s v="ER"/>
    <s v="1"/>
    <s v="05"/>
    <s v="RB_FV"/>
    <s v="ER"/>
    <s v="1d"/>
    <s v="04"/>
    <s v="3PL Direct"/>
    <s v="1d"/>
    <x v="80"/>
    <s v="AR1X01"/>
    <s v="X"/>
    <s v="X"/>
    <s v="No Cut Off"/>
  </r>
  <r>
    <s v="Interior"/>
    <s v="Diamante, Entre Rios"/>
    <x v="80"/>
    <x v="7"/>
    <x v="9"/>
    <n v="347"/>
    <n v="245"/>
    <s v="AR"/>
    <s v="ER"/>
    <s v="1"/>
    <s v="06"/>
    <s v="RB_FV"/>
    <s v="ER"/>
    <s v="1d"/>
    <s v="04"/>
    <s v="3PL Direct"/>
    <s v="1d"/>
    <x v="81"/>
    <s v="AR1X01"/>
    <s v="X"/>
    <s v="X"/>
    <s v="No Cut Off"/>
  </r>
  <r>
    <s v="Interior"/>
    <s v="Gualeguay, Entre Rios"/>
    <x v="81"/>
    <x v="7"/>
    <x v="9"/>
    <n v="347"/>
    <n v="235"/>
    <s v="AR"/>
    <s v="ER"/>
    <s v="1"/>
    <s v="07"/>
    <s v="RB_FV"/>
    <s v="ER"/>
    <s v="1d"/>
    <s v="04"/>
    <s v="3PL Direct"/>
    <s v="1d"/>
    <x v="82"/>
    <s v="AR1X01"/>
    <s v="X"/>
    <s v="X"/>
    <s v="No Cut Off"/>
  </r>
  <r>
    <s v="Interior"/>
    <s v="Gualeguaychu, Entre Rios"/>
    <x v="82"/>
    <x v="7"/>
    <x v="9"/>
    <n v="347"/>
    <n v="230"/>
    <s v="AR"/>
    <s v="ER"/>
    <s v="1"/>
    <s v="08"/>
    <s v="RB_FV"/>
    <s v="ER"/>
    <s v="1d"/>
    <s v="04"/>
    <s v="3PL Direct"/>
    <s v="1d"/>
    <x v="83"/>
    <s v="AR1X01"/>
    <s v="X"/>
    <s v="X"/>
    <s v="No Cut Off"/>
  </r>
  <r>
    <s v="Interior"/>
    <s v="La Paz, Entre Rios"/>
    <x v="83"/>
    <x v="7"/>
    <x v="9"/>
    <n v="347"/>
    <n v="267"/>
    <s v="AR"/>
    <s v="ER"/>
    <s v="1"/>
    <s v="09"/>
    <s v="RB_FV"/>
    <s v="ER"/>
    <s v="1d"/>
    <s v="04"/>
    <s v="3PL Direct"/>
    <s v="1d"/>
    <x v="84"/>
    <s v="AR1X01"/>
    <s v="X"/>
    <s v="X"/>
    <s v="No Cut Off"/>
  </r>
  <r>
    <s v="Interior"/>
    <s v="Mesopotamia 1"/>
    <x v="84"/>
    <x v="7"/>
    <x v="9"/>
    <n v="347"/>
    <n v="343"/>
    <s v="AR"/>
    <s v="ER"/>
    <s v="1"/>
    <s v="10"/>
    <s v="RB_FV"/>
    <s v="ER"/>
    <s v="1d"/>
    <s v="04"/>
    <s v="3PL Direct"/>
    <s v="1d"/>
    <x v="85"/>
    <s v="AR1X01"/>
    <s v="X"/>
    <s v="X"/>
    <s v="No Cut Off"/>
  </r>
  <r>
    <s v="Interior"/>
    <s v="Nogoya, Entre Rios"/>
    <x v="85"/>
    <x v="7"/>
    <x v="9"/>
    <n v="347"/>
    <n v="255"/>
    <s v="AR"/>
    <s v="ER"/>
    <s v="1"/>
    <s v="11"/>
    <s v="RB_FV"/>
    <s v="ER"/>
    <s v="1d"/>
    <s v="04"/>
    <s v="3PL Direct"/>
    <s v="1d"/>
    <x v="86"/>
    <s v="AR1X01"/>
    <s v="X"/>
    <s v="X"/>
    <s v="No Cut Off"/>
  </r>
  <r>
    <s v="Interior"/>
    <s v="Santa Helena, Entre Rios"/>
    <x v="86"/>
    <x v="7"/>
    <x v="9"/>
    <n v="347"/>
    <n v="268"/>
    <s v="AR"/>
    <s v="ER"/>
    <s v="1"/>
    <s v="12"/>
    <s v="RB_FV"/>
    <s v="ER"/>
    <s v="1d"/>
    <s v="04"/>
    <s v="3PL Direct"/>
    <s v="1d"/>
    <x v="87"/>
    <s v="AR1X01"/>
    <s v="X"/>
    <s v="X"/>
    <s v="No Cut Off"/>
  </r>
  <r>
    <s v="Interior"/>
    <s v="Victoria, Entre Rios"/>
    <x v="87"/>
    <x v="7"/>
    <x v="9"/>
    <n v="347"/>
    <n v="260"/>
    <s v="AR"/>
    <s v="ER"/>
    <s v="1"/>
    <s v="13"/>
    <s v="RB_FV"/>
    <s v="ER"/>
    <s v="1d"/>
    <s v="04"/>
    <s v="3PL Direct"/>
    <s v="1d"/>
    <x v="88"/>
    <s v="AR1X01"/>
    <s v="X"/>
    <s v="X"/>
    <s v="No Cut Off"/>
  </r>
  <r>
    <s v="Interior"/>
    <s v="Villaguay, Entre Rios"/>
    <x v="88"/>
    <x v="7"/>
    <x v="9"/>
    <n v="347"/>
    <n v="290"/>
    <s v="AR"/>
    <s v="ER"/>
    <s v="1"/>
    <s v="14"/>
    <s v="RB_FV"/>
    <s v="ER"/>
    <s v="1d"/>
    <s v="04"/>
    <s v="3PL Direct"/>
    <s v="1d"/>
    <x v="89"/>
    <s v="AR1X01"/>
    <s v="X"/>
    <s v="X"/>
    <s v="No Cut Off"/>
  </r>
  <r>
    <s v="Interior"/>
    <s v="Parana, Entre Rios"/>
    <x v="89"/>
    <x v="7"/>
    <x v="5"/>
    <n v="342"/>
    <n v="240"/>
    <s v="AR"/>
    <s v="ER"/>
    <s v="1"/>
    <s v="15"/>
    <s v="RB_FV"/>
    <s v="ER"/>
    <s v="1d"/>
    <s v="04"/>
    <s v="3PL Direct"/>
    <s v="1d"/>
    <x v="90"/>
    <s v="AR1X01"/>
    <s v="X"/>
    <s v="X"/>
    <s v="No Cut Off"/>
  </r>
  <r>
    <s v="Interior"/>
    <s v="Clorinda, Formosa"/>
    <x v="90"/>
    <x v="8"/>
    <x v="8"/>
    <n v="343"/>
    <n v="360"/>
    <s v="AR"/>
    <s v="FO"/>
    <s v="1"/>
    <s v="01"/>
    <s v="RB_FV"/>
    <s v="FO"/>
    <s v="1d"/>
    <s v="01"/>
    <s v="Road/Truck"/>
    <s v="7d"/>
    <x v="91"/>
    <s v="AR1X07"/>
    <s v="X"/>
    <s v="X"/>
    <s v="Cut Off"/>
  </r>
  <r>
    <s v="Interior"/>
    <s v="Formosa, Formosa"/>
    <x v="91"/>
    <x v="8"/>
    <x v="8"/>
    <n v="343"/>
    <n v="355"/>
    <s v="AR"/>
    <s v="FO"/>
    <s v="1"/>
    <s v="02"/>
    <s v="RB_FV"/>
    <s v="FO"/>
    <s v="1d"/>
    <s v="01"/>
    <s v="Road/Truck"/>
    <s v="7d"/>
    <x v="92"/>
    <s v="AR1X07"/>
    <s v="X"/>
    <s v="X"/>
    <s v="Cut Off"/>
  </r>
  <r>
    <s v="Interior"/>
    <s v="Clorinda, Formosa"/>
    <x v="90"/>
    <x v="8"/>
    <x v="8"/>
    <n v="343"/>
    <n v="360"/>
    <s v="AR"/>
    <s v="FO"/>
    <s v="1"/>
    <s v="01"/>
    <s v="RB_FV"/>
    <s v="FO"/>
    <s v="1d"/>
    <s v="04"/>
    <s v="3PL Direct"/>
    <s v="2d"/>
    <x v="91"/>
    <s v="AR1X02"/>
    <s v="X"/>
    <s v="X"/>
    <s v="No Cut Off"/>
  </r>
  <r>
    <s v="Interior"/>
    <s v="Formosa, Formosa"/>
    <x v="91"/>
    <x v="8"/>
    <x v="8"/>
    <n v="343"/>
    <n v="355"/>
    <s v="AR"/>
    <s v="FO"/>
    <s v="1"/>
    <s v="02"/>
    <s v="RB_FV"/>
    <s v="FO"/>
    <s v="1d"/>
    <s v="04"/>
    <s v="3PL Direct"/>
    <s v="2d"/>
    <x v="92"/>
    <s v="AR1X02"/>
    <s v="X"/>
    <s v="X"/>
    <s v="No Cut Off"/>
  </r>
  <r>
    <s v="Interior"/>
    <s v="La Quiaca, Jujuy"/>
    <x v="92"/>
    <x v="9"/>
    <x v="6"/>
    <n v="362"/>
    <n v="465"/>
    <s v="AR"/>
    <s v="JY"/>
    <s v="1"/>
    <s v="01"/>
    <s v="RB_FV"/>
    <s v="JY"/>
    <s v="1d"/>
    <s v="01"/>
    <s v="Road/Truck"/>
    <s v="7d"/>
    <x v="93"/>
    <s v="AR1X07"/>
    <s v="X"/>
    <s v="X"/>
    <s v="Cut Off"/>
  </r>
  <r>
    <s v="Interior"/>
    <s v="Lib.Gral.San Martin, Jujuy"/>
    <x v="93"/>
    <x v="9"/>
    <x v="6"/>
    <n v="362"/>
    <n v="450"/>
    <s v="AR"/>
    <s v="JY"/>
    <s v="1"/>
    <s v="02"/>
    <s v="RB_FV"/>
    <s v="JY"/>
    <s v="1d"/>
    <s v="01"/>
    <s v="Road/Truck"/>
    <s v="7d"/>
    <x v="94"/>
    <s v="AR1X07"/>
    <s v="X"/>
    <s v="X"/>
    <s v="Cut Off"/>
  </r>
  <r>
    <s v="Interior"/>
    <s v="NOA 1"/>
    <x v="94"/>
    <x v="9"/>
    <x v="6"/>
    <n v="362"/>
    <n v="381"/>
    <s v="AR"/>
    <s v="JY"/>
    <s v="1"/>
    <s v="03"/>
    <s v="RB_FV"/>
    <s v="JY"/>
    <s v="1d"/>
    <s v="01"/>
    <s v="Road/Truck"/>
    <s v="7d"/>
    <x v="95"/>
    <s v="AR1X07"/>
    <s v="X"/>
    <s v="X"/>
    <s v="Cut Off"/>
  </r>
  <r>
    <s v="Interior"/>
    <s v="San Pedro de Jujuy, Jujuy"/>
    <x v="95"/>
    <x v="9"/>
    <x v="6"/>
    <n v="362"/>
    <n v="445"/>
    <s v="AR"/>
    <s v="JY"/>
    <s v="1"/>
    <s v="04"/>
    <s v="RB_FV"/>
    <s v="JY"/>
    <s v="1d"/>
    <s v="01"/>
    <s v="Road/Truck"/>
    <s v="7d"/>
    <x v="96"/>
    <s v="AR1X07"/>
    <s v="X"/>
    <s v="X"/>
    <s v="Cut Off"/>
  </r>
  <r>
    <s v="Interior"/>
    <s v="San S. de Jujuy, Jujuy"/>
    <x v="96"/>
    <x v="9"/>
    <x v="6"/>
    <n v="362"/>
    <n v="460"/>
    <s v="AR"/>
    <s v="JY"/>
    <s v="1"/>
    <s v="05"/>
    <s v="RB_FV"/>
    <s v="JY"/>
    <s v="1d"/>
    <s v="01"/>
    <s v="Road/Truck"/>
    <s v="7d"/>
    <x v="97"/>
    <s v="AR1X07"/>
    <s v="X"/>
    <s v="X"/>
    <s v="Cut Off"/>
  </r>
  <r>
    <s v="Interior"/>
    <s v="La Quiaca, Jujuy"/>
    <x v="92"/>
    <x v="9"/>
    <x v="6"/>
    <n v="362"/>
    <n v="465"/>
    <s v="AR"/>
    <s v="JY"/>
    <s v="1"/>
    <s v="01"/>
    <s v="RB_FV"/>
    <s v="JY"/>
    <s v="1d"/>
    <s v="04"/>
    <s v="3PL Direct"/>
    <s v="2d"/>
    <x v="93"/>
    <s v="AR1X02"/>
    <s v="X"/>
    <s v="X"/>
    <s v="No Cut Off"/>
  </r>
  <r>
    <s v="Interior"/>
    <s v="Lib.Gral.San Martin, Jujuy"/>
    <x v="93"/>
    <x v="9"/>
    <x v="6"/>
    <n v="362"/>
    <n v="450"/>
    <s v="AR"/>
    <s v="JY"/>
    <s v="1"/>
    <s v="02"/>
    <s v="RB_FV"/>
    <s v="JY"/>
    <s v="1d"/>
    <s v="04"/>
    <s v="3PL Direct"/>
    <s v="2d"/>
    <x v="94"/>
    <s v="AR1X02"/>
    <s v="X"/>
    <s v="X"/>
    <s v="No Cut Off"/>
  </r>
  <r>
    <s v="Interior"/>
    <s v="NOA 1"/>
    <x v="94"/>
    <x v="9"/>
    <x v="6"/>
    <n v="362"/>
    <n v="381"/>
    <s v="AR"/>
    <s v="JY"/>
    <s v="1"/>
    <s v="03"/>
    <s v="RB_FV"/>
    <s v="JY"/>
    <s v="1d"/>
    <s v="04"/>
    <s v="3PL Direct"/>
    <s v="2d"/>
    <x v="95"/>
    <s v="AR1X02"/>
    <s v="X"/>
    <s v="X"/>
    <s v="No Cut Off"/>
  </r>
  <r>
    <s v="Interior"/>
    <s v="San Pedro de Jujuy, Jujuy"/>
    <x v="95"/>
    <x v="9"/>
    <x v="6"/>
    <n v="362"/>
    <n v="445"/>
    <s v="AR"/>
    <s v="JY"/>
    <s v="1"/>
    <s v="04"/>
    <s v="RB_FV"/>
    <s v="JY"/>
    <s v="1d"/>
    <s v="04"/>
    <s v="3PL Direct"/>
    <s v="2d"/>
    <x v="96"/>
    <s v="AR1X02"/>
    <s v="X"/>
    <s v="X"/>
    <s v="No Cut Off"/>
  </r>
  <r>
    <s v="Interior"/>
    <s v="San S. de Jujuy, Jujuy"/>
    <x v="96"/>
    <x v="9"/>
    <x v="6"/>
    <n v="362"/>
    <n v="460"/>
    <s v="AR"/>
    <s v="JY"/>
    <s v="1"/>
    <s v="05"/>
    <s v="RB_FV"/>
    <s v="JY"/>
    <s v="1d"/>
    <s v="04"/>
    <s v="3PL Direct"/>
    <s v="2d"/>
    <x v="97"/>
    <s v="AR1X02"/>
    <s v="X"/>
    <s v="X"/>
    <s v="No Cut Off"/>
  </r>
  <r>
    <s v="Interior"/>
    <s v="Gral.Pico, La Pampa"/>
    <x v="97"/>
    <x v="10"/>
    <x v="4"/>
    <n v="295"/>
    <n v="820"/>
    <s v="AR"/>
    <s v="LP"/>
    <s v="1"/>
    <s v="01"/>
    <s v="RB_FV"/>
    <s v="LP"/>
    <s v="1d"/>
    <s v="01"/>
    <s v="Road/Truck"/>
    <s v="6d"/>
    <x v="98"/>
    <s v="AR1X06"/>
    <s v="X"/>
    <s v="X"/>
    <s v="Cut Off"/>
  </r>
  <r>
    <s v="Interior"/>
    <s v="Intendente Alvear, La Pampa"/>
    <x v="98"/>
    <x v="10"/>
    <x v="4"/>
    <n v="295"/>
    <n v="806"/>
    <s v="AR"/>
    <s v="LP"/>
    <s v="1"/>
    <s v="02"/>
    <s v="RB_FV"/>
    <s v="LP"/>
    <s v="1d"/>
    <s v="01"/>
    <s v="Road/Truck"/>
    <s v="6d"/>
    <x v="99"/>
    <s v="AR1X06"/>
    <s v="X"/>
    <s v="X"/>
    <s v="Cut Off"/>
  </r>
  <r>
    <s v="Interior"/>
    <s v="La Pampa"/>
    <x v="99"/>
    <x v="10"/>
    <x v="4"/>
    <n v="295"/>
    <n v="295"/>
    <s v="AR"/>
    <s v="LP"/>
    <s v="1"/>
    <s v="03"/>
    <s v="RB_FV"/>
    <s v="LP"/>
    <s v="1d"/>
    <s v="01"/>
    <s v="Road/Truck"/>
    <s v="6d"/>
    <x v="100"/>
    <s v="AR1X06"/>
    <s v="X"/>
    <s v="X"/>
    <s v="Cut Off"/>
  </r>
  <r>
    <s v="Interior"/>
    <s v="Santa Rosa, La Pampa"/>
    <x v="100"/>
    <x v="10"/>
    <x v="4"/>
    <n v="295"/>
    <n v="815"/>
    <s v="AR"/>
    <s v="LP"/>
    <s v="1"/>
    <s v="04"/>
    <s v="RB_FV"/>
    <s v="LP"/>
    <s v="1d"/>
    <s v="01"/>
    <s v="Road/Truck"/>
    <s v="6d"/>
    <x v="101"/>
    <s v="AR1X06"/>
    <s v="X"/>
    <s v="X"/>
    <s v="Cut Off"/>
  </r>
  <r>
    <s v="Interior"/>
    <s v="Gral.Pico, La Pampa"/>
    <x v="97"/>
    <x v="10"/>
    <x v="4"/>
    <n v="295"/>
    <n v="820"/>
    <s v="AR"/>
    <s v="LP"/>
    <s v="1"/>
    <s v="01"/>
    <s v="RB_FV"/>
    <s v="LP"/>
    <s v="1d"/>
    <s v="04"/>
    <s v="3PL Direct"/>
    <s v="1d"/>
    <x v="98"/>
    <s v="AR1X01"/>
    <s v="X"/>
    <s v="X"/>
    <s v="No Cut Off"/>
  </r>
  <r>
    <s v="Interior"/>
    <s v="Intendente Alvear, La Pampa"/>
    <x v="98"/>
    <x v="10"/>
    <x v="4"/>
    <n v="295"/>
    <n v="806"/>
    <s v="AR"/>
    <s v="LP"/>
    <s v="1"/>
    <s v="02"/>
    <s v="RB_FV"/>
    <s v="LP"/>
    <s v="1d"/>
    <s v="04"/>
    <s v="3PL Direct"/>
    <s v="1d"/>
    <x v="99"/>
    <s v="AR1X01"/>
    <s v="X"/>
    <s v="X"/>
    <s v="No Cut Off"/>
  </r>
  <r>
    <s v="Interior"/>
    <s v="La Pampa"/>
    <x v="99"/>
    <x v="10"/>
    <x v="4"/>
    <n v="295"/>
    <n v="295"/>
    <s v="AR"/>
    <s v="LP"/>
    <s v="1"/>
    <s v="03"/>
    <s v="RB_FV"/>
    <s v="LP"/>
    <s v="1d"/>
    <s v="04"/>
    <s v="3PL Direct"/>
    <s v="1d"/>
    <x v="100"/>
    <s v="AR1X01"/>
    <s v="X"/>
    <s v="X"/>
    <s v="No Cut Off"/>
  </r>
  <r>
    <s v="Interior"/>
    <s v="Santa Rosa, La Pampa"/>
    <x v="100"/>
    <x v="10"/>
    <x v="4"/>
    <n v="295"/>
    <n v="815"/>
    <s v="AR"/>
    <s v="LP"/>
    <s v="1"/>
    <s v="04"/>
    <s v="RB_FV"/>
    <s v="LP"/>
    <s v="1d"/>
    <s v="04"/>
    <s v="3PL Direct"/>
    <s v="1d"/>
    <x v="101"/>
    <s v="AR1X01"/>
    <s v="X"/>
    <s v="X"/>
    <s v="No Cut Off"/>
  </r>
  <r>
    <s v="Interior"/>
    <s v="Chilecito,La Rioja"/>
    <x v="101"/>
    <x v="11"/>
    <x v="7"/>
    <n v="358"/>
    <n v="476"/>
    <s v="AR"/>
    <s v="LR"/>
    <s v="1"/>
    <s v="01"/>
    <s v="RB_FV"/>
    <s v="LR"/>
    <s v="1d"/>
    <s v="01"/>
    <s v="Road/Truck"/>
    <s v="7d"/>
    <x v="102"/>
    <s v="AR1X07"/>
    <s v="X"/>
    <s v="X"/>
    <s v="Cut Off"/>
  </r>
  <r>
    <s v="Interior"/>
    <s v="La Rioja, La Rioja"/>
    <x v="102"/>
    <x v="11"/>
    <x v="7"/>
    <n v="358"/>
    <n v="475"/>
    <s v="AR"/>
    <s v="LR"/>
    <s v="1"/>
    <s v="02"/>
    <s v="RB_FV"/>
    <s v="LR"/>
    <s v="1d"/>
    <s v="01"/>
    <s v="Road/Truck"/>
    <s v="7d"/>
    <x v="103"/>
    <s v="AR1X07"/>
    <s v="X"/>
    <s v="X"/>
    <s v="Cut Off"/>
  </r>
  <r>
    <s v="Interior"/>
    <s v="Chilecito,La Rioja"/>
    <x v="101"/>
    <x v="11"/>
    <x v="7"/>
    <n v="358"/>
    <n v="476"/>
    <s v="AR"/>
    <s v="LR"/>
    <s v="1"/>
    <s v="01"/>
    <s v="RB_FV"/>
    <s v="LR"/>
    <s v="1d"/>
    <s v="04"/>
    <s v="3PL Direct"/>
    <s v="1d"/>
    <x v="102"/>
    <s v="AR1X01"/>
    <s v="X"/>
    <s v="X"/>
    <s v="No Cut Off"/>
  </r>
  <r>
    <s v="Interior"/>
    <s v="La Rioja, La Rioja"/>
    <x v="102"/>
    <x v="11"/>
    <x v="7"/>
    <n v="358"/>
    <n v="475"/>
    <s v="AR"/>
    <s v="LR"/>
    <s v="1"/>
    <s v="02"/>
    <s v="RB_FV"/>
    <s v="LR"/>
    <s v="1d"/>
    <s v="04"/>
    <s v="3PL Direct"/>
    <s v="1d"/>
    <x v="103"/>
    <s v="AR1X01"/>
    <s v="X"/>
    <s v="X"/>
    <s v="No Cut Off"/>
  </r>
  <r>
    <s v="Interior"/>
    <s v="Acceso Este Rodeo de la Cruz,M"/>
    <x v="103"/>
    <x v="12"/>
    <x v="10"/>
    <n v="261"/>
    <n v="530"/>
    <s v="AR"/>
    <s v="MZ"/>
    <s v="1"/>
    <s v="01"/>
    <s v="RB_FV"/>
    <s v="MZ"/>
    <s v="1d"/>
    <s v="01"/>
    <s v="Road/Truck"/>
    <s v="7d"/>
    <x v="104"/>
    <s v="AR1X07"/>
    <s v="X"/>
    <s v="X"/>
    <s v="Cut Off"/>
  </r>
  <r>
    <s v="Interior"/>
    <s v="Godoy Cruz, Mendonza"/>
    <x v="104"/>
    <x v="12"/>
    <x v="10"/>
    <n v="261"/>
    <n v="520"/>
    <s v="AR"/>
    <s v="MZ"/>
    <s v="1"/>
    <s v="02"/>
    <s v="RB_FV"/>
    <s v="MZ"/>
    <s v="1d"/>
    <s v="01"/>
    <s v="Road/Truck"/>
    <s v="7d"/>
    <x v="105"/>
    <s v="AR1X07"/>
    <s v="X"/>
    <s v="X"/>
    <s v="Cut Off"/>
  </r>
  <r>
    <s v="Interior"/>
    <s v="Gral.Alvear, Mendonza"/>
    <x v="105"/>
    <x v="12"/>
    <x v="10"/>
    <n v="261"/>
    <n v="555"/>
    <s v="AR"/>
    <s v="MZ"/>
    <s v="1"/>
    <s v="03"/>
    <s v="RB_FV"/>
    <s v="MZ"/>
    <s v="1d"/>
    <s v="01"/>
    <s v="Road/Truck"/>
    <s v="7d"/>
    <x v="106"/>
    <s v="AR1X07"/>
    <s v="X"/>
    <s v="X"/>
    <s v="Cut Off"/>
  </r>
  <r>
    <s v="Interior"/>
    <s v="Guaymallen"/>
    <x v="106"/>
    <x v="12"/>
    <x v="10"/>
    <n v="261"/>
    <n v="522"/>
    <s v="AR"/>
    <s v="MZ"/>
    <s v="1"/>
    <s v="04"/>
    <s v="RB_FV"/>
    <s v="MZ"/>
    <s v="1d"/>
    <s v="01"/>
    <s v="Road/Truck"/>
    <s v="7d"/>
    <x v="107"/>
    <s v="AR1X07"/>
    <s v="X"/>
    <s v="X"/>
    <s v="Cut Off"/>
  </r>
  <r>
    <s v="Interior"/>
    <s v="Las Heras, Mendonza"/>
    <x v="107"/>
    <x v="12"/>
    <x v="10"/>
    <n v="261"/>
    <n v="540"/>
    <s v="AR"/>
    <s v="MZ"/>
    <s v="1"/>
    <s v="05"/>
    <s v="RB_FV"/>
    <s v="MZ"/>
    <s v="1d"/>
    <s v="01"/>
    <s v="Road/Truck"/>
    <s v="7d"/>
    <x v="108"/>
    <s v="AR1X07"/>
    <s v="X"/>
    <s v="X"/>
    <s v="Cut Off"/>
  </r>
  <r>
    <s v="Interior"/>
    <s v="Lujan de Cuyo, Mendonza"/>
    <x v="108"/>
    <x v="12"/>
    <x v="10"/>
    <n v="261"/>
    <n v="525"/>
    <s v="AR"/>
    <s v="MZ"/>
    <s v="1"/>
    <s v="06"/>
    <s v="RB_FV"/>
    <s v="MZ"/>
    <s v="1d"/>
    <s v="01"/>
    <s v="Road/Truck"/>
    <s v="7d"/>
    <x v="109"/>
    <s v="AR1X07"/>
    <s v="X"/>
    <s v="X"/>
    <s v="Cut Off"/>
  </r>
  <r>
    <s v="Interior"/>
    <s v="Mendoza, Mendoza"/>
    <x v="109"/>
    <x v="12"/>
    <x v="10"/>
    <n v="261"/>
    <n v="515"/>
    <s v="AR"/>
    <s v="MZ"/>
    <s v="1"/>
    <s v="07"/>
    <s v="RB_FV"/>
    <s v="MZ"/>
    <s v="1d"/>
    <s v="01"/>
    <s v="Road/Truck"/>
    <s v="7d"/>
    <x v="110"/>
    <s v="AR1X07"/>
    <s v="X"/>
    <s v="X"/>
    <s v="Cut Off"/>
  </r>
  <r>
    <s v="Interior"/>
    <s v="Rivadavia, Mendoza"/>
    <x v="110"/>
    <x v="12"/>
    <x v="10"/>
    <n v="261"/>
    <n v="501"/>
    <s v="AR"/>
    <s v="MZ"/>
    <s v="1"/>
    <s v="08"/>
    <s v="RB_FV"/>
    <s v="MZ"/>
    <s v="1d"/>
    <s v="01"/>
    <s v="Road/Truck"/>
    <s v="7d"/>
    <x v="111"/>
    <s v="AR1X07"/>
    <s v="X"/>
    <s v="X"/>
    <s v="Cut Off"/>
  </r>
  <r>
    <s v="Interior"/>
    <s v="San Jose"/>
    <x v="111"/>
    <x v="12"/>
    <x v="10"/>
    <n v="261"/>
    <n v="523"/>
    <s v="AR"/>
    <s v="MZ"/>
    <s v="1"/>
    <s v="09"/>
    <s v="RB_FV"/>
    <s v="MZ"/>
    <s v="1d"/>
    <s v="01"/>
    <s v="Road/Truck"/>
    <s v="7d"/>
    <x v="112"/>
    <s v="AR1X07"/>
    <s v="X"/>
    <s v="X"/>
    <s v="Cut Off"/>
  </r>
  <r>
    <s v="Interior"/>
    <s v="Cuyo 1"/>
    <x v="112"/>
    <x v="12"/>
    <x v="10"/>
    <n v="261"/>
    <n v="261"/>
    <s v="AR"/>
    <s v="MZ"/>
    <s v="1"/>
    <s v="10"/>
    <s v="RB_FV"/>
    <s v="MZ"/>
    <s v="1d"/>
    <s v="01"/>
    <s v="Road/Truck"/>
    <s v="7d"/>
    <x v="113"/>
    <s v="AR1X07"/>
    <s v="X"/>
    <s v="X"/>
    <s v="Cut Off"/>
  </r>
  <r>
    <s v="Interior"/>
    <s v="San Rafael, Mendonza"/>
    <x v="113"/>
    <x v="12"/>
    <x v="10"/>
    <n v="261"/>
    <n v="550"/>
    <s v="AR"/>
    <s v="MZ"/>
    <s v="1"/>
    <s v="11"/>
    <s v="RB_FV"/>
    <s v="MZ"/>
    <s v="1d"/>
    <s v="01"/>
    <s v="Road/Truck"/>
    <s v="7d"/>
    <x v="114"/>
    <s v="AR1X07"/>
    <s v="X"/>
    <s v="X"/>
    <s v="Cut Off"/>
  </r>
  <r>
    <s v="Interior"/>
    <s v="Villanueva, Mendonza"/>
    <x v="114"/>
    <x v="12"/>
    <x v="10"/>
    <n v="261"/>
    <n v="535"/>
    <s v="AR"/>
    <s v="MZ"/>
    <s v="1"/>
    <s v="12"/>
    <s v="RB_FV"/>
    <s v="MZ"/>
    <s v="1d"/>
    <s v="01"/>
    <s v="Road/Truck"/>
    <s v="7d"/>
    <x v="115"/>
    <s v="AR1X07"/>
    <s v="X"/>
    <s v="X"/>
    <s v="Cut Off"/>
  </r>
  <r>
    <s v="Interior"/>
    <s v="Acceso Este Rodeo de la Cruz,M"/>
    <x v="103"/>
    <x v="12"/>
    <x v="10"/>
    <n v="261"/>
    <n v="530"/>
    <s v="AR"/>
    <s v="MZ"/>
    <s v="1"/>
    <s v="01"/>
    <s v="RB_FV"/>
    <s v="MZ"/>
    <s v="1d"/>
    <s v="04"/>
    <s v="3PL Direct"/>
    <s v="2d"/>
    <x v="104"/>
    <s v="AR1X02"/>
    <s v="X"/>
    <s v="X"/>
    <s v="No Cut Off"/>
  </r>
  <r>
    <s v="Interior"/>
    <s v="Godoy Cruz, Mendonza"/>
    <x v="104"/>
    <x v="12"/>
    <x v="10"/>
    <n v="261"/>
    <n v="520"/>
    <s v="AR"/>
    <s v="MZ"/>
    <s v="1"/>
    <s v="02"/>
    <s v="RB_FV"/>
    <s v="MZ"/>
    <s v="1d"/>
    <s v="04"/>
    <s v="3PL Direct"/>
    <s v="2d"/>
    <x v="105"/>
    <s v="AR1X02"/>
    <s v="X"/>
    <s v="X"/>
    <s v="No Cut Off"/>
  </r>
  <r>
    <s v="Interior"/>
    <s v="Gral.Alvear, Mendonza"/>
    <x v="105"/>
    <x v="12"/>
    <x v="10"/>
    <n v="261"/>
    <n v="555"/>
    <s v="AR"/>
    <s v="MZ"/>
    <s v="1"/>
    <s v="03"/>
    <s v="RB_FV"/>
    <s v="MZ"/>
    <s v="1d"/>
    <s v="04"/>
    <s v="3PL Direct"/>
    <s v="2d"/>
    <x v="106"/>
    <s v="AR1X02"/>
    <s v="X"/>
    <s v="X"/>
    <s v="No Cut Off"/>
  </r>
  <r>
    <s v="Interior"/>
    <s v="Guaymallen"/>
    <x v="106"/>
    <x v="12"/>
    <x v="10"/>
    <n v="261"/>
    <n v="522"/>
    <s v="AR"/>
    <s v="MZ"/>
    <s v="1"/>
    <s v="04"/>
    <s v="RB_FV"/>
    <s v="MZ"/>
    <s v="1d"/>
    <s v="04"/>
    <s v="3PL Direct"/>
    <s v="2d"/>
    <x v="107"/>
    <s v="AR1X02"/>
    <s v="X"/>
    <s v="X"/>
    <s v="No Cut Off"/>
  </r>
  <r>
    <s v="Interior"/>
    <s v="Las Heras, Mendonza"/>
    <x v="107"/>
    <x v="12"/>
    <x v="10"/>
    <n v="261"/>
    <n v="540"/>
    <s v="AR"/>
    <s v="MZ"/>
    <s v="1"/>
    <s v="05"/>
    <s v="RB_FV"/>
    <s v="MZ"/>
    <s v="1d"/>
    <s v="04"/>
    <s v="3PL Direct"/>
    <s v="2d"/>
    <x v="108"/>
    <s v="AR1X02"/>
    <s v="X"/>
    <s v="X"/>
    <s v="No Cut Off"/>
  </r>
  <r>
    <s v="Interior"/>
    <s v="Lujan de Cuyo, Mendonza"/>
    <x v="108"/>
    <x v="12"/>
    <x v="10"/>
    <n v="261"/>
    <n v="525"/>
    <s v="AR"/>
    <s v="MZ"/>
    <s v="1"/>
    <s v="06"/>
    <s v="RB_FV"/>
    <s v="MZ"/>
    <s v="1d"/>
    <s v="04"/>
    <s v="3PL Direct"/>
    <s v="2d"/>
    <x v="109"/>
    <s v="AR1X02"/>
    <s v="X"/>
    <s v="X"/>
    <s v="No Cut Off"/>
  </r>
  <r>
    <s v="Interior"/>
    <s v="Mendoza, Mendoza"/>
    <x v="109"/>
    <x v="12"/>
    <x v="10"/>
    <n v="261"/>
    <n v="515"/>
    <s v="AR"/>
    <s v="MZ"/>
    <s v="1"/>
    <s v="07"/>
    <s v="RB_FV"/>
    <s v="MZ"/>
    <s v="1d"/>
    <s v="04"/>
    <s v="3PL Direct"/>
    <s v="2d"/>
    <x v="110"/>
    <s v="AR1X02"/>
    <s v="X"/>
    <s v="X"/>
    <s v="No Cut Off"/>
  </r>
  <r>
    <s v="Interior"/>
    <s v="Rivadavia, Mendoza"/>
    <x v="110"/>
    <x v="12"/>
    <x v="10"/>
    <n v="261"/>
    <n v="501"/>
    <s v="AR"/>
    <s v="MZ"/>
    <s v="1"/>
    <s v="08"/>
    <s v="RB_FV"/>
    <s v="MZ"/>
    <s v="1d"/>
    <s v="04"/>
    <s v="3PL Direct"/>
    <s v="2d"/>
    <x v="111"/>
    <s v="AR1X02"/>
    <s v="X"/>
    <s v="X"/>
    <s v="No Cut Off"/>
  </r>
  <r>
    <s v="Interior"/>
    <s v="San Jose"/>
    <x v="111"/>
    <x v="12"/>
    <x v="10"/>
    <n v="261"/>
    <n v="523"/>
    <s v="AR"/>
    <s v="MZ"/>
    <s v="1"/>
    <s v="09"/>
    <s v="RB_FV"/>
    <s v="MZ"/>
    <s v="1d"/>
    <s v="04"/>
    <s v="3PL Direct"/>
    <s v="2d"/>
    <x v="112"/>
    <s v="AR1X02"/>
    <s v="X"/>
    <s v="X"/>
    <s v="No Cut Off"/>
  </r>
  <r>
    <s v="Interior"/>
    <s v="Cuyo 1"/>
    <x v="112"/>
    <x v="12"/>
    <x v="10"/>
    <n v="261"/>
    <n v="261"/>
    <s v="AR"/>
    <s v="MZ"/>
    <s v="1"/>
    <s v="10"/>
    <s v="RB_FV"/>
    <s v="MZ"/>
    <s v="1d"/>
    <s v="04"/>
    <s v="3PL Direct"/>
    <s v="2d"/>
    <x v="113"/>
    <s v="AR1X02"/>
    <s v="X"/>
    <s v="X"/>
    <s v="No Cut Off"/>
  </r>
  <r>
    <s v="Interior"/>
    <s v="San Rafael, Mendonza"/>
    <x v="115"/>
    <x v="12"/>
    <x v="10"/>
    <n v="261"/>
    <n v="550"/>
    <s v="AR"/>
    <s v="MZ"/>
    <s v="1"/>
    <s v="11"/>
    <s v="RB_FV"/>
    <s v="MZ"/>
    <s v="1d"/>
    <s v="04"/>
    <s v="3PL Direct"/>
    <s v="2d"/>
    <x v="114"/>
    <s v="AR1X02"/>
    <s v="X"/>
    <s v="X"/>
    <s v="No Cut Off"/>
  </r>
  <r>
    <s v="Interior"/>
    <s v="Villanueva, Mendonza"/>
    <x v="114"/>
    <x v="12"/>
    <x v="10"/>
    <n v="261"/>
    <n v="535"/>
    <s v="AR"/>
    <s v="MZ"/>
    <s v="1"/>
    <s v="12"/>
    <s v="RB_FV"/>
    <s v="MZ"/>
    <s v="1d"/>
    <s v="04"/>
    <s v="3PL Direct"/>
    <s v="2d"/>
    <x v="115"/>
    <s v="AR1X02"/>
    <s v="X"/>
    <s v="X"/>
    <s v="No Cut Off"/>
  </r>
  <r>
    <s v="Interior"/>
    <s v="Eldorado, Misiones"/>
    <x v="116"/>
    <x v="13"/>
    <x v="8"/>
    <n v="349"/>
    <n v="325"/>
    <s v="AR"/>
    <s v="MI"/>
    <s v="1"/>
    <s v="01"/>
    <s v="RB_FV"/>
    <s v="MI"/>
    <s v="1d"/>
    <s v="01"/>
    <s v="Road/Truck"/>
    <s v="7d"/>
    <x v="116"/>
    <s v="AR1X07"/>
    <s v="X"/>
    <s v="X"/>
    <s v="Cut Off"/>
  </r>
  <r>
    <s v="Interior"/>
    <s v="Jardin America, Misiones"/>
    <x v="117"/>
    <x v="13"/>
    <x v="8"/>
    <n v="349"/>
    <n v="310"/>
    <s v="AR"/>
    <s v="MI"/>
    <s v="1"/>
    <s v="02"/>
    <s v="RB_FV"/>
    <s v="MI"/>
    <s v="1d"/>
    <s v="01"/>
    <s v="Road/Truck"/>
    <s v="7d"/>
    <x v="117"/>
    <s v="AR1X07"/>
    <s v="X"/>
    <s v="X"/>
    <s v="Cut Off"/>
  </r>
  <r>
    <s v="Interior"/>
    <s v="Leandro N. Alem, Misiones"/>
    <x v="118"/>
    <x v="13"/>
    <x v="8"/>
    <n v="349"/>
    <n v="305"/>
    <s v="AR"/>
    <s v="MI"/>
    <s v="1"/>
    <s v="03"/>
    <s v="RB_FV"/>
    <s v="MI"/>
    <s v="1d"/>
    <s v="01"/>
    <s v="Road/Truck"/>
    <s v="7d"/>
    <x v="118"/>
    <s v="AR1X07"/>
    <s v="X"/>
    <s v="X"/>
    <s v="Cut Off"/>
  </r>
  <r>
    <s v="Interior"/>
    <s v="Obera, Misiones"/>
    <x v="113"/>
    <x v="13"/>
    <x v="8"/>
    <n v="349"/>
    <n v="320"/>
    <s v="AR"/>
    <s v="MI"/>
    <s v="1"/>
    <s v="04"/>
    <s v="RB_FV"/>
    <s v="MI"/>
    <s v="1d"/>
    <s v="01"/>
    <s v="Road/Truck"/>
    <s v="7d"/>
    <x v="119"/>
    <s v="AR1X07"/>
    <s v="X"/>
    <s v="X"/>
    <s v="Cut Off"/>
  </r>
  <r>
    <s v="Interior"/>
    <s v="Posadas, Misiones"/>
    <x v="119"/>
    <x v="13"/>
    <x v="8"/>
    <n v="349"/>
    <n v="300"/>
    <s v="AR"/>
    <s v="MI"/>
    <s v="1"/>
    <s v="05"/>
    <s v="RB_FV"/>
    <s v="MI"/>
    <s v="1d"/>
    <s v="01"/>
    <s v="Road/Truck"/>
    <s v="7d"/>
    <x v="120"/>
    <s v="AR1X07"/>
    <s v="X"/>
    <s v="X"/>
    <s v="Cut Off"/>
  </r>
  <r>
    <s v="Interior"/>
    <s v="Puerto Rico, Misiones"/>
    <x v="120"/>
    <x v="13"/>
    <x v="8"/>
    <n v="349"/>
    <n v="315"/>
    <s v="AR"/>
    <s v="MI"/>
    <s v="1"/>
    <s v="06"/>
    <s v="RB_FV"/>
    <s v="MI"/>
    <s v="1d"/>
    <s v="01"/>
    <s v="Road/Truck"/>
    <s v="7d"/>
    <x v="121"/>
    <s v="AR1X07"/>
    <s v="X"/>
    <s v="X"/>
    <s v="Cut Off"/>
  </r>
  <r>
    <s v="Interior"/>
    <s v="Eldorado, Misiones"/>
    <x v="116"/>
    <x v="13"/>
    <x v="8"/>
    <n v="349"/>
    <n v="325"/>
    <s v="AR"/>
    <s v="MI"/>
    <s v="1"/>
    <s v="01"/>
    <s v="RB_FV"/>
    <s v="MI"/>
    <s v="1d"/>
    <s v="04"/>
    <s v="3PL Direct"/>
    <s v="2d"/>
    <x v="116"/>
    <s v="AR1X02"/>
    <s v="X"/>
    <s v="X"/>
    <s v="No Cut Off"/>
  </r>
  <r>
    <s v="Interior"/>
    <s v="Jardin America, Misiones"/>
    <x v="117"/>
    <x v="13"/>
    <x v="8"/>
    <n v="349"/>
    <n v="310"/>
    <s v="AR"/>
    <s v="MI"/>
    <s v="1"/>
    <s v="02"/>
    <s v="RB_FV"/>
    <s v="MI"/>
    <s v="1d"/>
    <s v="04"/>
    <s v="3PL Direct"/>
    <s v="2d"/>
    <x v="117"/>
    <s v="AR1X02"/>
    <s v="X"/>
    <s v="X"/>
    <s v="No Cut Off"/>
  </r>
  <r>
    <s v="Interior"/>
    <s v="Leandro N. Alem, Misiones"/>
    <x v="118"/>
    <x v="13"/>
    <x v="8"/>
    <n v="349"/>
    <n v="305"/>
    <s v="AR"/>
    <s v="MI"/>
    <s v="1"/>
    <s v="03"/>
    <s v="RB_FV"/>
    <s v="MI"/>
    <s v="1d"/>
    <s v="04"/>
    <s v="3PL Direct"/>
    <s v="2d"/>
    <x v="118"/>
    <s v="AR1X02"/>
    <s v="X"/>
    <s v="X"/>
    <s v="No Cut Off"/>
  </r>
  <r>
    <s v="Interior"/>
    <s v="Obera, Misiones"/>
    <x v="113"/>
    <x v="13"/>
    <x v="8"/>
    <n v="349"/>
    <n v="320"/>
    <s v="AR"/>
    <s v="MI"/>
    <s v="1"/>
    <s v="04"/>
    <s v="RB_FV"/>
    <s v="MI"/>
    <s v="1d"/>
    <s v="04"/>
    <s v="3PL Direct"/>
    <s v="2d"/>
    <x v="119"/>
    <s v="AR1X02"/>
    <s v="X"/>
    <s v="X"/>
    <s v="No Cut Off"/>
  </r>
  <r>
    <s v="Interior"/>
    <s v="Posadas, Misiones"/>
    <x v="119"/>
    <x v="13"/>
    <x v="8"/>
    <n v="349"/>
    <n v="300"/>
    <s v="AR"/>
    <s v="MI"/>
    <s v="1"/>
    <s v="05"/>
    <s v="RB_FV"/>
    <s v="MI"/>
    <s v="1d"/>
    <s v="04"/>
    <s v="3PL Direct"/>
    <s v="2d"/>
    <x v="120"/>
    <s v="AR1X02"/>
    <s v="X"/>
    <s v="X"/>
    <s v="No Cut Off"/>
  </r>
  <r>
    <s v="Interior"/>
    <s v="Puerto Rico, Misiones"/>
    <x v="120"/>
    <x v="13"/>
    <x v="8"/>
    <n v="349"/>
    <n v="315"/>
    <s v="AR"/>
    <s v="MI"/>
    <s v="1"/>
    <s v="06"/>
    <s v="RB_FV"/>
    <s v="MI"/>
    <s v="1d"/>
    <s v="04"/>
    <s v="3PL Direct"/>
    <s v="2d"/>
    <x v="121"/>
    <s v="AR1X02"/>
    <s v="X"/>
    <s v="X"/>
    <s v="No Cut Off"/>
  </r>
  <r>
    <s v="Interior"/>
    <s v="Choele Choel, Rio Negro"/>
    <x v="121"/>
    <x v="14"/>
    <x v="3"/>
    <n v="294"/>
    <n v="918"/>
    <s v="AR"/>
    <s v="RN"/>
    <s v="1"/>
    <s v="01"/>
    <s v="RB_FV"/>
    <s v="RN"/>
    <s v="1d"/>
    <s v="01"/>
    <s v="Road/Truck"/>
    <s v="7d"/>
    <x v="122"/>
    <s v="AR1X07"/>
    <s v="X"/>
    <s v="X"/>
    <s v="Cut Off"/>
  </r>
  <r>
    <s v="Interior"/>
    <s v="Cipolletti, Rio Negro"/>
    <x v="122"/>
    <x v="14"/>
    <x v="3"/>
    <n v="294"/>
    <n v="908"/>
    <s v="AR"/>
    <s v="RN"/>
    <s v="1"/>
    <s v="02"/>
    <s v="RB_FV"/>
    <s v="RN"/>
    <s v="1d"/>
    <s v="01"/>
    <s v="Road/Truck"/>
    <s v="7d"/>
    <x v="123"/>
    <s v="AR1X07"/>
    <s v="X"/>
    <s v="X"/>
    <s v="Cut Off"/>
  </r>
  <r>
    <s v="Interior"/>
    <s v="El Bolson, Rio Negro"/>
    <x v="123"/>
    <x v="14"/>
    <x v="3"/>
    <n v="294"/>
    <n v="930"/>
    <s v="AR"/>
    <s v="RN"/>
    <s v="1"/>
    <s v="03"/>
    <s v="RB_FV"/>
    <s v="RN"/>
    <s v="1d"/>
    <s v="01"/>
    <s v="Road/Truck"/>
    <s v="7d"/>
    <x v="124"/>
    <s v="AR1X07"/>
    <s v="X"/>
    <s v="X"/>
    <s v="Cut Off"/>
  </r>
  <r>
    <s v="Interior"/>
    <s v="Gral. Roca, Rio Negro"/>
    <x v="124"/>
    <x v="14"/>
    <x v="3"/>
    <n v="294"/>
    <n v="910"/>
    <s v="AR"/>
    <s v="RN"/>
    <s v="1"/>
    <s v="04"/>
    <s v="RB_FV"/>
    <s v="RN"/>
    <s v="1d"/>
    <s v="01"/>
    <s v="Road/Truck"/>
    <s v="7d"/>
    <x v="125"/>
    <s v="AR1X07"/>
    <s v="X"/>
    <s v="X"/>
    <s v="Cut Off"/>
  </r>
  <r>
    <s v="Interior"/>
    <s v="Rio Negro"/>
    <x v="125"/>
    <x v="14"/>
    <x v="3"/>
    <n v="294"/>
    <n v="283"/>
    <s v="AR"/>
    <s v="RN"/>
    <s v="1"/>
    <s v="05"/>
    <s v="RB_FV"/>
    <s v="RN"/>
    <s v="1d"/>
    <s v="01"/>
    <s v="Road/Truck"/>
    <s v="7d"/>
    <x v="126"/>
    <s v="AR1X07"/>
    <s v="X"/>
    <s v="X"/>
    <s v="Cut Off"/>
  </r>
  <r>
    <s v="Interior"/>
    <s v="San C. de Bariloche, Rio Negro"/>
    <x v="126"/>
    <x v="14"/>
    <x v="3"/>
    <n v="294"/>
    <n v="925"/>
    <s v="AR"/>
    <s v="RN"/>
    <s v="1"/>
    <s v="06"/>
    <s v="RB_FV"/>
    <s v="RN"/>
    <s v="1d"/>
    <s v="01"/>
    <s v="Road/Truck"/>
    <s v="7d"/>
    <x v="127"/>
    <s v="AR1X07"/>
    <s v="X"/>
    <s v="X"/>
    <s v="Cut Off"/>
  </r>
  <r>
    <s v="Interior"/>
    <s v="Viedma, Rio Negro"/>
    <x v="127"/>
    <x v="14"/>
    <x v="3"/>
    <n v="294"/>
    <n v="935"/>
    <s v="AR"/>
    <s v="RN"/>
    <s v="1"/>
    <s v="07"/>
    <s v="RB_FV"/>
    <s v="RN"/>
    <s v="1d"/>
    <s v="01"/>
    <s v="Road/Truck"/>
    <s v="7d"/>
    <x v="128"/>
    <s v="AR1X07"/>
    <s v="X"/>
    <s v="X"/>
    <s v="Cut Off"/>
  </r>
  <r>
    <s v="Interior"/>
    <s v="Villa Regina, Rio Negro"/>
    <x v="128"/>
    <x v="14"/>
    <x v="3"/>
    <n v="294"/>
    <n v="912"/>
    <s v="AR"/>
    <s v="RN"/>
    <s v="1"/>
    <s v="08"/>
    <s v="RB_FV"/>
    <s v="RN"/>
    <s v="1d"/>
    <s v="01"/>
    <s v="Road/Truck"/>
    <s v="7d"/>
    <x v="129"/>
    <s v="AR1X07"/>
    <s v="X"/>
    <s v="X"/>
    <s v="Cut Off"/>
  </r>
  <r>
    <s v="Interior"/>
    <s v="Choele Choel, Rio Negro"/>
    <x v="121"/>
    <x v="14"/>
    <x v="3"/>
    <n v="294"/>
    <n v="918"/>
    <s v="AR"/>
    <s v="RN"/>
    <s v="1"/>
    <s v="01"/>
    <s v="RB_FV"/>
    <s v="RN"/>
    <s v="1d"/>
    <s v="04"/>
    <s v="3PL Direct"/>
    <s v="1d"/>
    <x v="122"/>
    <s v="AR1X01"/>
    <s v="X"/>
    <s v="X"/>
    <s v="No Cut Off"/>
  </r>
  <r>
    <s v="Interior"/>
    <s v="Cipolletti, Rio Negro"/>
    <x v="122"/>
    <x v="14"/>
    <x v="3"/>
    <n v="294"/>
    <n v="908"/>
    <s v="AR"/>
    <s v="RN"/>
    <s v="1"/>
    <s v="02"/>
    <s v="RB_FV"/>
    <s v="RN"/>
    <s v="1d"/>
    <s v="04"/>
    <s v="3PL Direct"/>
    <s v="1d"/>
    <x v="123"/>
    <s v="AR1X01"/>
    <s v="X"/>
    <s v="X"/>
    <s v="No Cut Off"/>
  </r>
  <r>
    <s v="Interior"/>
    <s v="El Bolson, Rio Negro"/>
    <x v="123"/>
    <x v="14"/>
    <x v="3"/>
    <n v="294"/>
    <n v="930"/>
    <s v="AR"/>
    <s v="RN"/>
    <s v="1"/>
    <s v="03"/>
    <s v="RB_FV"/>
    <s v="RN"/>
    <s v="1d"/>
    <s v="04"/>
    <s v="3PL Direct"/>
    <s v="1d"/>
    <x v="124"/>
    <s v="AR1X01"/>
    <s v="X"/>
    <s v="X"/>
    <s v="No Cut Off"/>
  </r>
  <r>
    <s v="Interior"/>
    <s v="Gral. Roca, Rio Negro"/>
    <x v="124"/>
    <x v="14"/>
    <x v="3"/>
    <n v="294"/>
    <n v="910"/>
    <s v="AR"/>
    <s v="RN"/>
    <s v="1"/>
    <s v="04"/>
    <s v="RB_FV"/>
    <s v="RN"/>
    <s v="1d"/>
    <s v="04"/>
    <s v="3PL Direct"/>
    <s v="1d"/>
    <x v="125"/>
    <s v="AR1X01"/>
    <s v="X"/>
    <s v="X"/>
    <s v="No Cut Off"/>
  </r>
  <r>
    <s v="Interior"/>
    <s v="Rio Negro"/>
    <x v="125"/>
    <x v="14"/>
    <x v="3"/>
    <n v="294"/>
    <n v="283"/>
    <s v="AR"/>
    <s v="RN"/>
    <s v="1"/>
    <s v="05"/>
    <s v="RB_FV"/>
    <s v="RN"/>
    <s v="1d"/>
    <s v="04"/>
    <s v="3PL Direct"/>
    <s v="1d"/>
    <x v="126"/>
    <s v="AR1X01"/>
    <s v="X"/>
    <s v="X"/>
    <s v="No Cut Off"/>
  </r>
  <r>
    <s v="Interior"/>
    <s v="San C. de Bariloche, Rio Negro"/>
    <x v="126"/>
    <x v="14"/>
    <x v="3"/>
    <n v="294"/>
    <n v="925"/>
    <s v="AR"/>
    <s v="RN"/>
    <s v="1"/>
    <s v="06"/>
    <s v="RB_FV"/>
    <s v="RN"/>
    <s v="1d"/>
    <s v="04"/>
    <s v="3PL Direct"/>
    <s v="1d"/>
    <x v="127"/>
    <s v="AR1X01"/>
    <s v="X"/>
    <s v="X"/>
    <s v="No Cut Off"/>
  </r>
  <r>
    <s v="Interior"/>
    <s v="Viedma, Rio Negro"/>
    <x v="127"/>
    <x v="14"/>
    <x v="3"/>
    <n v="294"/>
    <n v="935"/>
    <s v="AR"/>
    <s v="RN"/>
    <s v="1"/>
    <s v="07"/>
    <s v="RB_FV"/>
    <s v="RN"/>
    <s v="1d"/>
    <s v="04"/>
    <s v="3PL Direct"/>
    <s v="1d"/>
    <x v="128"/>
    <s v="AR1X01"/>
    <s v="X"/>
    <s v="X"/>
    <s v="No Cut Off"/>
  </r>
  <r>
    <s v="Interior"/>
    <s v="Villa Regina, Rio Negro"/>
    <x v="128"/>
    <x v="14"/>
    <x v="3"/>
    <n v="294"/>
    <n v="912"/>
    <s v="AR"/>
    <s v="RN"/>
    <s v="1"/>
    <s v="08"/>
    <s v="RB_FV"/>
    <s v="RN"/>
    <s v="1d"/>
    <s v="04"/>
    <s v="3PL Direct"/>
    <s v="1d"/>
    <x v="129"/>
    <s v="AR1X01"/>
    <s v="X"/>
    <s v="X"/>
    <s v="No Cut Off"/>
  </r>
  <r>
    <s v="Interior"/>
    <s v="Cerrillos,Salta"/>
    <x v="129"/>
    <x v="15"/>
    <x v="6"/>
    <n v="352"/>
    <n v="411"/>
    <s v="AR"/>
    <s v="SA"/>
    <s v="1"/>
    <s v="01"/>
    <s v="RB_FV"/>
    <s v="SA"/>
    <s v="1d"/>
    <s v="01"/>
    <s v="Road/Truck"/>
    <s v="7d"/>
    <x v="130"/>
    <s v="AR1X07"/>
    <s v="X"/>
    <s v="X"/>
    <s v="Cut Off"/>
  </r>
  <r>
    <s v="Interior"/>
    <s v="Pocitos, Salta"/>
    <x v="130"/>
    <x v="15"/>
    <x v="6"/>
    <n v="352"/>
    <n v="455"/>
    <s v="AR"/>
    <s v="SA"/>
    <s v="1"/>
    <s v="02"/>
    <s v="RB_FV"/>
    <s v="SA"/>
    <s v="1d"/>
    <s v="01"/>
    <s v="Road/Truck"/>
    <s v="7d"/>
    <x v="131"/>
    <s v="AR1X07"/>
    <s v="X"/>
    <s v="X"/>
    <s v="Cut Off"/>
  </r>
  <r>
    <s v="Interior"/>
    <s v="Salta, Salta"/>
    <x v="131"/>
    <x v="15"/>
    <x v="6"/>
    <n v="352"/>
    <n v="440"/>
    <s v="AR"/>
    <s v="SA"/>
    <s v="1"/>
    <s v="03"/>
    <s v="RB_FV"/>
    <s v="SA"/>
    <s v="1d"/>
    <s v="01"/>
    <s v="Road/Truck"/>
    <s v="7d"/>
    <x v="132"/>
    <s v="AR1X07"/>
    <s v="X"/>
    <s v="X"/>
    <s v="Cut Off"/>
  </r>
  <r>
    <s v="Interior"/>
    <s v="Cerrillos,Salta"/>
    <x v="129"/>
    <x v="15"/>
    <x v="6"/>
    <n v="352"/>
    <n v="411"/>
    <s v="AR"/>
    <s v="SA"/>
    <s v="1"/>
    <s v="01"/>
    <s v="RB_FV"/>
    <s v="SA"/>
    <s v="1d"/>
    <s v="04"/>
    <s v="3PL Direct"/>
    <s v="2d"/>
    <x v="130"/>
    <s v="AR1X02"/>
    <s v="X"/>
    <s v="X"/>
    <s v="No Cut Off"/>
  </r>
  <r>
    <s v="Interior"/>
    <s v="Pocitos, Salta"/>
    <x v="130"/>
    <x v="15"/>
    <x v="6"/>
    <n v="352"/>
    <n v="455"/>
    <s v="AR"/>
    <s v="SA"/>
    <s v="1"/>
    <s v="02"/>
    <s v="RB_FV"/>
    <s v="SA"/>
    <s v="1d"/>
    <s v="04"/>
    <s v="3PL Direct"/>
    <s v="2d"/>
    <x v="131"/>
    <s v="AR1X02"/>
    <s v="X"/>
    <s v="X"/>
    <s v="No Cut Off"/>
  </r>
  <r>
    <s v="Interior"/>
    <s v="Salta, Salta"/>
    <x v="131"/>
    <x v="15"/>
    <x v="6"/>
    <n v="352"/>
    <n v="440"/>
    <s v="AR"/>
    <s v="SA"/>
    <s v="1"/>
    <s v="03"/>
    <s v="RB_FV"/>
    <s v="SA"/>
    <s v="1d"/>
    <s v="04"/>
    <s v="3PL Direct"/>
    <s v="2d"/>
    <x v="132"/>
    <s v="AR1X02"/>
    <s v="X"/>
    <s v="X"/>
    <s v="No Cut Off"/>
  </r>
  <r>
    <s v="Interior"/>
    <s v="San Juan , San Juan"/>
    <x v="132"/>
    <x v="16"/>
    <x v="10"/>
    <n v="264"/>
    <n v="500"/>
    <s v="AR"/>
    <s v="SJ"/>
    <s v="1"/>
    <s v="01"/>
    <s v="RB_FV"/>
    <s v="SJ"/>
    <s v="1d"/>
    <s v="01"/>
    <s v="Road/Truck"/>
    <s v="7d"/>
    <x v="133"/>
    <s v="AR1X07"/>
    <s v="X"/>
    <s v="X"/>
    <s v="Cut Off"/>
  </r>
  <r>
    <s v="Interior"/>
    <s v="Santa Lucia , San Juan"/>
    <x v="133"/>
    <x v="16"/>
    <x v="10"/>
    <n v="264"/>
    <n v="505"/>
    <s v="AR"/>
    <s v="SJ"/>
    <s v="1"/>
    <s v="02"/>
    <s v="RB_FV"/>
    <s v="SJ"/>
    <s v="1d"/>
    <s v="01"/>
    <s v="Road/Truck"/>
    <s v="7d"/>
    <x v="134"/>
    <s v="AR1X07"/>
    <s v="X"/>
    <s v="X"/>
    <s v="Cut Off"/>
  </r>
  <r>
    <s v="Interior"/>
    <s v="Villa Krause, San Juan"/>
    <x v="134"/>
    <x v="16"/>
    <x v="10"/>
    <n v="264"/>
    <n v="510"/>
    <s v="AR"/>
    <s v="SJ"/>
    <s v="1"/>
    <s v="03"/>
    <s v="RB_FV"/>
    <s v="SJ"/>
    <s v="1d"/>
    <s v="01"/>
    <s v="Road/Truck"/>
    <s v="7d"/>
    <x v="135"/>
    <s v="AR1X07"/>
    <s v="X"/>
    <s v="X"/>
    <s v="Cut Off"/>
  </r>
  <r>
    <s v="Interior"/>
    <s v="San Juan , San Juan"/>
    <x v="132"/>
    <x v="16"/>
    <x v="10"/>
    <n v="264"/>
    <n v="500"/>
    <s v="AR"/>
    <s v="SJ"/>
    <s v="1"/>
    <s v="01"/>
    <s v="RB_FV"/>
    <s v="SJ"/>
    <s v="1d"/>
    <s v="04"/>
    <s v="3PL Direct"/>
    <s v="2d"/>
    <x v="133"/>
    <s v="AR1X02"/>
    <s v="X"/>
    <s v="X"/>
    <s v="No Cut Off"/>
  </r>
  <r>
    <s v="Interior"/>
    <s v="Santa Lucia , San Juan"/>
    <x v="133"/>
    <x v="16"/>
    <x v="10"/>
    <n v="264"/>
    <n v="505"/>
    <s v="AR"/>
    <s v="SJ"/>
    <s v="1"/>
    <s v="02"/>
    <s v="RB_FV"/>
    <s v="SJ"/>
    <s v="1d"/>
    <s v="04"/>
    <s v="3PL Direct"/>
    <s v="2d"/>
    <x v="134"/>
    <s v="AR1X02"/>
    <s v="X"/>
    <s v="X"/>
    <s v="No Cut Off"/>
  </r>
  <r>
    <s v="Interior"/>
    <s v="Villa Krause, San Juan"/>
    <x v="134"/>
    <x v="16"/>
    <x v="10"/>
    <n v="264"/>
    <n v="510"/>
    <s v="AR"/>
    <s v="SJ"/>
    <s v="1"/>
    <s v="03"/>
    <s v="RB_FV"/>
    <s v="SJ"/>
    <s v="1d"/>
    <s v="04"/>
    <s v="3PL Direct"/>
    <s v="2d"/>
    <x v="135"/>
    <s v="AR1X02"/>
    <s v="X"/>
    <s v="X"/>
    <s v="No Cut Off"/>
  </r>
  <r>
    <s v="Interior"/>
    <s v="San Luis, San Luis"/>
    <x v="135"/>
    <x v="17"/>
    <x v="10"/>
    <n v="265"/>
    <n v="565"/>
    <s v="AR"/>
    <s v="SL"/>
    <s v="1"/>
    <s v="01"/>
    <s v="RB_FV"/>
    <s v="SL"/>
    <s v="1d"/>
    <s v="01"/>
    <s v="Road/Truck"/>
    <s v="7d"/>
    <x v="136"/>
    <s v="AR1X07"/>
    <s v="X"/>
    <s v="X"/>
    <s v="Cut Off"/>
  </r>
  <r>
    <s v="Interior"/>
    <s v="Villa Mercedes, San Luis"/>
    <x v="136"/>
    <x v="17"/>
    <x v="10"/>
    <n v="265"/>
    <n v="570"/>
    <s v="AR"/>
    <s v="SL"/>
    <s v="1"/>
    <s v="02"/>
    <s v="RB_FV"/>
    <s v="SL"/>
    <s v="1d"/>
    <s v="01"/>
    <s v="Road/Truck"/>
    <s v="7d"/>
    <x v="137"/>
    <s v="AR1X07"/>
    <s v="X"/>
    <s v="X"/>
    <s v="Cut Off"/>
  </r>
  <r>
    <s v="Interior"/>
    <s v="San Luis, San Luis"/>
    <x v="135"/>
    <x v="17"/>
    <x v="10"/>
    <n v="265"/>
    <n v="565"/>
    <s v="AR"/>
    <s v="SL"/>
    <s v="1"/>
    <s v="01"/>
    <s v="RB_FV"/>
    <s v="SL"/>
    <s v="1d"/>
    <s v="04"/>
    <s v="3PL Direct"/>
    <s v="2d"/>
    <x v="136"/>
    <s v="AR1X02"/>
    <s v="X"/>
    <s v="X"/>
    <s v="No Cut Off"/>
  </r>
  <r>
    <s v="Interior"/>
    <s v="Villa Mercedes, San Luis"/>
    <x v="136"/>
    <x v="17"/>
    <x v="10"/>
    <n v="265"/>
    <n v="570"/>
    <s v="AR"/>
    <s v="SL"/>
    <s v="1"/>
    <s v="02"/>
    <s v="RB_FV"/>
    <s v="SL"/>
    <s v="1d"/>
    <s v="04"/>
    <s v="3PL Direct"/>
    <s v="2d"/>
    <x v="137"/>
    <s v="AR1X02"/>
    <s v="X"/>
    <s v="X"/>
    <s v="No Cut Off"/>
  </r>
  <r>
    <s v="Interior"/>
    <s v="Caleta Olivia,Santa Cruz"/>
    <x v="137"/>
    <x v="18"/>
    <x v="11"/>
    <n v="270"/>
    <n v="959"/>
    <s v="AR"/>
    <s v="SC"/>
    <s v="1"/>
    <s v="01"/>
    <s v="RB_FV"/>
    <s v="SC"/>
    <s v="1d"/>
    <s v="01"/>
    <s v="Road/Truck"/>
    <s v="12d"/>
    <x v="138"/>
    <s v="AR1X12"/>
    <s v="X"/>
    <s v="X"/>
    <s v="Cut Off"/>
  </r>
  <r>
    <s v="Interior"/>
    <s v="Cte.Luis Piedrabuena,Santa Cru"/>
    <x v="138"/>
    <x v="18"/>
    <x v="11"/>
    <n v="270"/>
    <n v="970"/>
    <s v="AR"/>
    <s v="SC"/>
    <s v="1"/>
    <s v="02"/>
    <s v="RB_FV"/>
    <s v="SC"/>
    <s v="1d"/>
    <s v="01"/>
    <s v="Road/Truck"/>
    <s v="12d"/>
    <x v="139"/>
    <s v="AR1X12"/>
    <s v="X"/>
    <s v="X"/>
    <s v="Cut Off"/>
  </r>
  <r>
    <s v="Interior"/>
    <s v="El Calafate, Santa Cruz"/>
    <x v="139"/>
    <x v="18"/>
    <x v="11"/>
    <n v="270"/>
    <n v="980"/>
    <s v="AR"/>
    <s v="SC"/>
    <s v="1"/>
    <s v="03"/>
    <s v="RB_FV"/>
    <s v="SC"/>
    <s v="1d"/>
    <s v="01"/>
    <s v="Road/Truck"/>
    <s v="12d"/>
    <x v="140"/>
    <s v="AR1X12"/>
    <s v="X"/>
    <s v="X"/>
    <s v="Cut Off"/>
  </r>
  <r>
    <s v="Interior"/>
    <s v="Gobernador Gregores,Santa Cruz"/>
    <x v="140"/>
    <x v="18"/>
    <x v="11"/>
    <n v="270"/>
    <n v="974"/>
    <s v="AR"/>
    <s v="SC"/>
    <s v="1"/>
    <s v="04"/>
    <s v="RB_FV"/>
    <s v="SC"/>
    <s v="1d"/>
    <s v="01"/>
    <s v="Road/Truck"/>
    <s v="12d"/>
    <x v="141"/>
    <s v="AR1X12"/>
    <s v="X"/>
    <s v="X"/>
    <s v="Cut Off"/>
  </r>
  <r>
    <s v="Interior"/>
    <s v="Los Antiguos, Santa Cruz"/>
    <x v="141"/>
    <x v="18"/>
    <x v="11"/>
    <n v="270"/>
    <n v="958"/>
    <s v="AR"/>
    <s v="SC"/>
    <s v="1"/>
    <s v="05"/>
    <s v="RB_FV"/>
    <s v="SC"/>
    <s v="1d"/>
    <s v="01"/>
    <s v="Road/Truck"/>
    <s v="12d"/>
    <x v="142"/>
    <s v="AR1X12"/>
    <s v="X"/>
    <s v="X"/>
    <s v="Cut Off"/>
  </r>
  <r>
    <s v="Interior"/>
    <s v="Patagonia"/>
    <x v="142"/>
    <x v="18"/>
    <x v="11"/>
    <n v="270"/>
    <n v="296"/>
    <s v="AR"/>
    <s v="SC"/>
    <s v="1"/>
    <s v="06"/>
    <s v="RB_FV"/>
    <s v="SC"/>
    <s v="1d"/>
    <s v="01"/>
    <s v="Road/Truck"/>
    <s v="12d"/>
    <x v="143"/>
    <s v="AR1X12"/>
    <s v="X"/>
    <s v="X"/>
    <s v="Cut Off"/>
  </r>
  <r>
    <s v="Interior"/>
    <s v="Perito Moreno, Santa Cruz"/>
    <x v="143"/>
    <x v="18"/>
    <x v="11"/>
    <n v="270"/>
    <n v="956"/>
    <s v="AR"/>
    <s v="SC"/>
    <s v="1"/>
    <s v="07"/>
    <s v="RB_FV"/>
    <s v="SC"/>
    <s v="1d"/>
    <s v="01"/>
    <s v="Road/Truck"/>
    <s v="12d"/>
    <x v="144"/>
    <s v="AR1X12"/>
    <s v="X"/>
    <s v="X"/>
    <s v="Cut Off"/>
  </r>
  <r>
    <s v="Interior"/>
    <s v="Pico Truncado, Santa Cruz"/>
    <x v="144"/>
    <x v="18"/>
    <x v="11"/>
    <n v="270"/>
    <n v="957"/>
    <s v="AR"/>
    <s v="SC"/>
    <s v="1"/>
    <s v="08"/>
    <s v="RB_FV"/>
    <s v="SC"/>
    <s v="1d"/>
    <s v="01"/>
    <s v="Road/Truck"/>
    <s v="12d"/>
    <x v="145"/>
    <s v="AR1X12"/>
    <s v="X"/>
    <s v="X"/>
    <s v="Cut Off"/>
  </r>
  <r>
    <s v="Interior"/>
    <s v="Pto.Deseado"/>
    <x v="145"/>
    <x v="18"/>
    <x v="11"/>
    <n v="270"/>
    <n v="978"/>
    <s v="AR"/>
    <s v="SC"/>
    <s v="1"/>
    <s v="09"/>
    <s v="RB_FV"/>
    <s v="SC"/>
    <s v="1d"/>
    <s v="01"/>
    <s v="Road/Truck"/>
    <s v="12d"/>
    <x v="146"/>
    <s v="AR1X12"/>
    <s v="X"/>
    <s v="X"/>
    <s v="Cut Off"/>
  </r>
  <r>
    <s v="Interior"/>
    <s v="Puerto San Julian, Santa Cruz"/>
    <x v="146"/>
    <x v="18"/>
    <x v="11"/>
    <n v="270"/>
    <n v="972"/>
    <s v="AR"/>
    <s v="SC"/>
    <s v="1"/>
    <s v="10"/>
    <s v="RB_FV"/>
    <s v="SC"/>
    <s v="1d"/>
    <s v="01"/>
    <s v="Road/Truck"/>
    <s v="12d"/>
    <x v="147"/>
    <s v="AR1X12"/>
    <s v="X"/>
    <s v="X"/>
    <s v="Cut Off"/>
  </r>
  <r>
    <s v="Interior"/>
    <s v="Puerto Santa Cruz, Santa Cruz"/>
    <x v="147"/>
    <x v="18"/>
    <x v="11"/>
    <n v="270"/>
    <n v="968"/>
    <s v="AR"/>
    <s v="SC"/>
    <s v="1"/>
    <s v="11"/>
    <s v="RB_FV"/>
    <s v="SC"/>
    <s v="1d"/>
    <s v="01"/>
    <s v="Road/Truck"/>
    <s v="12d"/>
    <x v="148"/>
    <s v="AR1X12"/>
    <s v="X"/>
    <s v="X"/>
    <s v="Cut Off"/>
  </r>
  <r>
    <s v="Interior"/>
    <s v="Rio Gallegos, Santa Cruz"/>
    <x v="148"/>
    <x v="18"/>
    <x v="11"/>
    <n v="270"/>
    <n v="976"/>
    <s v="AR"/>
    <s v="SC"/>
    <s v="1"/>
    <s v="12"/>
    <s v="RB_FV"/>
    <s v="SC"/>
    <s v="1d"/>
    <s v="01"/>
    <s v="Road/Truck"/>
    <s v="12d"/>
    <x v="149"/>
    <s v="AR1X12"/>
    <s v="X"/>
    <s v="X"/>
    <s v="Cut Off"/>
  </r>
  <r>
    <s v="Interior"/>
    <s v="Rio Turbio, Santa Cruz"/>
    <x v="149"/>
    <x v="18"/>
    <x v="11"/>
    <n v="270"/>
    <n v="985"/>
    <s v="AR"/>
    <s v="SC"/>
    <s v="1"/>
    <s v="13"/>
    <s v="RB_FV"/>
    <s v="SC"/>
    <s v="1d"/>
    <s v="01"/>
    <s v="Road/Truck"/>
    <s v="12d"/>
    <x v="150"/>
    <s v="AR1X12"/>
    <s v="X"/>
    <s v="X"/>
    <s v="Cut Off"/>
  </r>
  <r>
    <s v="Interior"/>
    <s v="Caleta Olivia,Santa Cruz"/>
    <x v="137"/>
    <x v="18"/>
    <x v="11"/>
    <n v="270"/>
    <n v="959"/>
    <s v="AR"/>
    <s v="SC"/>
    <s v="1"/>
    <s v="01"/>
    <s v="RB_FV"/>
    <s v="SC"/>
    <s v="1d"/>
    <s v="04"/>
    <s v="3PL Direct"/>
    <s v="2d"/>
    <x v="138"/>
    <s v="AR1X02"/>
    <s v="X"/>
    <s v="X"/>
    <s v="No Cut Off"/>
  </r>
  <r>
    <s v="Interior"/>
    <s v="Cte.Luis Piedrabuena,Santa Cru"/>
    <x v="138"/>
    <x v="18"/>
    <x v="11"/>
    <n v="270"/>
    <n v="970"/>
    <s v="AR"/>
    <s v="SC"/>
    <s v="1"/>
    <s v="02"/>
    <s v="RB_FV"/>
    <s v="SC"/>
    <s v="1d"/>
    <s v="04"/>
    <s v="3PL Direct"/>
    <s v="2d"/>
    <x v="139"/>
    <s v="AR1X02"/>
    <s v="X"/>
    <s v="X"/>
    <s v="No Cut Off"/>
  </r>
  <r>
    <s v="Interior"/>
    <s v="El Calafate, Santa Cruz"/>
    <x v="139"/>
    <x v="18"/>
    <x v="11"/>
    <n v="270"/>
    <n v="980"/>
    <s v="AR"/>
    <s v="SC"/>
    <s v="1"/>
    <s v="03"/>
    <s v="RB_FV"/>
    <s v="SC"/>
    <s v="1d"/>
    <s v="04"/>
    <s v="3PL Direct"/>
    <s v="2d"/>
    <x v="140"/>
    <s v="AR1X02"/>
    <s v="X"/>
    <s v="X"/>
    <s v="No Cut Off"/>
  </r>
  <r>
    <s v="Interior"/>
    <s v="Gobernador Gregores,Santa Cruz"/>
    <x v="140"/>
    <x v="18"/>
    <x v="11"/>
    <n v="270"/>
    <n v="974"/>
    <s v="AR"/>
    <s v="SC"/>
    <s v="1"/>
    <s v="04"/>
    <s v="RB_FV"/>
    <s v="SC"/>
    <s v="1d"/>
    <s v="04"/>
    <s v="3PL Direct"/>
    <s v="2d"/>
    <x v="141"/>
    <s v="AR1X02"/>
    <s v="X"/>
    <s v="X"/>
    <s v="No Cut Off"/>
  </r>
  <r>
    <s v="Interior"/>
    <s v="Los Antiguos, Santa Cruz"/>
    <x v="141"/>
    <x v="18"/>
    <x v="11"/>
    <n v="270"/>
    <n v="958"/>
    <s v="AR"/>
    <s v="SC"/>
    <s v="1"/>
    <s v="05"/>
    <s v="RB_FV"/>
    <s v="SC"/>
    <s v="1d"/>
    <s v="04"/>
    <s v="3PL Direct"/>
    <s v="2d"/>
    <x v="142"/>
    <s v="AR1X02"/>
    <s v="X"/>
    <s v="X"/>
    <s v="No Cut Off"/>
  </r>
  <r>
    <s v="Interior"/>
    <s v="Patagonia"/>
    <x v="142"/>
    <x v="18"/>
    <x v="11"/>
    <n v="270"/>
    <n v="296"/>
    <s v="AR"/>
    <s v="SC"/>
    <s v="1"/>
    <s v="06"/>
    <s v="RB_FV"/>
    <s v="SC"/>
    <s v="1d"/>
    <s v="04"/>
    <s v="3PL Direct"/>
    <s v="2d"/>
    <x v="143"/>
    <s v="AR1X02"/>
    <s v="X"/>
    <s v="X"/>
    <s v="No Cut Off"/>
  </r>
  <r>
    <s v="Interior"/>
    <s v="Perito Moreno, Santa Cruz"/>
    <x v="143"/>
    <x v="18"/>
    <x v="11"/>
    <n v="270"/>
    <n v="956"/>
    <s v="AR"/>
    <s v="SC"/>
    <s v="1"/>
    <s v="07"/>
    <s v="RB_FV"/>
    <s v="SC"/>
    <s v="1d"/>
    <s v="04"/>
    <s v="3PL Direct"/>
    <s v="2d"/>
    <x v="144"/>
    <s v="AR1X02"/>
    <s v="X"/>
    <s v="X"/>
    <s v="No Cut Off"/>
  </r>
  <r>
    <s v="Interior"/>
    <s v="Pico Truncado, Santa Cruz"/>
    <x v="144"/>
    <x v="18"/>
    <x v="11"/>
    <n v="270"/>
    <n v="957"/>
    <s v="AR"/>
    <s v="SC"/>
    <s v="1"/>
    <s v="08"/>
    <s v="RB_FV"/>
    <s v="SC"/>
    <s v="1d"/>
    <s v="04"/>
    <s v="3PL Direct"/>
    <s v="2d"/>
    <x v="145"/>
    <s v="AR1X02"/>
    <s v="X"/>
    <s v="X"/>
    <s v="No Cut Off"/>
  </r>
  <r>
    <s v="Interior"/>
    <s v="Pto.Deseado"/>
    <x v="145"/>
    <x v="18"/>
    <x v="11"/>
    <n v="270"/>
    <n v="978"/>
    <s v="AR"/>
    <s v="SC"/>
    <s v="1"/>
    <s v="09"/>
    <s v="RB_FV"/>
    <s v="SC"/>
    <s v="1d"/>
    <s v="04"/>
    <s v="3PL Direct"/>
    <s v="2d"/>
    <x v="146"/>
    <s v="AR1X02"/>
    <s v="X"/>
    <s v="X"/>
    <s v="No Cut Off"/>
  </r>
  <r>
    <s v="Interior"/>
    <s v="Puerto San Julian, Santa Cruz"/>
    <x v="146"/>
    <x v="18"/>
    <x v="11"/>
    <n v="270"/>
    <n v="972"/>
    <s v="AR"/>
    <s v="SC"/>
    <s v="1"/>
    <s v="10"/>
    <s v="RB_FV"/>
    <s v="SC"/>
    <s v="1d"/>
    <s v="04"/>
    <s v="3PL Direct"/>
    <s v="2d"/>
    <x v="147"/>
    <s v="AR1X02"/>
    <s v="X"/>
    <s v="X"/>
    <s v="No Cut Off"/>
  </r>
  <r>
    <s v="Interior"/>
    <s v="Puerto Santa Cruz, Santa Cruz"/>
    <x v="147"/>
    <x v="18"/>
    <x v="11"/>
    <n v="270"/>
    <n v="968"/>
    <s v="AR"/>
    <s v="SC"/>
    <s v="1"/>
    <s v="11"/>
    <s v="RB_FV"/>
    <s v="SC"/>
    <s v="1d"/>
    <s v="04"/>
    <s v="3PL Direct"/>
    <s v="2d"/>
    <x v="148"/>
    <s v="AR1X02"/>
    <s v="X"/>
    <s v="X"/>
    <s v="No Cut Off"/>
  </r>
  <r>
    <s v="Interior"/>
    <s v="Rio Gallegos, Santa Cruz"/>
    <x v="148"/>
    <x v="18"/>
    <x v="11"/>
    <n v="270"/>
    <n v="976"/>
    <s v="AR"/>
    <s v="SC"/>
    <s v="1"/>
    <s v="12"/>
    <s v="RB_FV"/>
    <s v="SC"/>
    <s v="1d"/>
    <s v="04"/>
    <s v="3PL Direct"/>
    <s v="2d"/>
    <x v="149"/>
    <s v="AR1X02"/>
    <s v="X"/>
    <s v="X"/>
    <s v="No Cut Off"/>
  </r>
  <r>
    <s v="Interior"/>
    <s v="Rio Turbio, Santa Cruz"/>
    <x v="149"/>
    <x v="18"/>
    <x v="11"/>
    <n v="270"/>
    <n v="985"/>
    <s v="AR"/>
    <s v="SC"/>
    <s v="1"/>
    <s v="13"/>
    <s v="RB_FV"/>
    <s v="SC"/>
    <s v="1d"/>
    <s v="04"/>
    <s v="3PL Direct"/>
    <s v="2d"/>
    <x v="150"/>
    <s v="AR1X02"/>
    <s v="X"/>
    <s v="X"/>
    <s v="No Cut Off"/>
  </r>
  <r>
    <s v="Interior"/>
    <s v="Avellaneda, Santa Fe"/>
    <x v="150"/>
    <x v="19"/>
    <x v="5"/>
    <n v="337"/>
    <n v="799"/>
    <s v="AR"/>
    <s v="SF"/>
    <s v="1"/>
    <s v="01"/>
    <s v="RB_FV"/>
    <s v="SF"/>
    <s v="1d"/>
    <s v="01"/>
    <s v="Road/Truck"/>
    <s v="6d"/>
    <x v="151"/>
    <s v="AR1X06"/>
    <s v="X"/>
    <s v="X"/>
    <s v="Cut Off"/>
  </r>
  <r>
    <s v="Interior"/>
    <s v="Cañada de Gomez, Santa Fe"/>
    <x v="151"/>
    <x v="19"/>
    <x v="5"/>
    <n v="337"/>
    <n v="735"/>
    <s v="AR"/>
    <s v="SF"/>
    <s v="1"/>
    <s v="02"/>
    <s v="RB_FV"/>
    <s v="SF"/>
    <s v="1d"/>
    <s v="01"/>
    <s v="Road/Truck"/>
    <s v="6d"/>
    <x v="152"/>
    <s v="AR1X06"/>
    <s v="X"/>
    <s v="X"/>
    <s v="Cut Off"/>
  </r>
  <r>
    <s v="Interior"/>
    <s v="Capitan Bermudez, Santa Fe"/>
    <x v="152"/>
    <x v="19"/>
    <x v="5"/>
    <n v="337"/>
    <n v="706"/>
    <s v="AR"/>
    <s v="SF"/>
    <s v="1"/>
    <s v="03"/>
    <s v="RB_FV"/>
    <s v="SF"/>
    <s v="1d"/>
    <s v="01"/>
    <s v="Road/Truck"/>
    <s v="6d"/>
    <x v="153"/>
    <s v="AR1X06"/>
    <s v="X"/>
    <s v="X"/>
    <s v="Cut Off"/>
  </r>
  <r>
    <s v="Interior"/>
    <s v="Casilda, Santa Fe"/>
    <x v="153"/>
    <x v="19"/>
    <x v="5"/>
    <n v="337"/>
    <n v="708"/>
    <s v="AR"/>
    <s v="SF"/>
    <s v="1"/>
    <s v="04"/>
    <s v="RB_FV"/>
    <s v="SF"/>
    <s v="1d"/>
    <s v="01"/>
    <s v="Road/Truck"/>
    <s v="6d"/>
    <x v="154"/>
    <s v="AR1X06"/>
    <s v="X"/>
    <s v="X"/>
    <s v="Cut Off"/>
  </r>
  <r>
    <s v="Interior"/>
    <s v="Chabas, Santa Fe"/>
    <x v="154"/>
    <x v="19"/>
    <x v="5"/>
    <n v="337"/>
    <n v="710"/>
    <s v="AR"/>
    <s v="SF"/>
    <s v="1"/>
    <s v="05"/>
    <s v="RB_FV"/>
    <s v="SF"/>
    <s v="1d"/>
    <s v="01"/>
    <s v="Road/Truck"/>
    <s v="6d"/>
    <x v="155"/>
    <s v="AR1X06"/>
    <s v="X"/>
    <s v="X"/>
    <s v="Cut Off"/>
  </r>
  <r>
    <s v="Interior"/>
    <s v="Chanar Ladeado,Santa Fe"/>
    <x v="155"/>
    <x v="19"/>
    <x v="5"/>
    <n v="337"/>
    <n v="703"/>
    <s v="AR"/>
    <s v="SF"/>
    <s v="1"/>
    <s v="06"/>
    <s v="RB_FV"/>
    <s v="SF"/>
    <s v="1d"/>
    <s v="01"/>
    <s v="Road/Truck"/>
    <s v="6d"/>
    <x v="156"/>
    <s v="AR1X06"/>
    <s v="X"/>
    <s v="X"/>
    <s v="Cut Off"/>
  </r>
  <r>
    <s v="Interior"/>
    <s v="EMP V Constitucion, Santa Fe"/>
    <x v="156"/>
    <x v="19"/>
    <x v="5"/>
    <n v="337"/>
    <n v="780"/>
    <s v="AR"/>
    <s v="SF"/>
    <s v="1"/>
    <s v="07"/>
    <s v="RB_FV"/>
    <s v="SF"/>
    <s v="1d"/>
    <s v="01"/>
    <s v="Road/Truck"/>
    <s v="6d"/>
    <x v="157"/>
    <s v="AR1X06"/>
    <s v="X"/>
    <s v="X"/>
    <s v="Cut Off"/>
  </r>
  <r>
    <s v="Interior"/>
    <s v="Esperanza, Santa Fe"/>
    <x v="157"/>
    <x v="19"/>
    <x v="5"/>
    <n v="337"/>
    <n v="795"/>
    <s v="AR"/>
    <s v="SF"/>
    <s v="1"/>
    <s v="08"/>
    <s v="RB_FV"/>
    <s v="SF"/>
    <s v="1d"/>
    <s v="01"/>
    <s v="Road/Truck"/>
    <s v="6d"/>
    <x v="158"/>
    <s v="AR1X06"/>
    <s v="X"/>
    <s v="X"/>
    <s v="Cut Off"/>
  </r>
  <r>
    <s v="Interior"/>
    <s v="Firmat, Santa Fe"/>
    <x v="158"/>
    <x v="19"/>
    <x v="5"/>
    <n v="337"/>
    <n v="750"/>
    <s v="AR"/>
    <s v="SF"/>
    <s v="1"/>
    <s v="09"/>
    <s v="RB_FV"/>
    <s v="SF"/>
    <s v="1d"/>
    <s v="01"/>
    <s v="Road/Truck"/>
    <s v="6d"/>
    <x v="159"/>
    <s v="AR1X06"/>
    <s v="X"/>
    <s v="X"/>
    <s v="Cut Off"/>
  </r>
  <r>
    <s v="Interior"/>
    <s v="Frontera, Santa Fe"/>
    <x v="159"/>
    <x v="19"/>
    <x v="5"/>
    <n v="337"/>
    <n v="705"/>
    <s v="AR"/>
    <s v="SF"/>
    <s v="1"/>
    <s v="10"/>
    <s v="RB_FV"/>
    <s v="SF"/>
    <s v="1d"/>
    <s v="01"/>
    <s v="Road/Truck"/>
    <s v="6d"/>
    <x v="160"/>
    <s v="AR1X06"/>
    <s v="X"/>
    <s v="X"/>
    <s v="Cut Off"/>
  </r>
  <r>
    <s v="Interior"/>
    <s v="Granadero Baigorria, Santa Fe"/>
    <x v="160"/>
    <x v="19"/>
    <x v="5"/>
    <n v="337"/>
    <n v="704"/>
    <s v="AR"/>
    <s v="SF"/>
    <s v="1"/>
    <s v="11"/>
    <s v="RB_FV"/>
    <s v="SF"/>
    <s v="1d"/>
    <s v="01"/>
    <s v="Road/Truck"/>
    <s v="6d"/>
    <x v="161"/>
    <s v="AR1X06"/>
    <s v="X"/>
    <s v="X"/>
    <s v="Cut Off"/>
  </r>
  <r>
    <s v="Interior"/>
    <s v="Laguna Paiva, Santa Fe"/>
    <x v="161"/>
    <x v="19"/>
    <x v="5"/>
    <n v="337"/>
    <n v="785"/>
    <s v="AR"/>
    <s v="SF"/>
    <s v="1"/>
    <s v="12"/>
    <s v="RB_FV"/>
    <s v="SF"/>
    <s v="1d"/>
    <s v="01"/>
    <s v="Road/Truck"/>
    <s v="6d"/>
    <x v="162"/>
    <s v="AR1X06"/>
    <s v="X"/>
    <s v="X"/>
    <s v="Cut Off"/>
  </r>
  <r>
    <s v="Interior"/>
    <s v="Maggiolo, Santa Fe"/>
    <x v="162"/>
    <x v="19"/>
    <x v="5"/>
    <n v="337"/>
    <n v="745"/>
    <s v="AR"/>
    <s v="SF"/>
    <s v="1"/>
    <s v="13"/>
    <s v="RB_FV"/>
    <s v="SF"/>
    <s v="1d"/>
    <s v="01"/>
    <s v="Road/Truck"/>
    <s v="6d"/>
    <x v="163"/>
    <s v="AR1X06"/>
    <s v="X"/>
    <s v="X"/>
    <s v="Cut Off"/>
  </r>
  <r>
    <s v="Interior"/>
    <s v="Rafaela, Santa Fe"/>
    <x v="163"/>
    <x v="19"/>
    <x v="5"/>
    <n v="337"/>
    <n v="715"/>
    <s v="AR"/>
    <s v="SF"/>
    <s v="1"/>
    <s v="14"/>
    <s v="RB_FV"/>
    <s v="SF"/>
    <s v="1d"/>
    <s v="01"/>
    <s v="Road/Truck"/>
    <s v="6d"/>
    <x v="164"/>
    <s v="AR1X06"/>
    <s v="X"/>
    <s v="X"/>
    <s v="Cut Off"/>
  </r>
  <r>
    <s v="Interior"/>
    <s v="Reconquista, Santa Fe"/>
    <x v="164"/>
    <x v="19"/>
    <x v="5"/>
    <n v="337"/>
    <n v="798"/>
    <s v="AR"/>
    <s v="SF"/>
    <s v="1"/>
    <s v="15"/>
    <s v="RB_FV"/>
    <s v="SF"/>
    <s v="1d"/>
    <s v="01"/>
    <s v="Road/Truck"/>
    <s v="6d"/>
    <x v="165"/>
    <s v="AR1X06"/>
    <s v="X"/>
    <s v="X"/>
    <s v="Cut Off"/>
  </r>
  <r>
    <s v="Interior"/>
    <s v="Rosario, Santa Fe"/>
    <x v="165"/>
    <x v="19"/>
    <x v="5"/>
    <n v="337"/>
    <n v="700"/>
    <s v="AR"/>
    <s v="SF"/>
    <s v="1"/>
    <s v="16"/>
    <s v="RB_FV"/>
    <s v="SF"/>
    <s v="1d"/>
    <s v="01"/>
    <s v="Road/Truck"/>
    <s v="6d"/>
    <x v="166"/>
    <s v="AR1X06"/>
    <s v="X"/>
    <s v="X"/>
    <s v="Cut Off"/>
  </r>
  <r>
    <s v="Interior"/>
    <s v="Rufino, Santa Fe"/>
    <x v="166"/>
    <x v="19"/>
    <x v="5"/>
    <n v="337"/>
    <n v="714"/>
    <s v="AR"/>
    <s v="SF"/>
    <s v="1"/>
    <s v="17"/>
    <s v="RB_FV"/>
    <s v="SF"/>
    <s v="1d"/>
    <s v="01"/>
    <s v="Road/Truck"/>
    <s v="6d"/>
    <x v="167"/>
    <s v="AR1X06"/>
    <s v="X"/>
    <s v="X"/>
    <s v="Cut Off"/>
  </r>
  <r>
    <s v="Interior"/>
    <s v="San Jorge, Santa Fe"/>
    <x v="167"/>
    <x v="19"/>
    <x v="5"/>
    <n v="337"/>
    <n v="730"/>
    <s v="AR"/>
    <s v="SF"/>
    <s v="1"/>
    <s v="18"/>
    <s v="RB_FV"/>
    <s v="SF"/>
    <s v="1d"/>
    <s v="01"/>
    <s v="Road/Truck"/>
    <s v="6d"/>
    <x v="168"/>
    <s v="AR1X06"/>
    <s v="X"/>
    <s v="X"/>
    <s v="Cut Off"/>
  </r>
  <r>
    <s v="Interior"/>
    <s v="San Justo, Santa Fe"/>
    <x v="168"/>
    <x v="19"/>
    <x v="5"/>
    <n v="337"/>
    <n v="790"/>
    <s v="AR"/>
    <s v="SF"/>
    <s v="1"/>
    <s v="19"/>
    <s v="RB_FV"/>
    <s v="SF"/>
    <s v="1d"/>
    <s v="01"/>
    <s v="Road/Truck"/>
    <s v="6d"/>
    <x v="169"/>
    <s v="AR1X06"/>
    <s v="X"/>
    <s v="X"/>
    <s v="Cut Off"/>
  </r>
  <r>
    <s v="Interior"/>
    <s v="San Lorenzo, Santa Fe"/>
    <x v="169"/>
    <x v="19"/>
    <x v="5"/>
    <n v="337"/>
    <n v="712"/>
    <s v="AR"/>
    <s v="SF"/>
    <s v="1"/>
    <s v="20"/>
    <s v="RB_FV"/>
    <s v="SF"/>
    <s v="1d"/>
    <s v="01"/>
    <s v="Road/Truck"/>
    <s v="6d"/>
    <x v="170"/>
    <s v="AR1X06"/>
    <s v="X"/>
    <s v="X"/>
    <s v="Cut Off"/>
  </r>
  <r>
    <s v="Interior"/>
    <s v="Santa Fe, Santa Fe"/>
    <x v="170"/>
    <x v="19"/>
    <x v="5"/>
    <n v="337"/>
    <n v="765"/>
    <s v="AR"/>
    <s v="SF"/>
    <s v="1"/>
    <s v="21"/>
    <s v="RB_FV"/>
    <s v="SF"/>
    <s v="1d"/>
    <s v="01"/>
    <s v="Road/Truck"/>
    <s v="6d"/>
    <x v="171"/>
    <s v="AR1X06"/>
    <s v="X"/>
    <s v="X"/>
    <s v="Cut Off"/>
  </r>
  <r>
    <s v="Interior"/>
    <s v="Santa Fe 1"/>
    <x v="171"/>
    <x v="19"/>
    <x v="5"/>
    <n v="337"/>
    <n v="337"/>
    <s v="AR"/>
    <s v="SF"/>
    <s v="1"/>
    <s v="22"/>
    <s v="RB_FV"/>
    <s v="SF"/>
    <s v="1d"/>
    <s v="01"/>
    <s v="Road/Truck"/>
    <s v="6d"/>
    <x v="172"/>
    <s v="AR1X06"/>
    <s v="X"/>
    <s v="X"/>
    <s v="Cut Off"/>
  </r>
  <r>
    <s v="Interior"/>
    <s v="Santo Tome, Santa Fe"/>
    <x v="172"/>
    <x v="19"/>
    <x v="5"/>
    <n v="337"/>
    <n v="770"/>
    <s v="AR"/>
    <s v="SF"/>
    <s v="1"/>
    <s v="23"/>
    <s v="RB_FV"/>
    <s v="SF"/>
    <s v="1d"/>
    <s v="01"/>
    <s v="Road/Truck"/>
    <s v="6d"/>
    <x v="173"/>
    <s v="AR1X06"/>
    <s v="X"/>
    <s v="X"/>
    <s v="Cut Off"/>
  </r>
  <r>
    <s v="Interior"/>
    <s v="Venado Tuerto, Santa Fe"/>
    <x v="173"/>
    <x v="19"/>
    <x v="5"/>
    <n v="337"/>
    <n v="740"/>
    <s v="AR"/>
    <s v="SF"/>
    <s v="1"/>
    <s v="24"/>
    <s v="RB_FV"/>
    <s v="SF"/>
    <s v="1d"/>
    <s v="01"/>
    <s v="Road/Truck"/>
    <s v="6d"/>
    <x v="174"/>
    <s v="AR1X06"/>
    <s v="X"/>
    <s v="X"/>
    <s v="Cut Off"/>
  </r>
  <r>
    <s v="Interior"/>
    <s v="Villa Gobernador Galvez,Santa"/>
    <x v="174"/>
    <x v="19"/>
    <x v="5"/>
    <n v="337"/>
    <n v="702"/>
    <s v="AR"/>
    <s v="SF"/>
    <s v="1"/>
    <s v="25"/>
    <s v="RB_FV"/>
    <s v="SF"/>
    <s v="1d"/>
    <s v="01"/>
    <s v="Road/Truck"/>
    <s v="6d"/>
    <x v="175"/>
    <s v="AR1X06"/>
    <s v="X"/>
    <s v="X"/>
    <s v="Cut Off"/>
  </r>
  <r>
    <s v="Interior"/>
    <s v="Avellaneda, Santa Fe"/>
    <x v="150"/>
    <x v="19"/>
    <x v="5"/>
    <n v="337"/>
    <n v="799"/>
    <s v="AR"/>
    <s v="SF"/>
    <s v="1"/>
    <s v="01"/>
    <s v="RB_FV"/>
    <s v="SF"/>
    <s v="1d"/>
    <s v="04"/>
    <s v="3PL Direct"/>
    <s v="1d"/>
    <x v="151"/>
    <s v="AR1X01"/>
    <s v="X"/>
    <s v="X"/>
    <s v="No Cut Off"/>
  </r>
  <r>
    <s v="Interior"/>
    <s v="Cañada de Gomez, Santa Fe"/>
    <x v="151"/>
    <x v="19"/>
    <x v="5"/>
    <n v="337"/>
    <n v="735"/>
    <s v="AR"/>
    <s v="SF"/>
    <s v="1"/>
    <s v="02"/>
    <s v="RB_FV"/>
    <s v="SF"/>
    <s v="1d"/>
    <s v="04"/>
    <s v="3PL Direct"/>
    <s v="1d"/>
    <x v="152"/>
    <s v="AR1X01"/>
    <s v="X"/>
    <s v="X"/>
    <s v="No Cut Off"/>
  </r>
  <r>
    <s v="Interior"/>
    <s v="Capitan Bermudez, Santa Fe"/>
    <x v="152"/>
    <x v="19"/>
    <x v="5"/>
    <n v="337"/>
    <n v="706"/>
    <s v="AR"/>
    <s v="SF"/>
    <s v="1"/>
    <s v="03"/>
    <s v="RB_FV"/>
    <s v="SF"/>
    <s v="1d"/>
    <s v="04"/>
    <s v="3PL Direct"/>
    <s v="1d"/>
    <x v="153"/>
    <s v="AR1X01"/>
    <s v="X"/>
    <s v="X"/>
    <s v="No Cut Off"/>
  </r>
  <r>
    <s v="Interior"/>
    <s v="Casilda, Santa Fe"/>
    <x v="153"/>
    <x v="19"/>
    <x v="5"/>
    <n v="337"/>
    <n v="708"/>
    <s v="AR"/>
    <s v="SF"/>
    <s v="1"/>
    <s v="04"/>
    <s v="RB_FV"/>
    <s v="SF"/>
    <s v="1d"/>
    <s v="04"/>
    <s v="3PL Direct"/>
    <s v="1d"/>
    <x v="154"/>
    <s v="AR1X01"/>
    <s v="X"/>
    <s v="X"/>
    <s v="No Cut Off"/>
  </r>
  <r>
    <s v="Interior"/>
    <s v="Chabas, Santa Fe"/>
    <x v="154"/>
    <x v="19"/>
    <x v="5"/>
    <n v="337"/>
    <n v="710"/>
    <s v="AR"/>
    <s v="SF"/>
    <s v="1"/>
    <s v="05"/>
    <s v="RB_FV"/>
    <s v="SF"/>
    <s v="1d"/>
    <s v="04"/>
    <s v="3PL Direct"/>
    <s v="1d"/>
    <x v="155"/>
    <s v="AR1X01"/>
    <s v="X"/>
    <s v="X"/>
    <s v="No Cut Off"/>
  </r>
  <r>
    <s v="Interior"/>
    <s v="Chanar Ladeado,Santa Fe"/>
    <x v="155"/>
    <x v="19"/>
    <x v="5"/>
    <n v="337"/>
    <n v="703"/>
    <s v="AR"/>
    <s v="SF"/>
    <s v="1"/>
    <s v="06"/>
    <s v="RB_FV"/>
    <s v="SF"/>
    <s v="1d"/>
    <s v="04"/>
    <s v="3PL Direct"/>
    <s v="1d"/>
    <x v="156"/>
    <s v="AR1X01"/>
    <s v="X"/>
    <s v="X"/>
    <s v="No Cut Off"/>
  </r>
  <r>
    <s v="Interior"/>
    <s v="EMP V Constitucion, Santa Fe"/>
    <x v="156"/>
    <x v="19"/>
    <x v="5"/>
    <n v="337"/>
    <n v="780"/>
    <s v="AR"/>
    <s v="SF"/>
    <s v="1"/>
    <s v="07"/>
    <s v="RB_FV"/>
    <s v="SF"/>
    <s v="1d"/>
    <s v="04"/>
    <s v="3PL Direct"/>
    <s v="1d"/>
    <x v="157"/>
    <s v="AR1X01"/>
    <s v="X"/>
    <s v="X"/>
    <s v="No Cut Off"/>
  </r>
  <r>
    <s v="Interior"/>
    <s v="Esperanza, Santa Fe"/>
    <x v="157"/>
    <x v="19"/>
    <x v="5"/>
    <n v="337"/>
    <n v="795"/>
    <s v="AR"/>
    <s v="SF"/>
    <s v="1"/>
    <s v="08"/>
    <s v="RB_FV"/>
    <s v="SF"/>
    <s v="1d"/>
    <s v="04"/>
    <s v="3PL Direct"/>
    <s v="1d"/>
    <x v="158"/>
    <s v="AR1X01"/>
    <s v="X"/>
    <s v="X"/>
    <s v="No Cut Off"/>
  </r>
  <r>
    <s v="Interior"/>
    <s v="Firmat, Santa Fe"/>
    <x v="158"/>
    <x v="19"/>
    <x v="5"/>
    <n v="337"/>
    <n v="750"/>
    <s v="AR"/>
    <s v="SF"/>
    <s v="1"/>
    <s v="09"/>
    <s v="RB_FV"/>
    <s v="SF"/>
    <s v="1d"/>
    <s v="04"/>
    <s v="3PL Direct"/>
    <s v="1d"/>
    <x v="159"/>
    <s v="AR1X01"/>
    <s v="X"/>
    <s v="X"/>
    <s v="No Cut Off"/>
  </r>
  <r>
    <s v="Interior"/>
    <s v="Frontera, Santa Fe"/>
    <x v="159"/>
    <x v="19"/>
    <x v="5"/>
    <n v="337"/>
    <n v="705"/>
    <s v="AR"/>
    <s v="SF"/>
    <s v="1"/>
    <s v="10"/>
    <s v="RB_FV"/>
    <s v="SF"/>
    <s v="1d"/>
    <s v="04"/>
    <s v="3PL Direct"/>
    <s v="1d"/>
    <x v="160"/>
    <s v="AR1X01"/>
    <s v="X"/>
    <s v="X"/>
    <s v="No Cut Off"/>
  </r>
  <r>
    <s v="Interior"/>
    <s v="Granadero Baigorria, Santa Fe"/>
    <x v="160"/>
    <x v="19"/>
    <x v="5"/>
    <n v="337"/>
    <n v="704"/>
    <s v="AR"/>
    <s v="SF"/>
    <s v="1"/>
    <s v="11"/>
    <s v="RB_FV"/>
    <s v="SF"/>
    <s v="1d"/>
    <s v="04"/>
    <s v="3PL Direct"/>
    <s v="1d"/>
    <x v="161"/>
    <s v="AR1X01"/>
    <s v="X"/>
    <s v="X"/>
    <s v="No Cut Off"/>
  </r>
  <r>
    <s v="Interior"/>
    <s v="Laguna Paiva, Santa Fe"/>
    <x v="161"/>
    <x v="19"/>
    <x v="5"/>
    <n v="337"/>
    <n v="785"/>
    <s v="AR"/>
    <s v="SF"/>
    <s v="1"/>
    <s v="12"/>
    <s v="RB_FV"/>
    <s v="SF"/>
    <s v="1d"/>
    <s v="04"/>
    <s v="3PL Direct"/>
    <s v="1d"/>
    <x v="162"/>
    <s v="AR1X01"/>
    <s v="X"/>
    <s v="X"/>
    <s v="No Cut Off"/>
  </r>
  <r>
    <s v="Interior"/>
    <s v="Maggiolo, Santa Fe"/>
    <x v="162"/>
    <x v="19"/>
    <x v="5"/>
    <n v="337"/>
    <n v="745"/>
    <s v="AR"/>
    <s v="SF"/>
    <s v="1"/>
    <s v="13"/>
    <s v="RB_FV"/>
    <s v="SF"/>
    <s v="1d"/>
    <s v="04"/>
    <s v="3PL Direct"/>
    <s v="1d"/>
    <x v="163"/>
    <s v="AR1X01"/>
    <s v="X"/>
    <s v="X"/>
    <s v="No Cut Off"/>
  </r>
  <r>
    <s v="Interior"/>
    <s v="Rafaela, Santa Fe"/>
    <x v="163"/>
    <x v="19"/>
    <x v="5"/>
    <n v="337"/>
    <n v="715"/>
    <s v="AR"/>
    <s v="SF"/>
    <s v="1"/>
    <s v="14"/>
    <s v="RB_FV"/>
    <s v="SF"/>
    <s v="1d"/>
    <s v="04"/>
    <s v="3PL Direct"/>
    <s v="1d"/>
    <x v="164"/>
    <s v="AR1X01"/>
    <s v="X"/>
    <s v="X"/>
    <s v="No Cut Off"/>
  </r>
  <r>
    <s v="Interior"/>
    <s v="Reconquista, Santa Fe"/>
    <x v="164"/>
    <x v="19"/>
    <x v="5"/>
    <n v="337"/>
    <n v="798"/>
    <s v="AR"/>
    <s v="SF"/>
    <s v="1"/>
    <s v="15"/>
    <s v="RB_FV"/>
    <s v="SF"/>
    <s v="1d"/>
    <s v="04"/>
    <s v="3PL Direct"/>
    <s v="1d"/>
    <x v="165"/>
    <s v="AR1X01"/>
    <s v="X"/>
    <s v="X"/>
    <s v="No Cut Off"/>
  </r>
  <r>
    <s v="Interior"/>
    <s v="Rosario, Santa Fe"/>
    <x v="165"/>
    <x v="19"/>
    <x v="5"/>
    <n v="337"/>
    <n v="700"/>
    <s v="AR"/>
    <s v="SF"/>
    <s v="1"/>
    <s v="16"/>
    <s v="RB_FV"/>
    <s v="SF"/>
    <s v="1d"/>
    <s v="04"/>
    <s v="3PL Direct"/>
    <s v="1d"/>
    <x v="166"/>
    <s v="AR1X01"/>
    <s v="X"/>
    <s v="X"/>
    <s v="No Cut Off"/>
  </r>
  <r>
    <s v="Interior"/>
    <s v="Rufino, Santa Fe"/>
    <x v="166"/>
    <x v="19"/>
    <x v="5"/>
    <n v="337"/>
    <n v="714"/>
    <s v="AR"/>
    <s v="SF"/>
    <s v="1"/>
    <s v="17"/>
    <s v="RB_FV"/>
    <s v="SF"/>
    <s v="1d"/>
    <s v="04"/>
    <s v="3PL Direct"/>
    <s v="1d"/>
    <x v="167"/>
    <s v="AR1X01"/>
    <s v="X"/>
    <s v="X"/>
    <s v="No Cut Off"/>
  </r>
  <r>
    <s v="Interior"/>
    <s v="San Jorge, Santa Fe"/>
    <x v="167"/>
    <x v="19"/>
    <x v="5"/>
    <n v="337"/>
    <n v="730"/>
    <s v="AR"/>
    <s v="SF"/>
    <s v="1"/>
    <s v="18"/>
    <s v="RB_FV"/>
    <s v="SF"/>
    <s v="1d"/>
    <s v="04"/>
    <s v="3PL Direct"/>
    <s v="1d"/>
    <x v="168"/>
    <s v="AR1X01"/>
    <s v="X"/>
    <s v="X"/>
    <s v="No Cut Off"/>
  </r>
  <r>
    <s v="Interior"/>
    <s v="San Justo, Santa Fe"/>
    <x v="168"/>
    <x v="19"/>
    <x v="5"/>
    <n v="337"/>
    <n v="790"/>
    <s v="AR"/>
    <s v="SF"/>
    <s v="1"/>
    <s v="19"/>
    <s v="RB_FV"/>
    <s v="SF"/>
    <s v="1d"/>
    <s v="04"/>
    <s v="3PL Direct"/>
    <s v="1d"/>
    <x v="169"/>
    <s v="AR1X01"/>
    <s v="X"/>
    <s v="X"/>
    <s v="No Cut Off"/>
  </r>
  <r>
    <s v="Interior"/>
    <s v="San Lorenzo, Santa Fe"/>
    <x v="169"/>
    <x v="19"/>
    <x v="5"/>
    <n v="337"/>
    <n v="712"/>
    <s v="AR"/>
    <s v="SF"/>
    <s v="1"/>
    <s v="20"/>
    <s v="RB_FV"/>
    <s v="SF"/>
    <s v="1d"/>
    <s v="04"/>
    <s v="3PL Direct"/>
    <s v="1d"/>
    <x v="170"/>
    <s v="AR1X01"/>
    <s v="X"/>
    <s v="X"/>
    <s v="No Cut Off"/>
  </r>
  <r>
    <s v="Interior"/>
    <s v="Santa Fe, Santa Fe"/>
    <x v="170"/>
    <x v="19"/>
    <x v="5"/>
    <n v="337"/>
    <n v="765"/>
    <s v="AR"/>
    <s v="SF"/>
    <s v="1"/>
    <s v="21"/>
    <s v="RB_FV"/>
    <s v="SF"/>
    <s v="1d"/>
    <s v="04"/>
    <s v="3PL Direct"/>
    <s v="1d"/>
    <x v="171"/>
    <s v="AR1X01"/>
    <s v="X"/>
    <s v="X"/>
    <s v="No Cut Off"/>
  </r>
  <r>
    <s v="Interior"/>
    <s v="Santa Fe 1"/>
    <x v="171"/>
    <x v="19"/>
    <x v="5"/>
    <n v="337"/>
    <n v="337"/>
    <s v="AR"/>
    <s v="SF"/>
    <s v="1"/>
    <s v="22"/>
    <s v="RB_FV"/>
    <s v="SF"/>
    <s v="1d"/>
    <s v="04"/>
    <s v="3PL Direct"/>
    <s v="1d"/>
    <x v="172"/>
    <s v="AR1X01"/>
    <s v="X"/>
    <s v="X"/>
    <s v="No Cut Off"/>
  </r>
  <r>
    <s v="Interior"/>
    <s v="Santo Tome, Santa Fe"/>
    <x v="172"/>
    <x v="19"/>
    <x v="5"/>
    <n v="337"/>
    <n v="770"/>
    <s v="AR"/>
    <s v="SF"/>
    <s v="1"/>
    <s v="23"/>
    <s v="RB_FV"/>
    <s v="SF"/>
    <s v="1d"/>
    <s v="04"/>
    <s v="3PL Direct"/>
    <s v="1d"/>
    <x v="173"/>
    <s v="AR1X01"/>
    <s v="X"/>
    <s v="X"/>
    <s v="No Cut Off"/>
  </r>
  <r>
    <s v="Interior"/>
    <s v="Venado Tuerto, Santa Fe"/>
    <x v="173"/>
    <x v="19"/>
    <x v="5"/>
    <n v="337"/>
    <n v="740"/>
    <s v="AR"/>
    <s v="SF"/>
    <s v="1"/>
    <s v="24"/>
    <s v="RB_FV"/>
    <s v="SF"/>
    <s v="1d"/>
    <s v="04"/>
    <s v="3PL Direct"/>
    <s v="1d"/>
    <x v="174"/>
    <s v="AR1X01"/>
    <s v="X"/>
    <s v="X"/>
    <s v="No Cut Off"/>
  </r>
  <r>
    <s v="Interior"/>
    <s v="Villa Gobernador Galvez,Santa"/>
    <x v="174"/>
    <x v="19"/>
    <x v="5"/>
    <n v="337"/>
    <n v="702"/>
    <s v="AR"/>
    <s v="SF"/>
    <s v="1"/>
    <s v="25"/>
    <s v="RB_FV"/>
    <s v="SF"/>
    <s v="1d"/>
    <s v="04"/>
    <s v="3PL Direct"/>
    <s v="1d"/>
    <x v="175"/>
    <s v="AR1X01"/>
    <s v="X"/>
    <s v="X"/>
    <s v="No Cut Off"/>
  </r>
  <r>
    <s v="Interior"/>
    <s v="Fernandez, Sgo. del Estero"/>
    <x v="175"/>
    <x v="20"/>
    <x v="6"/>
    <n v="359"/>
    <n v="435"/>
    <s v="AR"/>
    <s v="SE"/>
    <s v="1"/>
    <s v="01"/>
    <s v="RB_FV"/>
    <s v="SE"/>
    <s v="1d"/>
    <s v="01"/>
    <s v="Road/Truck"/>
    <s v="7d"/>
    <x v="176"/>
    <s v="AR1X07"/>
    <s v="X"/>
    <s v="X"/>
    <s v="Cut Off"/>
  </r>
  <r>
    <s v="Interior"/>
    <s v="Santiago del Estero, Sgo.del E"/>
    <x v="176"/>
    <x v="20"/>
    <x v="6"/>
    <n v="359"/>
    <n v="430"/>
    <s v="AR"/>
    <s v="SE"/>
    <s v="1"/>
    <s v="02"/>
    <s v="RB_FV"/>
    <s v="SE"/>
    <s v="1d"/>
    <s v="01"/>
    <s v="Road/Truck"/>
    <s v="7d"/>
    <x v="177"/>
    <s v="AR1X07"/>
    <s v="X"/>
    <s v="X"/>
    <s v="Cut Off"/>
  </r>
  <r>
    <s v="Interior"/>
    <s v="Fernandez, Sgo. del Estero"/>
    <x v="175"/>
    <x v="20"/>
    <x v="6"/>
    <n v="359"/>
    <n v="435"/>
    <s v="AR"/>
    <s v="SE"/>
    <s v="1"/>
    <s v="01"/>
    <s v="RB_FV"/>
    <s v="SE"/>
    <s v="1d"/>
    <s v="04"/>
    <s v="3PL Direct"/>
    <s v="2d"/>
    <x v="176"/>
    <s v="AR1X02"/>
    <s v="X"/>
    <s v="X"/>
    <s v="No Cut Off"/>
  </r>
  <r>
    <s v="Interior"/>
    <s v="Santiago del Estero, Sgo.del E"/>
    <x v="176"/>
    <x v="20"/>
    <x v="6"/>
    <n v="359"/>
    <n v="430"/>
    <s v="AR"/>
    <s v="SE"/>
    <s v="1"/>
    <s v="02"/>
    <s v="RB_FV"/>
    <s v="SE"/>
    <s v="1d"/>
    <s v="04"/>
    <s v="3PL Direct"/>
    <s v="2d"/>
    <x v="177"/>
    <s v="AR1X02"/>
    <s v="X"/>
    <s v="X"/>
    <s v="No Cut Off"/>
  </r>
  <r>
    <s v="Interior"/>
    <s v="Rio Grande, Tierra del Fuego"/>
    <x v="177"/>
    <x v="21"/>
    <x v="11"/>
    <n v="357"/>
    <n v="995"/>
    <s v="AR"/>
    <s v="TF"/>
    <s v="1"/>
    <s v="01"/>
    <s v="RB_FV"/>
    <s v="TF"/>
    <s v="1d"/>
    <s v="01"/>
    <s v="Road/Truck"/>
    <s v="12d"/>
    <x v="178"/>
    <s v="AR1X12"/>
    <s v="X"/>
    <s v="X"/>
    <s v="Cut Off"/>
  </r>
  <r>
    <s v="Interior"/>
    <s v="Ushuaia, Tierra del Fuego"/>
    <x v="178"/>
    <x v="21"/>
    <x v="11"/>
    <n v="357"/>
    <n v="990"/>
    <s v="AR"/>
    <s v="TF"/>
    <s v="1"/>
    <s v="02"/>
    <s v="RB_FV"/>
    <s v="TF"/>
    <s v="1d"/>
    <s v="01"/>
    <s v="Road/Truck"/>
    <s v="12d"/>
    <x v="179"/>
    <s v="AR1X12"/>
    <s v="X"/>
    <s v="X"/>
    <s v="Cut Off"/>
  </r>
  <r>
    <s v="Interior"/>
    <s v="Rio Grande, Tierra del Fuego"/>
    <x v="177"/>
    <x v="21"/>
    <x v="11"/>
    <n v="357"/>
    <n v="995"/>
    <s v="AR"/>
    <s v="TF"/>
    <s v="1"/>
    <s v="01"/>
    <s v="RB_FV"/>
    <s v="TF"/>
    <s v="1d"/>
    <s v="04"/>
    <s v="3PL Direct"/>
    <s v="2d"/>
    <x v="178"/>
    <s v="AR1X02"/>
    <s v="X"/>
    <s v="X"/>
    <s v="No Cut Off"/>
  </r>
  <r>
    <s v="Interior"/>
    <s v="Ushuaia, Tierra del Fuego"/>
    <x v="178"/>
    <x v="21"/>
    <x v="11"/>
    <n v="357"/>
    <n v="990"/>
    <s v="AR"/>
    <s v="TF"/>
    <s v="1"/>
    <s v="02"/>
    <s v="RB_FV"/>
    <s v="TF"/>
    <s v="1d"/>
    <s v="04"/>
    <s v="3PL Direct"/>
    <s v="2d"/>
    <x v="179"/>
    <s v="AR1X02"/>
    <s v="X"/>
    <s v="X"/>
    <s v="No Cut Off"/>
  </r>
  <r>
    <s v="Interior"/>
    <s v="Aguilares, Tucuman"/>
    <x v="179"/>
    <x v="22"/>
    <x v="6"/>
    <n v="337"/>
    <n v="415"/>
    <s v="AR"/>
    <s v="TU"/>
    <s v="1"/>
    <s v="01"/>
    <s v="RB_FV"/>
    <s v="TU"/>
    <s v="1d"/>
    <s v="01"/>
    <s v="Road/Truck"/>
    <s v="7d"/>
    <x v="180"/>
    <s v="AR1X07"/>
    <s v="X"/>
    <s v="X"/>
    <s v="Cut Off"/>
  </r>
  <r>
    <s v="Interior"/>
    <s v="Concepcion, Tucuman"/>
    <x v="180"/>
    <x v="22"/>
    <x v="6"/>
    <n v="353"/>
    <n v="410"/>
    <s v="AR"/>
    <s v="TU"/>
    <s v="1"/>
    <s v="02"/>
    <s v="RB_FV"/>
    <s v="TU"/>
    <s v="1d"/>
    <s v="01"/>
    <s v="Road/Truck"/>
    <s v="7d"/>
    <x v="181"/>
    <s v="AR1X07"/>
    <s v="X"/>
    <s v="X"/>
    <s v="Cut Off"/>
  </r>
  <r>
    <s v="Interior"/>
    <s v="Juan B.Alberdi, Tucuman"/>
    <x v="181"/>
    <x v="22"/>
    <x v="6"/>
    <n v="353"/>
    <n v="420"/>
    <s v="AR"/>
    <s v="TU"/>
    <s v="1"/>
    <s v="03"/>
    <s v="RB_FV"/>
    <s v="TU"/>
    <s v="1d"/>
    <s v="01"/>
    <s v="Road/Truck"/>
    <s v="7d"/>
    <x v="182"/>
    <s v="AR1X07"/>
    <s v="X"/>
    <s v="X"/>
    <s v="Cut Off"/>
  </r>
  <r>
    <s v="Interior"/>
    <s v="Monteros, Tucuman"/>
    <x v="182"/>
    <x v="22"/>
    <x v="6"/>
    <n v="353"/>
    <n v="405"/>
    <s v="AR"/>
    <s v="TU"/>
    <s v="1"/>
    <s v="04"/>
    <s v="RB_FV"/>
    <s v="TU"/>
    <s v="1d"/>
    <s v="01"/>
    <s v="Road/Truck"/>
    <s v="7d"/>
    <x v="183"/>
    <s v="AR1X07"/>
    <s v="X"/>
    <s v="X"/>
    <s v="Cut Off"/>
  </r>
  <r>
    <s v="Interior"/>
    <s v="San M.de Tucuman, Tucuman"/>
    <x v="183"/>
    <x v="22"/>
    <x v="6"/>
    <n v="353"/>
    <n v="400"/>
    <s v="AR"/>
    <s v="TU"/>
    <s v="1"/>
    <s v="05"/>
    <s v="RB_FV"/>
    <s v="TU"/>
    <s v="1d"/>
    <s v="01"/>
    <s v="Road/Truck"/>
    <s v="7d"/>
    <x v="184"/>
    <s v="AR1X07"/>
    <s v="X"/>
    <s v="X"/>
    <s v="Cut Off"/>
  </r>
  <r>
    <s v="Interior"/>
    <s v="Yerba Buena, Tucuman"/>
    <x v="184"/>
    <x v="22"/>
    <x v="6"/>
    <n v="353"/>
    <n v="425"/>
    <s v="AR"/>
    <s v="TU"/>
    <s v="1"/>
    <s v="06"/>
    <s v="RB_FV"/>
    <s v="TU"/>
    <s v="1d"/>
    <s v="01"/>
    <s v="Road/Truck"/>
    <s v="7d"/>
    <x v="185"/>
    <s v="AR1X07"/>
    <s v="X"/>
    <s v="X"/>
    <s v="Cut Off"/>
  </r>
  <r>
    <s v="Interior"/>
    <s v="Aguilares, Tucuman"/>
    <x v="179"/>
    <x v="22"/>
    <x v="6"/>
    <n v="337"/>
    <n v="415"/>
    <s v="AR"/>
    <s v="TU"/>
    <s v="1"/>
    <s v="01"/>
    <s v="RB_FV"/>
    <s v="TU"/>
    <s v="1d"/>
    <s v="04"/>
    <s v="3PL Direct"/>
    <s v="2d"/>
    <x v="180"/>
    <s v="AR1X02"/>
    <s v="X"/>
    <s v="X"/>
    <s v="No Cut Off"/>
  </r>
  <r>
    <s v="Interior"/>
    <s v="Concepcion, Tucuman"/>
    <x v="180"/>
    <x v="22"/>
    <x v="6"/>
    <n v="353"/>
    <n v="410"/>
    <s v="AR"/>
    <s v="TU"/>
    <s v="1"/>
    <s v="02"/>
    <s v="RB_FV"/>
    <s v="TU"/>
    <s v="1d"/>
    <s v="04"/>
    <s v="3PL Direct"/>
    <s v="2d"/>
    <x v="181"/>
    <s v="AR1X02"/>
    <s v="X"/>
    <s v="X"/>
    <s v="No Cut Off"/>
  </r>
  <r>
    <s v="Interior"/>
    <s v="Juan B.Alberdi, Tucuman"/>
    <x v="181"/>
    <x v="22"/>
    <x v="6"/>
    <n v="353"/>
    <n v="420"/>
    <s v="AR"/>
    <s v="TU"/>
    <s v="1"/>
    <s v="03"/>
    <s v="RB_FV"/>
    <s v="TU"/>
    <s v="1d"/>
    <s v="04"/>
    <s v="3PL Direct"/>
    <s v="2d"/>
    <x v="182"/>
    <s v="AR1X02"/>
    <s v="X"/>
    <s v="X"/>
    <s v="No Cut Off"/>
  </r>
  <r>
    <s v="Interior"/>
    <s v="Monteros, Tucuman"/>
    <x v="182"/>
    <x v="22"/>
    <x v="6"/>
    <n v="353"/>
    <n v="405"/>
    <s v="AR"/>
    <s v="TU"/>
    <s v="1"/>
    <s v="04"/>
    <s v="RB_FV"/>
    <s v="TU"/>
    <s v="1d"/>
    <s v="04"/>
    <s v="3PL Direct"/>
    <s v="2d"/>
    <x v="183"/>
    <s v="AR1X02"/>
    <s v="X"/>
    <s v="X"/>
    <s v="No Cut Off"/>
  </r>
  <r>
    <s v="Interior"/>
    <s v="San M.de Tucuman, Tucuman"/>
    <x v="183"/>
    <x v="22"/>
    <x v="6"/>
    <n v="353"/>
    <n v="400"/>
    <s v="AR"/>
    <s v="TU"/>
    <s v="1"/>
    <s v="05"/>
    <s v="RB_FV"/>
    <s v="TU"/>
    <s v="1d"/>
    <s v="04"/>
    <s v="3PL Direct"/>
    <s v="2d"/>
    <x v="184"/>
    <s v="AR1X02"/>
    <s v="X"/>
    <s v="X"/>
    <s v="No Cut Off"/>
  </r>
  <r>
    <s v="Interior"/>
    <s v="Yerba Buena, Tucuman"/>
    <x v="184"/>
    <x v="22"/>
    <x v="6"/>
    <n v="353"/>
    <n v="425"/>
    <s v="AR"/>
    <s v="TU"/>
    <s v="1"/>
    <s v="06"/>
    <s v="RB_FV"/>
    <s v="TU"/>
    <s v="1d"/>
    <s v="04"/>
    <s v="3PL Direct"/>
    <s v="2d"/>
    <x v="185"/>
    <s v="AR1X02"/>
    <s v="X"/>
    <s v="X"/>
    <s v="No Cut Off"/>
  </r>
  <r>
    <s v="Interior"/>
    <s v="Charata, Chaco"/>
    <x v="185"/>
    <x v="23"/>
    <x v="8"/>
    <n v="348"/>
    <n v="370"/>
    <s v="AR"/>
    <s v="CH"/>
    <s v="1"/>
    <s v="01"/>
    <s v="RB_FV"/>
    <s v="CH"/>
    <s v="1d"/>
    <s v="01"/>
    <s v="Road/Truck"/>
    <s v="7d"/>
    <x v="186"/>
    <s v="AR1X07"/>
    <s v="X"/>
    <s v="X"/>
    <s v="Cut Off"/>
  </r>
  <r>
    <s v="Interior"/>
    <s v="Pcia.Roque S.PE&amp;A, Chaco"/>
    <x v="186"/>
    <x v="23"/>
    <x v="8"/>
    <n v="348"/>
    <n v="365"/>
    <s v="AR"/>
    <s v="CH"/>
    <s v="1"/>
    <s v="02"/>
    <s v="RB_FV"/>
    <s v="CH"/>
    <s v="1d"/>
    <s v="01"/>
    <s v="Road/Truck"/>
    <s v="7d"/>
    <x v="187"/>
    <s v="AR1X07"/>
    <s v="X"/>
    <s v="X"/>
    <s v="Cut Off"/>
  </r>
  <r>
    <s v="Interior"/>
    <s v="Quitilipi, Chaco  "/>
    <x v="187"/>
    <x v="23"/>
    <x v="8"/>
    <n v="348"/>
    <n v="375"/>
    <s v="AR"/>
    <s v="CH"/>
    <s v="1"/>
    <s v="03"/>
    <s v="RB_FV"/>
    <s v="CH"/>
    <s v="1d"/>
    <s v="01"/>
    <s v="Road/Truck"/>
    <s v="7d"/>
    <x v="188"/>
    <s v="AR1X07"/>
    <s v="X"/>
    <s v="X"/>
    <s v="Cut Off"/>
  </r>
  <r>
    <s v="Interior"/>
    <s v="Resistencia, Chaco"/>
    <x v="188"/>
    <x v="23"/>
    <x v="8"/>
    <n v="348"/>
    <n v="348"/>
    <s v="AR"/>
    <s v="CH"/>
    <s v="1"/>
    <s v="04"/>
    <s v="RB_FV"/>
    <s v="CH"/>
    <s v="1d"/>
    <s v="01"/>
    <s v="Road/Truck"/>
    <s v="7d"/>
    <x v="189"/>
    <s v="AR1X07"/>
    <s v="X"/>
    <s v="X"/>
    <s v="Cut Off"/>
  </r>
  <r>
    <s v="Interior"/>
    <s v="Villa Angela, Chaco"/>
    <x v="189"/>
    <x v="23"/>
    <x v="8"/>
    <n v="348"/>
    <n v="350"/>
    <s v="AR"/>
    <s v="CH"/>
    <s v="1"/>
    <s v="05"/>
    <s v="RB_FV"/>
    <s v="CH"/>
    <s v="1d"/>
    <s v="01"/>
    <s v="Road/Truck"/>
    <s v="7d"/>
    <x v="190"/>
    <s v="AR1X07"/>
    <s v="X"/>
    <s v="X"/>
    <s v="Cut Off"/>
  </r>
  <r>
    <s v="Interior"/>
    <s v="Charata, Chaco"/>
    <x v="185"/>
    <x v="23"/>
    <x v="8"/>
    <n v="348"/>
    <n v="370"/>
    <s v="AR"/>
    <s v="CH"/>
    <s v="1"/>
    <s v="01"/>
    <s v="RB_FV"/>
    <s v="CH"/>
    <s v="1d"/>
    <s v="04"/>
    <s v="3PL Direct"/>
    <s v="2d"/>
    <x v="186"/>
    <s v="AR1X02"/>
    <s v="X"/>
    <s v="X"/>
    <s v="No Cut Off"/>
  </r>
  <r>
    <s v="Interior"/>
    <s v="Pcia.Roque S.PE&amp;A, Chaco"/>
    <x v="186"/>
    <x v="23"/>
    <x v="8"/>
    <n v="348"/>
    <n v="365"/>
    <s v="AR"/>
    <s v="CH"/>
    <s v="1"/>
    <s v="02"/>
    <s v="RB_FV"/>
    <s v="CH"/>
    <s v="1d"/>
    <s v="04"/>
    <s v="3PL Direct"/>
    <s v="2d"/>
    <x v="187"/>
    <s v="AR1X02"/>
    <s v="X"/>
    <s v="X"/>
    <s v="No Cut Off"/>
  </r>
  <r>
    <s v="Interior"/>
    <s v="Quitilipi, Chaco  "/>
    <x v="187"/>
    <x v="23"/>
    <x v="8"/>
    <n v="348"/>
    <n v="375"/>
    <s v="AR"/>
    <s v="CH"/>
    <s v="1"/>
    <s v="03"/>
    <s v="RB_FV"/>
    <s v="CH"/>
    <s v="1d"/>
    <s v="04"/>
    <s v="3PL Direct"/>
    <s v="2d"/>
    <x v="188"/>
    <s v="AR1X02"/>
    <s v="X"/>
    <s v="X"/>
    <s v="No Cut Off"/>
  </r>
  <r>
    <s v="Interior"/>
    <s v="Resistencia, Chaco"/>
    <x v="188"/>
    <x v="23"/>
    <x v="8"/>
    <n v="348"/>
    <n v="348"/>
    <s v="AR"/>
    <s v="CH"/>
    <s v="1"/>
    <s v="04"/>
    <s v="RB_FV"/>
    <s v="CH"/>
    <s v="1d"/>
    <s v="04"/>
    <s v="3PL Direct"/>
    <s v="2d"/>
    <x v="189"/>
    <s v="AR1X02"/>
    <s v="X"/>
    <s v="X"/>
    <s v="No Cut Off"/>
  </r>
  <r>
    <s v="Interior"/>
    <s v="Villa Angela, Chaco"/>
    <x v="189"/>
    <x v="23"/>
    <x v="8"/>
    <n v="348"/>
    <n v="350"/>
    <s v="AR"/>
    <s v="CH"/>
    <s v="1"/>
    <s v="05"/>
    <s v="RB_FV"/>
    <s v="CH"/>
    <s v="1d"/>
    <s v="04"/>
    <s v="3PL Direct"/>
    <s v="2d"/>
    <x v="190"/>
    <s v="AR1X02"/>
    <s v="X"/>
    <s v="X"/>
    <s v="No Cut Off"/>
  </r>
  <r>
    <s v="Interior"/>
    <s v="Comodoro Rivadavia, Chubut"/>
    <x v="190"/>
    <x v="24"/>
    <x v="11"/>
    <n v="356"/>
    <n v="950"/>
    <s v="AR"/>
    <s v="CT"/>
    <s v="1"/>
    <s v="01"/>
    <s v="RB_FV"/>
    <s v="CT"/>
    <s v="1d"/>
    <s v="01"/>
    <s v="Road/Truck"/>
    <s v="12d"/>
    <x v="191"/>
    <s v="AR1X12"/>
    <s v="X"/>
    <s v="X"/>
    <s v="Cut Off"/>
  </r>
  <r>
    <s v="Interior"/>
    <s v="Esquel, Chubut"/>
    <x v="191"/>
    <x v="24"/>
    <x v="11"/>
    <n v="356"/>
    <n v="966"/>
    <s v="AR"/>
    <s v="CT"/>
    <s v="1"/>
    <s v="02"/>
    <s v="RB_FV"/>
    <s v="CT"/>
    <s v="1d"/>
    <s v="01"/>
    <s v="Road/Truck"/>
    <s v="12d"/>
    <x v="192"/>
    <s v="AR1X12"/>
    <s v="X"/>
    <s v="X"/>
    <s v="Cut Off"/>
  </r>
  <r>
    <s v="Interior"/>
    <s v="Playa Union, Chubut"/>
    <x v="192"/>
    <x v="24"/>
    <x v="11"/>
    <n v="356"/>
    <n v="953"/>
    <s v="AR"/>
    <s v="CT"/>
    <s v="1"/>
    <s v="03"/>
    <s v="RB_FV"/>
    <s v="CT"/>
    <s v="1d"/>
    <s v="01"/>
    <s v="Road/Truck"/>
    <s v="12d"/>
    <x v="193"/>
    <s v="AR1X12"/>
    <s v="X"/>
    <s v="X"/>
    <s v="Cut Off"/>
  </r>
  <r>
    <s v="Interior"/>
    <s v="Puerto Madryn, Chubut"/>
    <x v="193"/>
    <x v="24"/>
    <x v="11"/>
    <n v="356"/>
    <n v="964"/>
    <s v="AR"/>
    <s v="CT"/>
    <s v="1"/>
    <s v="04"/>
    <s v="RB_FV"/>
    <s v="CT"/>
    <s v="1d"/>
    <s v="01"/>
    <s v="Road/Truck"/>
    <s v="12d"/>
    <x v="194"/>
    <s v="AR1X12"/>
    <s v="X"/>
    <s v="X"/>
    <s v="Cut Off"/>
  </r>
  <r>
    <s v="Interior"/>
    <s v="Rawson, Chubut"/>
    <x v="194"/>
    <x v="24"/>
    <x v="11"/>
    <n v="356"/>
    <n v="962"/>
    <s v="AR"/>
    <s v="CT"/>
    <s v="1"/>
    <s v="05"/>
    <s v="RB_FV"/>
    <s v="CT"/>
    <s v="1d"/>
    <s v="01"/>
    <s v="Road/Truck"/>
    <s v="12d"/>
    <x v="195"/>
    <s v="AR1X12"/>
    <s v="X"/>
    <s v="X"/>
    <s v="Cut Off"/>
  </r>
  <r>
    <s v="Interior"/>
    <s v="Rio Mayo, Chubut"/>
    <x v="195"/>
    <x v="24"/>
    <x v="11"/>
    <n v="356"/>
    <n v="954"/>
    <s v="AR"/>
    <s v="CT"/>
    <s v="1"/>
    <s v="06"/>
    <s v="RB_FV"/>
    <s v="CT"/>
    <s v="1d"/>
    <s v="01"/>
    <s v="Road/Truck"/>
    <s v="12d"/>
    <x v="196"/>
    <s v="AR1X12"/>
    <s v="X"/>
    <s v="X"/>
    <s v="Cut Off"/>
  </r>
  <r>
    <s v="Interior"/>
    <s v="Sarmiento, Chubut"/>
    <x v="196"/>
    <x v="24"/>
    <x v="11"/>
    <n v="356"/>
    <n v="952"/>
    <s v="AR"/>
    <s v="CT"/>
    <s v="1"/>
    <s v="07"/>
    <s v="RB_FV"/>
    <s v="CT"/>
    <s v="1d"/>
    <s v="01"/>
    <s v="Road/Truck"/>
    <s v="12d"/>
    <x v="197"/>
    <s v="AR1X12"/>
    <s v="X"/>
    <s v="X"/>
    <s v="Cut Off"/>
  </r>
  <r>
    <s v="Interior"/>
    <s v="Trelew, Chubut"/>
    <x v="197"/>
    <x v="24"/>
    <x v="11"/>
    <n v="356"/>
    <n v="960"/>
    <s v="AR"/>
    <s v="CT"/>
    <s v="1"/>
    <s v="08"/>
    <s v="RB_FV"/>
    <s v="CT"/>
    <s v="1d"/>
    <s v="01"/>
    <s v="Road/Truck"/>
    <s v="12d"/>
    <x v="198"/>
    <s v="AR1X12"/>
    <s v="X"/>
    <s v="X"/>
    <s v="Cut Off"/>
  </r>
  <r>
    <s v="Interior"/>
    <s v="Comodoro Rivadavia, Chubut"/>
    <x v="190"/>
    <x v="24"/>
    <x v="11"/>
    <n v="356"/>
    <n v="950"/>
    <s v="AR"/>
    <s v="CT"/>
    <s v="1"/>
    <s v="01"/>
    <s v="RB_FV"/>
    <s v="CT"/>
    <s v="1d"/>
    <s v="04"/>
    <s v="3PL Direct"/>
    <s v="2d"/>
    <x v="191"/>
    <s v="AR1X02"/>
    <s v="X"/>
    <s v="X"/>
    <s v="No Cut Off"/>
  </r>
  <r>
    <s v="Interior"/>
    <s v="Esquel, Chubut"/>
    <x v="191"/>
    <x v="24"/>
    <x v="11"/>
    <n v="356"/>
    <n v="966"/>
    <s v="AR"/>
    <s v="CT"/>
    <s v="1"/>
    <s v="02"/>
    <s v="RB_FV"/>
    <s v="CT"/>
    <s v="1d"/>
    <s v="04"/>
    <s v="3PL Direct"/>
    <s v="2d"/>
    <x v="192"/>
    <s v="AR1X02"/>
    <s v="X"/>
    <s v="X"/>
    <s v="No Cut Off"/>
  </r>
  <r>
    <s v="Interior"/>
    <s v="Playa Union, Chubut"/>
    <x v="192"/>
    <x v="24"/>
    <x v="11"/>
    <n v="356"/>
    <n v="953"/>
    <s v="AR"/>
    <s v="CT"/>
    <s v="1"/>
    <s v="03"/>
    <s v="RB_FV"/>
    <s v="CT"/>
    <s v="1d"/>
    <s v="04"/>
    <s v="3PL Direct"/>
    <s v="2d"/>
    <x v="193"/>
    <s v="AR1X02"/>
    <s v="X"/>
    <s v="X"/>
    <s v="No Cut Off"/>
  </r>
  <r>
    <s v="Interior"/>
    <s v="Puerto Madryn, Chubut"/>
    <x v="198"/>
    <x v="24"/>
    <x v="11"/>
    <n v="356"/>
    <n v="964"/>
    <s v="AR"/>
    <s v="CT"/>
    <s v="1"/>
    <s v="04"/>
    <s v="RB_FV"/>
    <s v="CT"/>
    <s v="1d"/>
    <s v="04"/>
    <s v="3PL Direct"/>
    <s v="2d"/>
    <x v="194"/>
    <s v="AR1X02"/>
    <s v="X"/>
    <s v="X"/>
    <s v="No Cut Off"/>
  </r>
  <r>
    <s v="Interior"/>
    <s v="Rawson, Chubut"/>
    <x v="194"/>
    <x v="24"/>
    <x v="11"/>
    <n v="356"/>
    <n v="962"/>
    <s v="AR"/>
    <s v="CT"/>
    <s v="1"/>
    <s v="05"/>
    <s v="RB_FV"/>
    <s v="CT"/>
    <s v="1d"/>
    <s v="04"/>
    <s v="3PL Direct"/>
    <s v="2d"/>
    <x v="195"/>
    <s v="AR1X02"/>
    <s v="X"/>
    <s v="X"/>
    <s v="No Cut Off"/>
  </r>
  <r>
    <s v="Interior"/>
    <s v="Rio Mayo, Chubut"/>
    <x v="195"/>
    <x v="24"/>
    <x v="11"/>
    <n v="356"/>
    <n v="954"/>
    <s v="AR"/>
    <s v="CT"/>
    <s v="1"/>
    <s v="06"/>
    <s v="RB_FV"/>
    <s v="CT"/>
    <s v="1d"/>
    <s v="04"/>
    <s v="3PL Direct"/>
    <s v="2d"/>
    <x v="196"/>
    <s v="AR1X02"/>
    <s v="X"/>
    <s v="X"/>
    <s v="No Cut Off"/>
  </r>
  <r>
    <s v="Interior"/>
    <s v="Sarmiento, Chubut"/>
    <x v="196"/>
    <x v="24"/>
    <x v="11"/>
    <n v="356"/>
    <n v="952"/>
    <s v="AR"/>
    <s v="CT"/>
    <s v="1"/>
    <s v="07"/>
    <s v="RB_FV"/>
    <s v="CT"/>
    <s v="1d"/>
    <s v="04"/>
    <s v="3PL Direct"/>
    <s v="2d"/>
    <x v="197"/>
    <s v="AR1X02"/>
    <s v="X"/>
    <s v="X"/>
    <s v="No Cut Off"/>
  </r>
  <r>
    <s v="Interior"/>
    <s v="Trelew, Chubut"/>
    <x v="197"/>
    <x v="24"/>
    <x v="11"/>
    <n v="356"/>
    <n v="960"/>
    <s v="AR"/>
    <s v="CT"/>
    <s v="1"/>
    <s v="08"/>
    <s v="RB_FV"/>
    <s v="CT"/>
    <s v="1d"/>
    <s v="04"/>
    <s v="3PL Direct"/>
    <s v="2d"/>
    <x v="198"/>
    <s v="AR1X02"/>
    <s v="X"/>
    <s v="X"/>
    <s v="No Cut Off"/>
  </r>
  <r>
    <s v="Interior"/>
    <s v="Centenario, Neuquen"/>
    <x v="199"/>
    <x v="25"/>
    <x v="3"/>
    <n v="299"/>
    <n v="906"/>
    <s v="AR"/>
    <s v="NQ"/>
    <s v="1"/>
    <s v="01"/>
    <s v="RB_FV"/>
    <s v="NQ"/>
    <s v="1d"/>
    <s v="01"/>
    <s v="Road/Truck"/>
    <s v="7d"/>
    <x v="199"/>
    <s v="AR1X07"/>
    <s v="X"/>
    <s v="X"/>
    <s v="Cut Off"/>
  </r>
  <r>
    <s v="Interior"/>
    <s v="Neuquen, Neuquen"/>
    <x v="200"/>
    <x v="25"/>
    <x v="3"/>
    <n v="299"/>
    <n v="904"/>
    <s v="AR"/>
    <s v="NQ"/>
    <s v="1"/>
    <s v="02"/>
    <s v="RB_FV"/>
    <s v="NQ"/>
    <s v="1d"/>
    <s v="01"/>
    <s v="Road/Truck"/>
    <s v="7d"/>
    <x v="200"/>
    <s v="AR1X07"/>
    <s v="X"/>
    <s v="X"/>
    <s v="Cut Off"/>
  </r>
  <r>
    <s v="Interior"/>
    <s v="San M. de Los Andes,Neuquen"/>
    <x v="201"/>
    <x v="25"/>
    <x v="3"/>
    <n v="299"/>
    <n v="920"/>
    <s v="AR"/>
    <s v="NQ"/>
    <s v="1"/>
    <s v="03"/>
    <s v="RB_FV"/>
    <s v="NQ"/>
    <s v="1d"/>
    <s v="01"/>
    <s v="Road/Truck"/>
    <s v="7d"/>
    <x v="201"/>
    <s v="AR1X07"/>
    <s v="X"/>
    <s v="X"/>
    <s v="Cut Off"/>
  </r>
  <r>
    <s v="Interior"/>
    <s v="Zapala, Neuquen"/>
    <x v="202"/>
    <x v="25"/>
    <x v="3"/>
    <n v="299"/>
    <n v="914"/>
    <s v="AR"/>
    <s v="NQ"/>
    <s v="1"/>
    <s v="04"/>
    <s v="RB_FV"/>
    <s v="NQ"/>
    <s v="1d"/>
    <s v="01"/>
    <s v="Road/Truck"/>
    <s v="7d"/>
    <x v="202"/>
    <s v="AR1X07"/>
    <s v="X"/>
    <s v="X"/>
    <s v="Cut Off"/>
  </r>
  <r>
    <s v="Interior"/>
    <s v="Centenario, Neuquen"/>
    <x v="199"/>
    <x v="25"/>
    <x v="3"/>
    <n v="299"/>
    <n v="906"/>
    <s v="AR"/>
    <s v="NQ"/>
    <s v="1"/>
    <s v="01"/>
    <s v="RB_FV"/>
    <s v="NQ"/>
    <s v="1d"/>
    <s v="04"/>
    <s v="3PL Direct"/>
    <s v="1d"/>
    <x v="199"/>
    <s v="AR1X01"/>
    <s v="X"/>
    <s v="X"/>
    <s v="No Cut Off"/>
  </r>
  <r>
    <s v="Interior"/>
    <s v="Neuquen, Neuquen"/>
    <x v="203"/>
    <x v="25"/>
    <x v="3"/>
    <n v="299"/>
    <n v="904"/>
    <s v="AR"/>
    <s v="NQ"/>
    <s v="1"/>
    <s v="02"/>
    <s v="RB_FV"/>
    <s v="NQ"/>
    <s v="1d"/>
    <s v="04"/>
    <s v="3PL Direct"/>
    <s v="1d"/>
    <x v="200"/>
    <s v="AR1X01"/>
    <s v="X"/>
    <s v="X"/>
    <s v="No Cut Off"/>
  </r>
  <r>
    <s v="Interior"/>
    <s v="San M. de Los Andes,Neuquen"/>
    <x v="201"/>
    <x v="25"/>
    <x v="3"/>
    <n v="299"/>
    <n v="920"/>
    <s v="AR"/>
    <s v="NQ"/>
    <s v="1"/>
    <s v="03"/>
    <s v="RB_FV"/>
    <s v="NQ"/>
    <s v="1d"/>
    <s v="04"/>
    <s v="3PL Direct"/>
    <s v="1d"/>
    <x v="201"/>
    <s v="AR1X01"/>
    <s v="X"/>
    <s v="X"/>
    <s v="No Cut Off"/>
  </r>
  <r>
    <s v="Interior"/>
    <s v="Zapala, Neuquen"/>
    <x v="202"/>
    <x v="25"/>
    <x v="3"/>
    <n v="299"/>
    <n v="914"/>
    <s v="AR"/>
    <s v="NQ"/>
    <s v="1"/>
    <s v="04"/>
    <s v="RB_FV"/>
    <s v="NQ"/>
    <s v="1d"/>
    <s v="04"/>
    <s v="3PL Direct"/>
    <s v="1d"/>
    <x v="202"/>
    <s v="AR1X01"/>
    <s v="X"/>
    <s v="X"/>
    <s v="No Cut Off"/>
  </r>
  <r>
    <s v="Exportacion"/>
    <s v="Montevideo"/>
    <x v="204"/>
    <x v="26"/>
    <x v="0"/>
    <m/>
    <m/>
    <s v="AR"/>
    <s v="UR"/>
    <s v="1"/>
    <s v="01"/>
    <s v="RB_FV"/>
    <s v="UR"/>
    <s v="1d"/>
    <s v="01"/>
    <s v="Road/Truck"/>
    <s v="3d"/>
    <x v="203"/>
    <s v="AR1X03"/>
    <s v="X"/>
    <s v="X"/>
    <s v="Expo"/>
  </r>
  <r>
    <s v="Exportacion"/>
    <s v="Montevideo"/>
    <x v="204"/>
    <x v="26"/>
    <x v="0"/>
    <m/>
    <m/>
    <s v="AR"/>
    <s v="UR"/>
    <s v="1"/>
    <s v="01"/>
    <s v="RB_FV"/>
    <s v="UR"/>
    <s v="1d"/>
    <s v="04"/>
    <s v="3PL Direct"/>
    <s v="3d"/>
    <x v="203"/>
    <s v="AR1X03"/>
    <s v="X"/>
    <s v="X"/>
    <s v="Exp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160C60-B5C8-4637-A01D-C65479F24131}" name="TablaDinámica1" cacheId="3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compact="0" compactData="0" multipleFieldFilters="0">
  <location ref="A3:D210" firstHeaderRow="1" firstDataRow="1" firstDataCol="4"/>
  <pivotFields count="2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5">
        <item x="22"/>
        <item x="103"/>
        <item x="179"/>
        <item x="47"/>
        <item x="23"/>
        <item x="48"/>
        <item x="49"/>
        <item x="2"/>
        <item x="150"/>
        <item x="24"/>
        <item x="50"/>
        <item x="21"/>
        <item x="11"/>
        <item x="51"/>
        <item x="30"/>
        <item x="25"/>
        <item x="137"/>
        <item x="52"/>
        <item x="8"/>
        <item x="151"/>
        <item x="3"/>
        <item x="152"/>
        <item x="153"/>
        <item x="46"/>
        <item x="199"/>
        <item x="129"/>
        <item x="154"/>
        <item x="75"/>
        <item x="155"/>
        <item x="185"/>
        <item x="26"/>
        <item x="101"/>
        <item x="27"/>
        <item x="121"/>
        <item x="122"/>
        <item x="90"/>
        <item x="76"/>
        <item x="53"/>
        <item x="190"/>
        <item x="77"/>
        <item x="180"/>
        <item x="78"/>
        <item x="54"/>
        <item x="28"/>
        <item x="55"/>
        <item x="72"/>
        <item x="56"/>
        <item x="79"/>
        <item x="138"/>
        <item x="80"/>
        <item x="29"/>
        <item x="123"/>
        <item x="139"/>
        <item x="116"/>
        <item x="57"/>
        <item x="156"/>
        <item x="157"/>
        <item x="191"/>
        <item x="175"/>
        <item x="158"/>
        <item x="91"/>
        <item x="159"/>
        <item x="140"/>
        <item x="104"/>
        <item x="73"/>
        <item x="97"/>
        <item x="124"/>
        <item x="105"/>
        <item x="12"/>
        <item x="31"/>
        <item x="160"/>
        <item x="81"/>
        <item x="82"/>
        <item x="106"/>
        <item x="98"/>
        <item x="117"/>
        <item x="58"/>
        <item x="181"/>
        <item x="32"/>
        <item x="99"/>
        <item x="83"/>
        <item x="92"/>
        <item x="102"/>
        <item x="161"/>
        <item x="107"/>
        <item x="59"/>
        <item x="118"/>
        <item x="93"/>
        <item x="33"/>
        <item x="34"/>
        <item x="141"/>
        <item x="108"/>
        <item x="162"/>
        <item x="13"/>
        <item x="14"/>
        <item x="109"/>
        <item x="7"/>
        <item x="84"/>
        <item x="15"/>
        <item x="60"/>
        <item x="182"/>
        <item x="204"/>
        <item x="16"/>
        <item x="203"/>
        <item x="200"/>
        <item x="85"/>
        <item x="113"/>
        <item x="61"/>
        <item x="35"/>
        <item x="36"/>
        <item x="94"/>
        <item x="89"/>
        <item x="74"/>
        <item x="142"/>
        <item x="186"/>
        <item x="37"/>
        <item x="38"/>
        <item x="143"/>
        <item x="144"/>
        <item x="39"/>
        <item x="10"/>
        <item x="17"/>
        <item x="192"/>
        <item x="130"/>
        <item x="119"/>
        <item x="145"/>
        <item x="193"/>
        <item x="198"/>
        <item x="120"/>
        <item x="146"/>
        <item x="147"/>
        <item x="187"/>
        <item x="163"/>
        <item x="194"/>
        <item x="164"/>
        <item x="188"/>
        <item x="62"/>
        <item x="63"/>
        <item x="148"/>
        <item x="177"/>
        <item x="195"/>
        <item x="125"/>
        <item x="64"/>
        <item x="149"/>
        <item x="110"/>
        <item x="165"/>
        <item x="166"/>
        <item x="40"/>
        <item x="131"/>
        <item x="18"/>
        <item x="126"/>
        <item x="19"/>
        <item x="65"/>
        <item x="66"/>
        <item x="167"/>
        <item x="111"/>
        <item x="132"/>
        <item x="168"/>
        <item x="169"/>
        <item x="135"/>
        <item x="201"/>
        <item x="183"/>
        <item x="112"/>
        <item x="44"/>
        <item x="95"/>
        <item x="115"/>
        <item x="96"/>
        <item x="0"/>
        <item x="170"/>
        <item x="171"/>
        <item x="86"/>
        <item x="133"/>
        <item x="100"/>
        <item x="67"/>
        <item x="1"/>
        <item x="176"/>
        <item x="172"/>
        <item x="196"/>
        <item x="41"/>
        <item x="197"/>
        <item x="45"/>
        <item x="42"/>
        <item x="68"/>
        <item x="178"/>
        <item x="43"/>
        <item x="173"/>
        <item x="87"/>
        <item x="127"/>
        <item x="189"/>
        <item x="69"/>
        <item x="70"/>
        <item x="20"/>
        <item x="174"/>
        <item x="134"/>
        <item x="71"/>
        <item x="136"/>
        <item x="128"/>
        <item x="88"/>
        <item x="114"/>
        <item x="184"/>
        <item x="202"/>
        <item x="9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n="Chaco" x="23"/>
        <item n="Chubut" x="24"/>
        <item n="Neuquén" x="25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2"/>
        <item x="3"/>
        <item x="1"/>
        <item x="7"/>
        <item x="10"/>
        <item x="9"/>
        <item x="8"/>
        <item x="6"/>
        <item x="4"/>
        <item x="11"/>
        <item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4"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21"/>
        <item x="0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186"/>
        <item x="187"/>
        <item x="188"/>
        <item x="189"/>
        <item x="190"/>
        <item x="1"/>
        <item x="73"/>
        <item x="74"/>
        <item x="75"/>
        <item x="191"/>
        <item x="192"/>
        <item x="193"/>
        <item x="194"/>
        <item x="195"/>
        <item x="196"/>
        <item x="197"/>
        <item x="198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16"/>
        <item x="117"/>
        <item x="118"/>
        <item x="119"/>
        <item x="120"/>
        <item x="121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99"/>
        <item x="200"/>
        <item x="201"/>
        <item x="202"/>
        <item x="2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76"/>
        <item x="177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33"/>
        <item x="134"/>
        <item x="135"/>
        <item x="136"/>
        <item x="137"/>
        <item x="178"/>
        <item x="179"/>
        <item x="180"/>
        <item x="181"/>
        <item x="182"/>
        <item x="183"/>
        <item x="184"/>
        <item x="185"/>
        <item x="20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4"/>
    <field x="3"/>
    <field x="2"/>
    <field x="17"/>
  </rowFields>
  <rowItems count="207">
    <i>
      <x/>
      <x v="3"/>
      <x v="12"/>
      <x v="8"/>
    </i>
    <i r="2">
      <x v="68"/>
      <x v="9"/>
    </i>
    <i r="2">
      <x v="93"/>
      <x v="10"/>
    </i>
    <i r="2">
      <x v="94"/>
      <x v="11"/>
    </i>
    <i r="2">
      <x v="98"/>
      <x v="12"/>
    </i>
    <i r="2">
      <x v="102"/>
      <x v="13"/>
    </i>
    <i r="2">
      <x v="121"/>
      <x v="14"/>
    </i>
    <i r="2">
      <x v="149"/>
      <x v="15"/>
    </i>
    <i r="2">
      <x v="151"/>
      <x v="16"/>
    </i>
    <i r="2">
      <x v="191"/>
      <x v="17"/>
    </i>
    <i>
      <x v="1"/>
      <x v="3"/>
      <x v="11"/>
      <x v="43"/>
    </i>
    <i r="1">
      <x v="14"/>
      <x v="33"/>
      <x v="139"/>
    </i>
    <i r="2">
      <x v="34"/>
      <x v="140"/>
    </i>
    <i r="2">
      <x v="51"/>
      <x v="141"/>
    </i>
    <i r="2">
      <x v="66"/>
      <x v="142"/>
    </i>
    <i r="2">
      <x v="141"/>
      <x v="143"/>
    </i>
    <i r="2">
      <x v="150"/>
      <x v="144"/>
    </i>
    <i r="2">
      <x v="187"/>
      <x v="145"/>
    </i>
    <i r="2">
      <x v="196"/>
      <x v="146"/>
    </i>
    <i r="1">
      <x v="25"/>
      <x v="24"/>
      <x v="134"/>
    </i>
    <i r="2">
      <x v="103"/>
      <x v="135"/>
    </i>
    <i r="2">
      <x v="104"/>
      <x v="135"/>
    </i>
    <i r="2">
      <x v="160"/>
      <x v="136"/>
    </i>
    <i r="2">
      <x v="200"/>
      <x v="137"/>
    </i>
    <i>
      <x v="2"/>
      <x v="3"/>
      <x v="18"/>
      <x v="5"/>
    </i>
    <i r="2">
      <x v="20"/>
      <x/>
    </i>
    <i r="2">
      <x v="96"/>
      <x v="4"/>
    </i>
    <i r="2">
      <x v="120"/>
      <x v="7"/>
    </i>
    <i r="2">
      <x v="201"/>
      <x v="6"/>
    </i>
    <i r="2">
      <x v="202"/>
      <x v="1"/>
    </i>
    <i r="2">
      <x v="203"/>
      <x v="2"/>
    </i>
    <i r="2">
      <x v="204"/>
      <x v="3"/>
    </i>
    <i>
      <x v="3"/>
      <x v="5"/>
      <x v="3"/>
      <x v="46"/>
    </i>
    <i r="2">
      <x v="5"/>
      <x v="47"/>
    </i>
    <i r="2">
      <x v="6"/>
      <x v="48"/>
    </i>
    <i r="2">
      <x v="10"/>
      <x v="49"/>
    </i>
    <i r="2">
      <x v="13"/>
      <x v="50"/>
    </i>
    <i r="2">
      <x v="17"/>
      <x v="51"/>
    </i>
    <i r="2">
      <x v="37"/>
      <x v="52"/>
    </i>
    <i r="2">
      <x v="42"/>
      <x v="53"/>
    </i>
    <i r="2">
      <x v="44"/>
      <x v="54"/>
    </i>
    <i r="2">
      <x v="46"/>
      <x v="55"/>
    </i>
    <i r="2">
      <x v="54"/>
      <x v="56"/>
    </i>
    <i r="2">
      <x v="76"/>
      <x v="57"/>
    </i>
    <i r="2">
      <x v="85"/>
      <x v="58"/>
    </i>
    <i r="2">
      <x v="99"/>
      <x v="59"/>
    </i>
    <i r="2">
      <x v="107"/>
      <x v="60"/>
    </i>
    <i r="2">
      <x v="136"/>
      <x v="61"/>
    </i>
    <i r="2">
      <x v="137"/>
      <x v="62"/>
    </i>
    <i r="2">
      <x v="142"/>
      <x v="63"/>
    </i>
    <i r="2">
      <x v="152"/>
      <x v="64"/>
    </i>
    <i r="2">
      <x v="153"/>
      <x v="65"/>
    </i>
    <i r="2">
      <x v="173"/>
      <x v="66"/>
    </i>
    <i r="2">
      <x v="182"/>
      <x v="67"/>
    </i>
    <i r="2">
      <x v="189"/>
      <x v="68"/>
    </i>
    <i r="2">
      <x v="190"/>
      <x v="69"/>
    </i>
    <i r="2">
      <x v="194"/>
      <x v="70"/>
    </i>
    <i r="1">
      <x v="11"/>
      <x v="31"/>
      <x v="114"/>
    </i>
    <i r="2">
      <x v="82"/>
      <x v="115"/>
    </i>
    <i>
      <x v="4"/>
      <x v="12"/>
      <x v="1"/>
      <x v="122"/>
    </i>
    <i r="2">
      <x v="63"/>
      <x v="123"/>
    </i>
    <i r="2">
      <x v="67"/>
      <x v="124"/>
    </i>
    <i r="2">
      <x v="73"/>
      <x v="125"/>
    </i>
    <i r="2">
      <x v="84"/>
      <x v="126"/>
    </i>
    <i r="2">
      <x v="91"/>
      <x v="127"/>
    </i>
    <i r="2">
      <x v="95"/>
      <x v="128"/>
    </i>
    <i r="2">
      <x v="106"/>
      <x v="132"/>
    </i>
    <i r="2">
      <x v="144"/>
      <x v="129"/>
    </i>
    <i r="2">
      <x v="155"/>
      <x v="130"/>
    </i>
    <i r="2">
      <x v="162"/>
      <x v="131"/>
    </i>
    <i r="2">
      <x v="165"/>
      <x v="132"/>
    </i>
    <i r="2">
      <x v="198"/>
      <x v="133"/>
    </i>
    <i r="1">
      <x v="16"/>
      <x v="156"/>
      <x v="190"/>
    </i>
    <i r="2">
      <x v="171"/>
      <x v="191"/>
    </i>
    <i r="2">
      <x v="193"/>
      <x v="192"/>
    </i>
    <i r="1">
      <x v="17"/>
      <x v="159"/>
      <x v="193"/>
    </i>
    <i r="2">
      <x v="195"/>
      <x v="194"/>
    </i>
    <i>
      <x v="5"/>
      <x v="7"/>
      <x v="27"/>
      <x v="88"/>
    </i>
    <i r="2">
      <x v="36"/>
      <x v="89"/>
    </i>
    <i r="2">
      <x v="39"/>
      <x v="90"/>
    </i>
    <i r="2">
      <x v="41"/>
      <x v="91"/>
    </i>
    <i r="2">
      <x v="47"/>
      <x v="92"/>
    </i>
    <i r="2">
      <x v="49"/>
      <x v="93"/>
    </i>
    <i r="2">
      <x v="71"/>
      <x v="94"/>
    </i>
    <i r="2">
      <x v="72"/>
      <x v="95"/>
    </i>
    <i r="2">
      <x v="80"/>
      <x v="96"/>
    </i>
    <i r="2">
      <x v="97"/>
      <x v="97"/>
    </i>
    <i r="2">
      <x v="105"/>
      <x v="98"/>
    </i>
    <i r="2">
      <x v="170"/>
      <x v="99"/>
    </i>
    <i r="2">
      <x v="186"/>
      <x v="100"/>
    </i>
    <i r="2">
      <x v="197"/>
      <x v="101"/>
    </i>
    <i>
      <x v="6"/>
      <x v="6"/>
      <x v="45"/>
      <x v="77"/>
    </i>
    <i r="2">
      <x v="64"/>
      <x v="78"/>
    </i>
    <i r="2">
      <x v="112"/>
      <x v="79"/>
    </i>
    <i r="1">
      <x v="8"/>
      <x v="35"/>
      <x v="103"/>
    </i>
    <i r="2">
      <x v="60"/>
      <x v="104"/>
    </i>
    <i r="1">
      <x v="13"/>
      <x v="53"/>
      <x v="116"/>
    </i>
    <i r="2">
      <x v="75"/>
      <x v="117"/>
    </i>
    <i r="2">
      <x v="86"/>
      <x v="118"/>
    </i>
    <i r="2">
      <x v="106"/>
      <x v="119"/>
    </i>
    <i r="2">
      <x v="124"/>
      <x v="120"/>
    </i>
    <i r="2">
      <x v="128"/>
      <x v="121"/>
    </i>
    <i r="1">
      <x v="23"/>
      <x v="29"/>
      <x v="71"/>
    </i>
    <i r="2">
      <x v="114"/>
      <x v="72"/>
    </i>
    <i r="2">
      <x v="131"/>
      <x v="73"/>
    </i>
    <i r="2">
      <x v="135"/>
      <x v="74"/>
    </i>
    <i r="2">
      <x v="188"/>
      <x v="75"/>
    </i>
    <i>
      <x v="7"/>
      <x v="4"/>
      <x v="23"/>
      <x v="45"/>
    </i>
    <i r="1">
      <x v="9"/>
      <x v="81"/>
      <x v="105"/>
    </i>
    <i r="2">
      <x v="87"/>
      <x v="106"/>
    </i>
    <i r="2">
      <x v="110"/>
      <x v="107"/>
    </i>
    <i r="2">
      <x v="164"/>
      <x v="108"/>
    </i>
    <i r="2">
      <x v="166"/>
      <x v="109"/>
    </i>
    <i r="1">
      <x v="15"/>
      <x v="25"/>
      <x v="147"/>
    </i>
    <i r="2">
      <x v="123"/>
      <x v="148"/>
    </i>
    <i r="2">
      <x v="148"/>
      <x v="149"/>
    </i>
    <i r="1">
      <x v="20"/>
      <x v="58"/>
      <x v="163"/>
    </i>
    <i r="2">
      <x v="175"/>
      <x v="164"/>
    </i>
    <i r="1">
      <x v="22"/>
      <x v="2"/>
      <x v="197"/>
    </i>
    <i r="2">
      <x v="40"/>
      <x v="198"/>
    </i>
    <i r="2">
      <x v="77"/>
      <x v="199"/>
    </i>
    <i r="2">
      <x v="100"/>
      <x v="200"/>
    </i>
    <i r="2">
      <x v="161"/>
      <x v="201"/>
    </i>
    <i r="2">
      <x v="199"/>
      <x v="202"/>
    </i>
    <i>
      <x v="8"/>
      <x v="3"/>
      <x/>
      <x v="18"/>
    </i>
    <i r="2">
      <x v="4"/>
      <x v="19"/>
    </i>
    <i r="2">
      <x v="9"/>
      <x v="20"/>
    </i>
    <i r="2">
      <x v="14"/>
      <x v="27"/>
    </i>
    <i r="2">
      <x v="15"/>
      <x v="21"/>
    </i>
    <i r="2">
      <x v="18"/>
      <x v="22"/>
    </i>
    <i r="2">
      <x v="30"/>
      <x v="23"/>
    </i>
    <i r="2">
      <x v="32"/>
      <x v="24"/>
    </i>
    <i r="2">
      <x v="43"/>
      <x v="25"/>
    </i>
    <i r="2">
      <x v="50"/>
      <x v="26"/>
    </i>
    <i r="2">
      <x v="69"/>
      <x v="28"/>
    </i>
    <i r="2">
      <x v="78"/>
      <x v="29"/>
    </i>
    <i r="2">
      <x v="88"/>
      <x v="30"/>
    </i>
    <i r="2">
      <x v="89"/>
      <x v="31"/>
    </i>
    <i r="2">
      <x v="108"/>
      <x v="32"/>
    </i>
    <i r="2">
      <x v="109"/>
      <x v="33"/>
    </i>
    <i r="2">
      <x v="115"/>
      <x v="34"/>
    </i>
    <i r="2">
      <x v="116"/>
      <x v="35"/>
    </i>
    <i r="2">
      <x v="119"/>
      <x v="36"/>
    </i>
    <i r="2">
      <x v="147"/>
      <x v="37"/>
    </i>
    <i r="2">
      <x v="178"/>
      <x v="38"/>
    </i>
    <i r="2">
      <x v="180"/>
      <x v="42"/>
    </i>
    <i r="2">
      <x v="181"/>
      <x v="39"/>
    </i>
    <i r="2">
      <x v="184"/>
      <x v="40"/>
    </i>
    <i r="1">
      <x v="10"/>
      <x v="65"/>
      <x v="110"/>
    </i>
    <i r="2">
      <x v="74"/>
      <x v="111"/>
    </i>
    <i r="2">
      <x v="79"/>
      <x v="112"/>
    </i>
    <i r="2">
      <x v="172"/>
      <x v="113"/>
    </i>
    <i>
      <x v="9"/>
      <x v="18"/>
      <x v="16"/>
      <x v="150"/>
    </i>
    <i r="2">
      <x v="48"/>
      <x v="151"/>
    </i>
    <i r="2">
      <x v="52"/>
      <x v="152"/>
    </i>
    <i r="2">
      <x v="62"/>
      <x v="153"/>
    </i>
    <i r="2">
      <x v="90"/>
      <x v="154"/>
    </i>
    <i r="2">
      <x v="113"/>
      <x v="155"/>
    </i>
    <i r="2">
      <x v="117"/>
      <x v="156"/>
    </i>
    <i r="2">
      <x v="118"/>
      <x v="157"/>
    </i>
    <i r="2">
      <x v="125"/>
      <x v="158"/>
    </i>
    <i r="2">
      <x v="129"/>
      <x v="159"/>
    </i>
    <i r="2">
      <x v="130"/>
      <x v="160"/>
    </i>
    <i r="2">
      <x v="138"/>
      <x v="161"/>
    </i>
    <i r="2">
      <x v="143"/>
      <x v="162"/>
    </i>
    <i r="1">
      <x v="21"/>
      <x v="139"/>
      <x v="195"/>
    </i>
    <i r="2">
      <x v="183"/>
      <x v="196"/>
    </i>
    <i r="1">
      <x v="24"/>
      <x v="38"/>
      <x v="80"/>
    </i>
    <i r="2">
      <x v="57"/>
      <x v="81"/>
    </i>
    <i r="2">
      <x v="122"/>
      <x v="82"/>
    </i>
    <i r="2">
      <x v="126"/>
      <x v="83"/>
    </i>
    <i r="2">
      <x v="127"/>
      <x v="83"/>
    </i>
    <i r="2">
      <x v="133"/>
      <x v="84"/>
    </i>
    <i r="2">
      <x v="140"/>
      <x v="85"/>
    </i>
    <i r="2">
      <x v="177"/>
      <x v="86"/>
    </i>
    <i r="2">
      <x v="179"/>
      <x v="87"/>
    </i>
    <i>
      <x v="10"/>
      <x v="3"/>
      <x v="163"/>
      <x v="41"/>
    </i>
    <i r="1">
      <x v="7"/>
      <x v="111"/>
      <x v="102"/>
    </i>
    <i r="1">
      <x v="19"/>
      <x v="8"/>
      <x v="165"/>
    </i>
    <i r="2">
      <x v="19"/>
      <x v="166"/>
    </i>
    <i r="2">
      <x v="21"/>
      <x v="167"/>
    </i>
    <i r="2">
      <x v="22"/>
      <x v="168"/>
    </i>
    <i r="2">
      <x v="26"/>
      <x v="169"/>
    </i>
    <i r="2">
      <x v="28"/>
      <x v="170"/>
    </i>
    <i r="2">
      <x v="55"/>
      <x v="171"/>
    </i>
    <i r="2">
      <x v="56"/>
      <x v="172"/>
    </i>
    <i r="2">
      <x v="59"/>
      <x v="173"/>
    </i>
    <i r="2">
      <x v="61"/>
      <x v="174"/>
    </i>
    <i r="2">
      <x v="70"/>
      <x v="175"/>
    </i>
    <i r="2">
      <x v="83"/>
      <x v="176"/>
    </i>
    <i r="2">
      <x v="92"/>
      <x v="177"/>
    </i>
    <i r="2">
      <x v="132"/>
      <x v="178"/>
    </i>
    <i r="2">
      <x v="134"/>
      <x v="179"/>
    </i>
    <i r="2">
      <x v="145"/>
      <x v="180"/>
    </i>
    <i r="2">
      <x v="146"/>
      <x v="181"/>
    </i>
    <i r="2">
      <x v="154"/>
      <x v="182"/>
    </i>
    <i r="2">
      <x v="157"/>
      <x v="183"/>
    </i>
    <i r="2">
      <x v="158"/>
      <x v="184"/>
    </i>
    <i r="2">
      <x v="168"/>
      <x v="185"/>
    </i>
    <i r="2">
      <x v="169"/>
      <x v="186"/>
    </i>
    <i r="2">
      <x v="176"/>
      <x v="187"/>
    </i>
    <i r="2">
      <x v="185"/>
      <x v="188"/>
    </i>
    <i r="2">
      <x v="192"/>
      <x v="189"/>
    </i>
    <i>
      <x v="11"/>
      <x/>
      <x v="167"/>
      <x v="44"/>
    </i>
    <i r="1">
      <x v="1"/>
      <x v="174"/>
      <x v="76"/>
    </i>
    <i r="1">
      <x v="2"/>
      <x v="7"/>
      <x v="138"/>
    </i>
    <i r="1">
      <x v="26"/>
      <x v="101"/>
      <x v="203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E6F9F2-8A40-4698-BFA6-748A43BEB34C}" name="TablaDinámica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2:N11" firstHeaderRow="1" firstDataRow="1" firstDataCol="1"/>
  <pivotFields count="31">
    <pivotField axis="axisRow" showAll="0">
      <items count="10">
        <item x="0"/>
        <item x="1"/>
        <item x="2"/>
        <item x="3"/>
        <item x="4"/>
        <item x="5"/>
        <item x="6"/>
        <item x="7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RRIER" xr10:uid="{83E3C651-3C88-45C4-85A6-377702B1CCF8}" sourceName="CARRIER">
  <extLst>
    <x:ext xmlns:x15="http://schemas.microsoft.com/office/spreadsheetml/2010/11/main" uri="{2F2917AC-EB37-4324-AD4E-5DD8C200BD13}">
      <x15:tableSlicerCache tableId="2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RRIER1" xr10:uid="{1EA60A15-D7C1-4EBA-B3F1-088DE7456881}" sourceName="CARRIER">
  <extLst>
    <x:ext xmlns:x15="http://schemas.microsoft.com/office/spreadsheetml/2010/11/main" uri="{2F2917AC-EB37-4324-AD4E-5DD8C200BD13}">
      <x15:tableSlicerCache tableId="5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VINCE" xr10:uid="{4875A60F-090E-41EF-9646-8C2A56B434F2}" sourceName="PROVINCE">
  <extLst>
    <x:ext xmlns:x15="http://schemas.microsoft.com/office/spreadsheetml/2010/11/main" uri="{2F2917AC-EB37-4324-AD4E-5DD8C200BD13}">
      <x15:tableSlicerCache tableId="2" column="3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ITY_FOS" xr10:uid="{FB6779F0-5B64-4DDB-9103-E24DA8AD1F48}" sourceName="CITY FOS">
  <extLst>
    <x:ext xmlns:x15="http://schemas.microsoft.com/office/spreadsheetml/2010/11/main" uri="{2F2917AC-EB37-4324-AD4E-5DD8C200BD13}">
      <x15:tableSlicerCache tableId="2" column="4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RRIER" xr10:uid="{E5FAE5E8-AA2E-42A2-8BE2-E0641B497AFB}" cache="SegmentaciónDeDatos_CARRIER" caption="CARRIER" columnCount="3" rowHeight="241300"/>
  <slicer name="PROVINCE" xr10:uid="{16C5F8A6-8B5D-4F31-8FAE-894688BA5D85}" cache="SegmentaciónDeDatos_PROVINCE" caption="PROVINCE" rowHeight="241300"/>
  <slicer name="CITY FOS" xr10:uid="{FF4709B3-488E-4F4E-A357-7F71C71284C1}" cache="SegmentaciónDeDatos_CITY_FOS" caption="CITY FOS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RRIER 1" xr10:uid="{5CA1CBCD-5F51-440C-BE3C-BA9833983360}" cache="SegmentaciónDeDatos_CARRIER1" caption="CARRIER" columnCount="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4" displayName="Tabla4" ref="A12:P669" totalsRowShown="0" headerRowDxfId="86" dataDxfId="85">
  <autoFilter ref="A12:P669" xr:uid="{00000000-000C-0000-FFFF-FFFF01000000}"/>
  <sortState xmlns:xlrd2="http://schemas.microsoft.com/office/spreadsheetml/2017/richdata2" ref="A13:P669">
    <sortCondition ref="A13:A669"/>
  </sortState>
  <tableColumns count="16">
    <tableColumn id="1" xr3:uid="{00000000-0010-0000-0100-000001000000}" name="CARRIER" dataDxfId="84"/>
    <tableColumn id="2" xr3:uid="{00000000-0010-0000-0100-000002000000}" name="RUTA" dataDxfId="83"/>
    <tableColumn id="3" xr3:uid="{00000000-0010-0000-0100-000003000000}" name="PROVINCE" dataDxfId="82"/>
    <tableColumn id="4" xr3:uid="{00000000-0010-0000-0100-000004000000}" name="CITY FOS" dataDxfId="81"/>
    <tableColumn id="23" xr3:uid="{00000000-0010-0000-0100-000017000000}" name="TRANSPORT ZONE" dataDxfId="80"/>
    <tableColumn id="5" xr3:uid="{00000000-0010-0000-0100-000005000000}" name="SEMI" dataDxfId="79"/>
    <tableColumn id="6" xr3:uid="{00000000-0010-0000-0100-000006000000}" name="BALANCIN" dataDxfId="78"/>
    <tableColumn id="7" xr3:uid="{00000000-0010-0000-0100-000007000000}" name="CHASIS" dataDxfId="77"/>
    <tableColumn id="8" xr3:uid="{00000000-0010-0000-0100-000008000000}" name="LIVIANO" dataDxfId="76"/>
    <tableColumn id="9" xr3:uid="{00000000-0010-0000-0100-000009000000}" name="UTILITARIO" dataDxfId="75"/>
    <tableColumn id="13" xr3:uid="{00000000-0010-0000-0100-00000D000000}" name="1s" dataDxfId="74" dataCellStyle="Moneda"/>
    <tableColumn id="14" xr3:uid="{00000000-0010-0000-0100-00000E000000}" name="2s" dataDxfId="73" dataCellStyle="Moneda"/>
    <tableColumn id="15" xr3:uid="{00000000-0010-0000-0100-00000F000000}" name="3s" dataDxfId="72" dataCellStyle="Moneda"/>
    <tableColumn id="16" xr3:uid="{00000000-0010-0000-0100-000010000000}" name="4s" dataDxfId="71" dataCellStyle="Moneda"/>
    <tableColumn id="17" xr3:uid="{00000000-0010-0000-0100-000011000000}" name="5s" dataDxfId="70" dataCellStyle="Moneda"/>
    <tableColumn id="19" xr3:uid="{00000000-0010-0000-0100-000013000000}" name="X KG" dataDxfId="69" dataCellStyle="Moneda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47" displayName="Tabla47" ref="A2:P660" totalsRowShown="0" headerRowDxfId="68" dataDxfId="67">
  <sortState xmlns:xlrd2="http://schemas.microsoft.com/office/spreadsheetml/2017/richdata2" ref="A3:P660">
    <sortCondition ref="A3:A660"/>
  </sortState>
  <tableColumns count="16">
    <tableColumn id="1" xr3:uid="{00000000-0010-0000-0200-000001000000}" name="CARRIER" dataDxfId="66"/>
    <tableColumn id="2" xr3:uid="{00000000-0010-0000-0200-000002000000}" name="RUTA" dataDxfId="65"/>
    <tableColumn id="3" xr3:uid="{00000000-0010-0000-0200-000003000000}" name="PROVINCE" dataDxfId="64"/>
    <tableColumn id="4" xr3:uid="{00000000-0010-0000-0200-000004000000}" name="CITY FOS" dataDxfId="63"/>
    <tableColumn id="23" xr3:uid="{00000000-0010-0000-0200-000017000000}" name="TRANSPORT ZONE" dataDxfId="62"/>
    <tableColumn id="5" xr3:uid="{00000000-0010-0000-0200-000005000000}" name="SEMI" dataDxfId="61"/>
    <tableColumn id="6" xr3:uid="{00000000-0010-0000-0200-000006000000}" name="BALANCIN" dataDxfId="60"/>
    <tableColumn id="7" xr3:uid="{00000000-0010-0000-0200-000007000000}" name="CHASIS" dataDxfId="59"/>
    <tableColumn id="8" xr3:uid="{00000000-0010-0000-0200-000008000000}" name="LIVIANO" dataDxfId="58"/>
    <tableColumn id="9" xr3:uid="{00000000-0010-0000-0200-000009000000}" name="UTILITARIO" dataDxfId="57"/>
    <tableColumn id="13" xr3:uid="{00000000-0010-0000-0200-00000D000000}" name="Aforo x 900KG" dataDxfId="56"/>
    <tableColumn id="14" xr3:uid="{00000000-0010-0000-0200-00000E000000}" name="2s" dataDxfId="55"/>
    <tableColumn id="15" xr3:uid="{00000000-0010-0000-0200-00000F000000}" name="3s" dataDxfId="54"/>
    <tableColumn id="16" xr3:uid="{00000000-0010-0000-0200-000010000000}" name="4s" dataDxfId="53"/>
    <tableColumn id="17" xr3:uid="{00000000-0010-0000-0200-000011000000}" name="5s" dataDxfId="52"/>
    <tableColumn id="19" xr3:uid="{00000000-0010-0000-0200-000013000000}" name="X KG" dataDxfId="51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3BBEA0-9EF6-4374-B201-2010831C0C3B}" name="Tabla5" displayName="Tabla5" ref="A12:AE669" totalsRowShown="0" headerRowDxfId="50" dataDxfId="49" dataCellStyle="Porcentaje">
  <autoFilter ref="A12:AE669" xr:uid="{00000000-0001-0000-0200-000000000000}"/>
  <sortState xmlns:xlrd2="http://schemas.microsoft.com/office/spreadsheetml/2017/richdata2" ref="A13:AE669">
    <sortCondition ref="A13:A669"/>
  </sortState>
  <tableColumns count="31">
    <tableColumn id="1" xr3:uid="{001D6A92-64CC-4225-AA5E-A5CE6EBAF2F6}" name="CARRIER" dataDxfId="48"/>
    <tableColumn id="2" xr3:uid="{494EE347-6C3B-4669-ABCD-3A3170C5A2AB}" name="RUTA" dataDxfId="47"/>
    <tableColumn id="3" xr3:uid="{32133938-0D48-4E6A-A4F9-846F936A1C3D}" name="PROVINCE" dataDxfId="46"/>
    <tableColumn id="4" xr3:uid="{0C1F5E3E-8269-4BA5-A7B9-AEC061A29755}" name="CITY FOS" dataDxfId="45"/>
    <tableColumn id="5" xr3:uid="{9A896344-4DBC-4C6C-83BA-7D1843ACDE04}" name="TRANSPORT ZONE" dataDxfId="44"/>
    <tableColumn id="6" xr3:uid="{1625E082-6B9F-441E-8FD4-372C9D7F7131}" name="TYPE OF SHIPMENT" dataDxfId="43"/>
    <tableColumn id="7" xr3:uid="{39E016BB-4C80-443E-A308-866E8712BA4D}" name="0,00%" dataDxfId="42" dataCellStyle="Porcentaje"/>
    <tableColumn id="8" xr3:uid="{72118FD7-943C-42C8-9A1D-DA513CA72067}" name="ene-24" dataDxfId="41" dataCellStyle="Porcentaje"/>
    <tableColumn id="9" xr3:uid="{F04E9045-FEA6-43BB-913D-9AA2859130BA}" name="feb-24" dataDxfId="40" dataCellStyle="Porcentaje"/>
    <tableColumn id="10" xr3:uid="{E8AD85E9-EAA8-47B0-8B17-CE392DB40BB5}" name="mar-24" dataDxfId="39" dataCellStyle="Porcentaje"/>
    <tableColumn id="11" xr3:uid="{26898980-3B40-415F-A72B-D7625F850E4F}" name="abr-24" dataDxfId="38" dataCellStyle="Porcentaje"/>
    <tableColumn id="12" xr3:uid="{C34F2B98-CDDF-40B6-83B8-349478411088}" name="may-24" dataDxfId="37" dataCellStyle="Porcentaje"/>
    <tableColumn id="13" xr3:uid="{0370F36E-31B3-46AF-B757-3DC61B719ED0}" name="jun-24" dataDxfId="36" dataCellStyle="Porcentaje"/>
    <tableColumn id="14" xr3:uid="{1C1C4E37-8144-4A1B-A7D5-AA82D38F236D}" name="jul-24" dataDxfId="35" dataCellStyle="Porcentaje"/>
    <tableColumn id="15" xr3:uid="{6AE3C84B-AAA2-4796-9524-E0E509AF7BCD}" name="ago-24" dataDxfId="34" dataCellStyle="Porcentaje"/>
    <tableColumn id="16" xr3:uid="{4EC3A572-BDD0-4618-A440-2E0AC5AF1DCB}" name="sept-24" dataDxfId="33" dataCellStyle="Porcentaje"/>
    <tableColumn id="17" xr3:uid="{7D33440C-B197-4D49-BBE7-9D8FCA99DC65}" name="oct-24" dataDxfId="32" dataCellStyle="Porcentaje"/>
    <tableColumn id="18" xr3:uid="{EC0A13E5-3DD5-4279-AB1E-44429C1223A4}" name="nov-24" dataDxfId="31" dataCellStyle="Porcentaje"/>
    <tableColumn id="19" xr3:uid="{6BE2A6B3-C19E-4EEA-A4AA-CD6693A96CE7}" name="dic-24" dataDxfId="30" dataCellStyle="Porcentaje"/>
    <tableColumn id="20" xr3:uid="{30C36C04-6120-490F-B836-7BE36F073309}" name="ene-25" dataDxfId="29" dataCellStyle="Porcentaje"/>
    <tableColumn id="21" xr3:uid="{8D455214-7B25-4D1A-B6FE-BF01A3B6BAA9}" name="feb-25" dataDxfId="28" dataCellStyle="Porcentaje"/>
    <tableColumn id="22" xr3:uid="{C18E82AF-33FB-41CF-AC39-C98A4615427B}" name="mar-25" dataDxfId="27" dataCellStyle="Porcentaje"/>
    <tableColumn id="23" xr3:uid="{633F4580-BAF2-498F-B149-0E51A8FA2BBA}" name="abr-25" dataDxfId="26" dataCellStyle="Porcentaje"/>
    <tableColumn id="24" xr3:uid="{7016B53F-D26C-4A22-91D8-8F8BC717812A}" name="may-25" dataDxfId="25" dataCellStyle="Porcentaje"/>
    <tableColumn id="25" xr3:uid="{BFDF498F-F44B-4A42-AEB4-93D2F9B00637}" name="jun-25" dataDxfId="24" dataCellStyle="Porcentaje"/>
    <tableColumn id="26" xr3:uid="{F24596A1-6708-42B2-9674-F996B775A083}" name="jul-25" dataDxfId="23" dataCellStyle="Porcentaje"/>
    <tableColumn id="27" xr3:uid="{BAA83224-C39D-4056-B4D8-ACE4C75BFA91}" name="ago-25" dataDxfId="22" dataCellStyle="Porcentaje"/>
    <tableColumn id="28" xr3:uid="{60B49ED3-0AD0-4061-8A5E-D070066A495A}" name="sept-25" dataDxfId="21" dataCellStyle="Porcentaje"/>
    <tableColumn id="29" xr3:uid="{13BD99AE-0BBC-4F29-9ADD-2E9237CA4DB1}" name="oct-252" dataDxfId="20" dataCellStyle="Porcentaje"/>
    <tableColumn id="30" xr3:uid="{A95D0913-F9BC-495A-9C8D-4CDD7A58D67D}" name="nov-252" dataDxfId="19" dataCellStyle="Porcentaje"/>
    <tableColumn id="31" xr3:uid="{523DB763-74D8-436A-83A2-7E1F295492FA}" name="dic-25" dataDxfId="18" dataCellStyle="Porcentaje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16" displayName="Tabla16" ref="A1:V409" totalsRowShown="0" headerRowDxfId="17" tableBorderDxfId="16">
  <sortState xmlns:xlrd2="http://schemas.microsoft.com/office/spreadsheetml/2017/richdata2" ref="A2:U409">
    <sortCondition ref="D2:D409"/>
    <sortCondition ref="A2:A409"/>
  </sortState>
  <tableColumns count="22">
    <tableColumn id="1" xr3:uid="{00000000-0010-0000-0300-000001000000}" name="RUT" dataDxfId="15"/>
    <tableColumn id="2" xr3:uid="{00000000-0010-0000-0300-000002000000}" name="&amp;ZONA (Parada) Base ICDRB" dataDxfId="14"/>
    <tableColumn id="3" xr3:uid="{00000000-0010-0000-0300-000003000000}" name="&amp;ZONA (Parada) Para tarifario"/>
    <tableColumn id="4" xr3:uid="{00000000-0010-0000-0300-000004000000}" name="Provincia" dataDxfId="13"/>
    <tableColumn id="5" xr3:uid="{00000000-0010-0000-0300-000005000000}" name="Ruta" dataDxfId="12"/>
    <tableColumn id="6" xr3:uid="{00000000-0010-0000-0300-000006000000}" name="ZONA" dataDxfId="11"/>
    <tableColumn id="7" xr3:uid="{00000000-0010-0000-0300-000007000000}" name="Parada" dataDxfId="10"/>
    <tableColumn id="15" xr3:uid="{00000000-0010-0000-0300-00000F000000}" name="ABR_01" dataDxfId="9"/>
    <tableColumn id="16" xr3:uid="{00000000-0010-0000-0300-000010000000}" name="ABR_02" dataDxfId="8"/>
    <tableColumn id="17" xr3:uid="{00000000-0010-0000-0300-000011000000}" name="ZONA2" dataDxfId="7"/>
    <tableColumn id="20" xr3:uid="{00000000-0010-0000-0300-000014000000}" name="PARADA2" dataDxfId="6"/>
    <tableColumn id="8" xr3:uid="{00000000-0010-0000-0300-000008000000}" name="FROM" dataDxfId="5"/>
    <tableColumn id="9" xr3:uid="{00000000-0010-0000-0300-000009000000}" name="TO" dataDxfId="4">
      <calculatedColumnFormula>Tabla16[[#This Row],[ABR_02]]</calculatedColumnFormula>
    </tableColumn>
    <tableColumn id="10" xr3:uid="{00000000-0010-0000-0300-00000A000000}" name="Pick Pack"/>
    <tableColumn id="21" xr3:uid="{00000000-0010-0000-0300-000015000000}" name="Shipping condition"/>
    <tableColumn id="11" xr3:uid="{00000000-0010-0000-0300-00000B000000}" name="Shipping Description"/>
    <tableColumn id="12" xr3:uid="{00000000-0010-0000-0300-00000C000000}" name="Transit time"/>
    <tableColumn id="13" xr3:uid="{00000000-0010-0000-0300-00000D000000}" name="Transport Zone SAP" dataDxfId="3">
      <calculatedColumnFormula>_xlfn.CONCAT(Tabla16[[#This Row],[ABR_01]],"00",Tabla16[[#This Row],[ABR_02]],Tabla16[[#This Row],[ZONA2]],,"0",Tabla16[[#This Row],[PARADA2]])</calculatedColumnFormula>
    </tableColumn>
    <tableColumn id="19" xr3:uid="{00000000-0010-0000-0300-000013000000}" name="Ruta SAP" dataDxfId="2"/>
    <tableColumn id="14" xr3:uid="{00000000-0010-0000-0300-00000E000000}" name="Health"/>
    <tableColumn id="18" xr3:uid="{00000000-0010-0000-0300-000012000000}" name="Hyho" dataDxfId="1"/>
    <tableColumn id="22" xr3:uid="{BDD387B2-84CC-4CD6-A502-D5DDAE4E3AFE}" name="CUT OFF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8309711-A6C3-4DDF-9FB0-CAE5F51F9D88}">
  <we:reference id="8a512e2b-c04e-4c06-9235-11b6cd59f584" version="1.21.0.0" store="EXCatalog" storeType="EXCatalog"/>
  <we:alternateReferences>
    <we:reference id="WA200000169" version="1.21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_xldudf_SAP_GETDIMENSIONFILTER</we:customFunctionIds>
        <we:customFunctionIds>_xldudf_SAP_OVERWRITEDIMENSIONFILTER</we:customFunctionIds>
        <we:customFunctionIds>_xldudf_SAP_GETDIMENSIONS</we:customFunctionIds>
        <we:customFunctionIds>_xldudf_SAP_GETTABLENAME</we:customFunctionIds>
        <we:customFunctionIds>_xldudf_SAP_GETTABLESTATUS</we:customFunctionIds>
        <we:customFunctionIds>_xldudf_SAP_GETDATA</we:customFunctionIds>
        <we:customFunctionIds>_xldudf_SAP_SETDATA</we:customFunctionIds>
        <we:customFunctionIds>_xldudf_SAP_GETPLANNINGTRIGGERNAME</we:customFunctionIds>
        <we:customFunctionIds>_xldudf_SAP_GETPLANNINGTRIGGERPARAMETERS</we:customFunctionIds>
        <we:customFunctionIds>_xldudf_SAP_GETPLANNINGTRIGGERPARAMETERVALUE</we:customFunctionIds>
        <we:customFunctionIds>_xldudf_SAP_TIMEOFFSET</we:customFunctionIds>
        <we:customFunctionIds>_xldudf_SAP_MEMBERPROPERTY</we:customFunctionIds>
        <we:customFunctionIds>_xldudf_SAP_GETVARIABLES</we:customFunctionIds>
        <we:customFunctionIds>_xldudf_SAP_ASYMMETRICFILTER</we:customFunctionIds>
        <we:customFunctionIds>_xldudf_SAP_BLOCK</we:customFunctionIds>
        <we:customFunctionIds>_xldudf_SAP_EXECUTEAPI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microsoft.com/office/2007/relationships/slicer" Target="../slicers/slicer2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92D050"/>
  </sheetPr>
  <dimension ref="A2:T669"/>
  <sheetViews>
    <sheetView showGridLines="0" zoomScaleNormal="100" workbookViewId="0">
      <selection activeCell="B20" sqref="B20"/>
    </sheetView>
  </sheetViews>
  <sheetFormatPr baseColWidth="10" defaultColWidth="11.42578125" defaultRowHeight="12" x14ac:dyDescent="0.2"/>
  <cols>
    <col min="1" max="1" width="21.42578125" style="85" bestFit="1" customWidth="1"/>
    <col min="2" max="2" width="9.5703125" style="85" bestFit="1" customWidth="1"/>
    <col min="3" max="3" width="14.5703125" style="85" bestFit="1" customWidth="1"/>
    <col min="4" max="4" width="24.7109375" style="85" bestFit="1" customWidth="1"/>
    <col min="5" max="5" width="18.7109375" style="85" bestFit="1" customWidth="1"/>
    <col min="6" max="6" width="11.28515625" style="84" bestFit="1" customWidth="1"/>
    <col min="7" max="7" width="12.85546875" style="84" bestFit="1" customWidth="1"/>
    <col min="8" max="8" width="13.85546875" style="84" bestFit="1" customWidth="1"/>
    <col min="9" max="9" width="11.42578125" style="84" bestFit="1" customWidth="1"/>
    <col min="10" max="10" width="13.5703125" style="84" bestFit="1" customWidth="1"/>
    <col min="11" max="11" width="10.85546875" style="85" bestFit="1" customWidth="1"/>
    <col min="12" max="12" width="13.85546875" style="85" bestFit="1" customWidth="1"/>
    <col min="13" max="15" width="7.140625" style="85" bestFit="1" customWidth="1"/>
    <col min="16" max="16" width="9.140625" style="85" bestFit="1" customWidth="1"/>
    <col min="17" max="17" width="11.42578125" style="85"/>
    <col min="18" max="19" width="13.140625" style="85" bestFit="1" customWidth="1"/>
    <col min="20" max="20" width="14" style="85" bestFit="1" customWidth="1"/>
    <col min="21" max="16384" width="11.42578125" style="85"/>
  </cols>
  <sheetData>
    <row r="2" spans="1:16" x14ac:dyDescent="0.2">
      <c r="E2" s="99"/>
    </row>
    <row r="3" spans="1:16" x14ac:dyDescent="0.2">
      <c r="D3" s="86"/>
      <c r="E3" s="100"/>
    </row>
    <row r="4" spans="1:16" x14ac:dyDescent="0.2">
      <c r="D4" s="86"/>
      <c r="E4" s="100"/>
      <c r="F4" s="100"/>
      <c r="O4" s="91"/>
      <c r="P4" s="92"/>
    </row>
    <row r="5" spans="1:16" x14ac:dyDescent="0.2">
      <c r="D5" s="86"/>
      <c r="E5" s="100"/>
      <c r="F5" s="100"/>
    </row>
    <row r="6" spans="1:16" x14ac:dyDescent="0.2">
      <c r="D6" s="86"/>
      <c r="E6" s="100"/>
      <c r="F6" s="100"/>
    </row>
    <row r="7" spans="1:16" x14ac:dyDescent="0.2">
      <c r="D7" s="86"/>
      <c r="E7" s="100"/>
      <c r="F7" s="100"/>
    </row>
    <row r="8" spans="1:16" ht="15.75" customHeight="1" x14ac:dyDescent="0.2">
      <c r="K8" s="84"/>
    </row>
    <row r="9" spans="1:16" ht="15.75" customHeight="1" x14ac:dyDescent="0.2">
      <c r="K9" s="84"/>
    </row>
    <row r="10" spans="1:16" ht="15.75" customHeight="1" thickBot="1" x14ac:dyDescent="0.25">
      <c r="K10" s="84"/>
    </row>
    <row r="11" spans="1:16" x14ac:dyDescent="0.2">
      <c r="A11" s="93"/>
      <c r="B11" s="94"/>
      <c r="C11" s="94"/>
      <c r="D11" s="95"/>
      <c r="E11" s="94"/>
      <c r="F11" s="87"/>
      <c r="G11" s="88"/>
      <c r="H11" s="89" t="s">
        <v>1</v>
      </c>
      <c r="I11" s="88"/>
      <c r="J11" s="90"/>
      <c r="K11" s="96"/>
      <c r="L11" s="97" t="s">
        <v>0</v>
      </c>
      <c r="M11" s="97"/>
      <c r="N11" s="97"/>
      <c r="O11" s="98"/>
      <c r="P11" s="98"/>
    </row>
    <row r="12" spans="1:16" ht="33.75" customHeight="1" x14ac:dyDescent="0.2">
      <c r="A12" s="132" t="s">
        <v>2</v>
      </c>
      <c r="B12" s="133" t="s">
        <v>3</v>
      </c>
      <c r="C12" s="133" t="s">
        <v>4</v>
      </c>
      <c r="D12" s="134" t="s">
        <v>5</v>
      </c>
      <c r="E12" s="133" t="s">
        <v>6</v>
      </c>
      <c r="F12" s="132" t="s">
        <v>7</v>
      </c>
      <c r="G12" s="133" t="s">
        <v>8</v>
      </c>
      <c r="H12" s="133" t="s">
        <v>9</v>
      </c>
      <c r="I12" s="133" t="s">
        <v>10</v>
      </c>
      <c r="J12" s="134" t="s">
        <v>11</v>
      </c>
      <c r="K12" s="135" t="s">
        <v>13</v>
      </c>
      <c r="L12" s="137" t="s">
        <v>14</v>
      </c>
      <c r="M12" s="137" t="s">
        <v>15</v>
      </c>
      <c r="N12" s="137" t="s">
        <v>16</v>
      </c>
      <c r="O12" s="136" t="s">
        <v>17</v>
      </c>
      <c r="P12" s="138" t="s">
        <v>18</v>
      </c>
    </row>
    <row r="13" spans="1:16" x14ac:dyDescent="0.2">
      <c r="A13" s="140" t="s">
        <v>19</v>
      </c>
      <c r="B13" s="140" t="s">
        <v>71</v>
      </c>
      <c r="C13" s="140" t="s">
        <v>66</v>
      </c>
      <c r="D13" s="149" t="s">
        <v>564</v>
      </c>
      <c r="E13" s="139" t="s">
        <v>653</v>
      </c>
      <c r="F13" s="143"/>
      <c r="G13" s="143"/>
      <c r="H13" s="143"/>
      <c r="I13" s="143"/>
      <c r="J13" s="143"/>
      <c r="K13" s="92"/>
      <c r="L13" s="92"/>
      <c r="M13" s="92"/>
      <c r="N13" s="92"/>
      <c r="O13" s="92"/>
      <c r="P13" s="92"/>
    </row>
    <row r="14" spans="1:16" x14ac:dyDescent="0.2">
      <c r="A14" s="140" t="s">
        <v>19</v>
      </c>
      <c r="B14" s="140" t="s">
        <v>71</v>
      </c>
      <c r="C14" s="140" t="s">
        <v>66</v>
      </c>
      <c r="D14" s="149" t="s">
        <v>568</v>
      </c>
      <c r="E14" s="139" t="s">
        <v>654</v>
      </c>
      <c r="F14" s="143"/>
      <c r="G14" s="142"/>
      <c r="H14" s="142"/>
      <c r="I14" s="142"/>
      <c r="J14" s="142"/>
      <c r="K14" s="92"/>
      <c r="L14" s="92"/>
      <c r="M14" s="92"/>
      <c r="N14" s="92"/>
      <c r="O14" s="92"/>
      <c r="P14" s="92"/>
    </row>
    <row r="15" spans="1:16" x14ac:dyDescent="0.2">
      <c r="A15" s="140" t="s">
        <v>19</v>
      </c>
      <c r="B15" s="140" t="s">
        <v>71</v>
      </c>
      <c r="C15" s="140" t="s">
        <v>66</v>
      </c>
      <c r="D15" s="149" t="s">
        <v>183</v>
      </c>
      <c r="E15" s="139" t="s">
        <v>184</v>
      </c>
      <c r="F15" s="143"/>
      <c r="G15" s="142"/>
      <c r="H15" s="142"/>
      <c r="I15" s="142"/>
      <c r="J15" s="142"/>
      <c r="K15" s="92"/>
      <c r="L15" s="92"/>
      <c r="M15" s="92"/>
      <c r="N15" s="92"/>
      <c r="O15" s="92"/>
      <c r="P15" s="92"/>
    </row>
    <row r="16" spans="1:16" x14ac:dyDescent="0.2">
      <c r="A16" s="140" t="s">
        <v>19</v>
      </c>
      <c r="B16" s="140" t="s">
        <v>71</v>
      </c>
      <c r="C16" s="140" t="s">
        <v>66</v>
      </c>
      <c r="D16" s="149" t="s">
        <v>185</v>
      </c>
      <c r="E16" s="139" t="s">
        <v>72</v>
      </c>
      <c r="F16" s="143"/>
      <c r="G16" s="142"/>
      <c r="H16" s="142"/>
      <c r="I16" s="142"/>
      <c r="J16" s="142"/>
      <c r="K16" s="92"/>
      <c r="L16" s="92"/>
      <c r="M16" s="92"/>
      <c r="N16" s="92"/>
      <c r="O16" s="92"/>
      <c r="P16" s="92"/>
    </row>
    <row r="17" spans="1:20" x14ac:dyDescent="0.2">
      <c r="A17" s="140" t="s">
        <v>19</v>
      </c>
      <c r="B17" s="140" t="s">
        <v>71</v>
      </c>
      <c r="C17" s="140" t="s">
        <v>66</v>
      </c>
      <c r="D17" s="149" t="s">
        <v>572</v>
      </c>
      <c r="E17" s="139" t="s">
        <v>655</v>
      </c>
      <c r="F17" s="143"/>
      <c r="G17" s="142"/>
      <c r="H17" s="142"/>
      <c r="I17" s="142"/>
      <c r="J17" s="142"/>
      <c r="K17" s="92"/>
      <c r="L17" s="92"/>
      <c r="M17" s="92"/>
      <c r="N17" s="92"/>
      <c r="O17" s="92"/>
      <c r="P17" s="92"/>
    </row>
    <row r="18" spans="1:20" x14ac:dyDescent="0.2">
      <c r="A18" s="140" t="s">
        <v>19</v>
      </c>
      <c r="B18" s="140" t="s">
        <v>71</v>
      </c>
      <c r="C18" s="140" t="s">
        <v>66</v>
      </c>
      <c r="D18" s="149" t="s">
        <v>230</v>
      </c>
      <c r="E18" s="139" t="s">
        <v>231</v>
      </c>
      <c r="F18" s="143"/>
      <c r="G18" s="143"/>
      <c r="H18" s="143"/>
      <c r="I18" s="143"/>
      <c r="J18" s="143"/>
      <c r="K18" s="92"/>
      <c r="L18" s="92"/>
      <c r="M18" s="92"/>
      <c r="N18" s="92"/>
      <c r="O18" s="92"/>
      <c r="P18" s="92"/>
    </row>
    <row r="19" spans="1:20" x14ac:dyDescent="0.2">
      <c r="A19" s="140" t="s">
        <v>19</v>
      </c>
      <c r="B19" s="140" t="s">
        <v>71</v>
      </c>
      <c r="C19" s="140" t="s">
        <v>66</v>
      </c>
      <c r="D19" s="149" t="s">
        <v>575</v>
      </c>
      <c r="E19" s="139" t="s">
        <v>656</v>
      </c>
      <c r="F19" s="143"/>
      <c r="G19" s="142"/>
      <c r="H19" s="142"/>
      <c r="I19" s="142"/>
      <c r="J19" s="142"/>
      <c r="K19" s="92"/>
      <c r="L19" s="92"/>
      <c r="M19" s="92"/>
      <c r="N19" s="92"/>
      <c r="O19" s="92"/>
      <c r="P19" s="92"/>
    </row>
    <row r="20" spans="1:20" x14ac:dyDescent="0.2">
      <c r="A20" s="140" t="s">
        <v>19</v>
      </c>
      <c r="B20" s="140" t="s">
        <v>71</v>
      </c>
      <c r="C20" s="140" t="s">
        <v>66</v>
      </c>
      <c r="D20" s="149" t="s">
        <v>577</v>
      </c>
      <c r="E20" s="139" t="s">
        <v>657</v>
      </c>
      <c r="F20" s="143"/>
      <c r="G20" s="142"/>
      <c r="H20" s="142"/>
      <c r="I20" s="142"/>
      <c r="J20" s="142"/>
      <c r="K20" s="92"/>
      <c r="L20" s="92"/>
      <c r="M20" s="92"/>
      <c r="N20" s="92"/>
      <c r="O20" s="92"/>
      <c r="P20" s="92"/>
    </row>
    <row r="21" spans="1:20" x14ac:dyDescent="0.2">
      <c r="A21" s="140" t="s">
        <v>19</v>
      </c>
      <c r="B21" s="140" t="s">
        <v>71</v>
      </c>
      <c r="C21" s="140" t="s">
        <v>66</v>
      </c>
      <c r="D21" s="149" t="s">
        <v>579</v>
      </c>
      <c r="E21" s="139" t="s">
        <v>658</v>
      </c>
      <c r="F21" s="143"/>
      <c r="G21" s="142"/>
      <c r="H21" s="142"/>
      <c r="I21" s="142"/>
      <c r="J21" s="142"/>
      <c r="K21" s="92"/>
      <c r="L21" s="92"/>
      <c r="M21" s="92"/>
      <c r="N21" s="92"/>
      <c r="O21" s="92"/>
      <c r="P21" s="92"/>
    </row>
    <row r="22" spans="1:20" x14ac:dyDescent="0.2">
      <c r="A22" s="140" t="s">
        <v>19</v>
      </c>
      <c r="B22" s="140" t="s">
        <v>71</v>
      </c>
      <c r="C22" s="140" t="s">
        <v>66</v>
      </c>
      <c r="D22" s="149" t="s">
        <v>581</v>
      </c>
      <c r="E22" s="139" t="s">
        <v>659</v>
      </c>
      <c r="F22" s="143"/>
      <c r="G22" s="142"/>
      <c r="H22" s="142"/>
      <c r="I22" s="142"/>
      <c r="J22" s="142"/>
      <c r="K22" s="92"/>
      <c r="L22" s="92"/>
      <c r="M22" s="92"/>
      <c r="N22" s="92"/>
      <c r="O22" s="92"/>
      <c r="P22" s="92"/>
    </row>
    <row r="23" spans="1:20" x14ac:dyDescent="0.2">
      <c r="A23" s="140" t="s">
        <v>19</v>
      </c>
      <c r="B23" s="140" t="s">
        <v>20</v>
      </c>
      <c r="C23" s="140" t="s">
        <v>66</v>
      </c>
      <c r="D23" s="149" t="s">
        <v>21</v>
      </c>
      <c r="E23" s="139" t="s">
        <v>22</v>
      </c>
      <c r="F23" s="143"/>
      <c r="G23" s="143"/>
      <c r="H23" s="143"/>
      <c r="I23" s="143"/>
      <c r="J23" s="143"/>
      <c r="K23" s="92"/>
      <c r="L23" s="92"/>
      <c r="M23" s="92"/>
      <c r="N23" s="92"/>
      <c r="O23" s="92"/>
      <c r="P23" s="92"/>
    </row>
    <row r="24" spans="1:20" x14ac:dyDescent="0.2">
      <c r="A24" s="140" t="s">
        <v>19</v>
      </c>
      <c r="B24" s="140" t="s">
        <v>20</v>
      </c>
      <c r="C24" s="140" t="s">
        <v>34</v>
      </c>
      <c r="D24" s="149" t="s">
        <v>35</v>
      </c>
      <c r="E24" s="139" t="s">
        <v>36</v>
      </c>
      <c r="F24" s="143"/>
      <c r="G24" s="142"/>
      <c r="H24" s="142"/>
      <c r="I24" s="142"/>
      <c r="J24" s="142"/>
      <c r="K24" s="92"/>
      <c r="L24" s="92"/>
      <c r="M24" s="92"/>
      <c r="N24" s="92"/>
      <c r="O24" s="92"/>
      <c r="P24" s="92"/>
    </row>
    <row r="25" spans="1:20" x14ac:dyDescent="0.2">
      <c r="A25" s="140" t="s">
        <v>19</v>
      </c>
      <c r="B25" s="140" t="s">
        <v>20</v>
      </c>
      <c r="C25" s="140" t="s">
        <v>34</v>
      </c>
      <c r="D25" s="149" t="s">
        <v>164</v>
      </c>
      <c r="E25" s="139" t="s">
        <v>165</v>
      </c>
      <c r="F25" s="143"/>
      <c r="G25" s="142"/>
      <c r="H25" s="142"/>
      <c r="I25" s="142"/>
      <c r="J25" s="142"/>
      <c r="K25" s="92"/>
      <c r="L25" s="92"/>
      <c r="M25" s="92"/>
      <c r="N25" s="92"/>
      <c r="O25" s="92"/>
      <c r="P25" s="92"/>
    </row>
    <row r="26" spans="1:20" x14ac:dyDescent="0.2">
      <c r="A26" s="140" t="s">
        <v>19</v>
      </c>
      <c r="B26" s="140" t="s">
        <v>20</v>
      </c>
      <c r="C26" s="140" t="s">
        <v>34</v>
      </c>
      <c r="D26" s="149" t="s">
        <v>49</v>
      </c>
      <c r="E26" s="139" t="s">
        <v>50</v>
      </c>
      <c r="F26" s="143"/>
      <c r="G26" s="142"/>
      <c r="H26" s="142"/>
      <c r="I26" s="142"/>
      <c r="J26" s="142"/>
      <c r="K26" s="92"/>
      <c r="L26" s="92"/>
      <c r="M26" s="92"/>
      <c r="N26" s="92"/>
      <c r="O26" s="92"/>
      <c r="P26" s="92"/>
    </row>
    <row r="27" spans="1:20" x14ac:dyDescent="0.2">
      <c r="A27" s="140" t="s">
        <v>19</v>
      </c>
      <c r="B27" s="140" t="s">
        <v>20</v>
      </c>
      <c r="C27" s="140" t="s">
        <v>34</v>
      </c>
      <c r="D27" s="149" t="s">
        <v>62</v>
      </c>
      <c r="E27" s="139" t="s">
        <v>63</v>
      </c>
      <c r="F27" s="143"/>
      <c r="G27" s="142"/>
      <c r="H27" s="142"/>
      <c r="I27" s="142"/>
      <c r="J27" s="142"/>
      <c r="K27" s="92"/>
      <c r="L27" s="92"/>
      <c r="M27" s="92"/>
      <c r="N27" s="92"/>
      <c r="O27" s="92"/>
      <c r="P27" s="92"/>
    </row>
    <row r="28" spans="1:20" x14ac:dyDescent="0.2">
      <c r="A28" s="140" t="s">
        <v>19</v>
      </c>
      <c r="B28" s="140" t="s">
        <v>20</v>
      </c>
      <c r="C28" s="140" t="s">
        <v>34</v>
      </c>
      <c r="D28" s="149" t="s">
        <v>441</v>
      </c>
      <c r="E28" s="139" t="s">
        <v>729</v>
      </c>
      <c r="F28" s="143"/>
      <c r="G28" s="142"/>
      <c r="H28" s="142"/>
      <c r="I28" s="142"/>
      <c r="J28" s="142"/>
      <c r="K28" s="92"/>
      <c r="L28" s="92"/>
      <c r="M28" s="92"/>
      <c r="N28" s="92"/>
      <c r="O28" s="92"/>
      <c r="P28" s="92"/>
    </row>
    <row r="29" spans="1:20" x14ac:dyDescent="0.2">
      <c r="A29" s="140" t="s">
        <v>19</v>
      </c>
      <c r="B29" s="140" t="s">
        <v>20</v>
      </c>
      <c r="C29" s="140" t="s">
        <v>34</v>
      </c>
      <c r="D29" s="149" t="s">
        <v>113</v>
      </c>
      <c r="E29" s="139" t="s">
        <v>114</v>
      </c>
      <c r="F29" s="143"/>
      <c r="G29" s="143"/>
      <c r="H29" s="143"/>
      <c r="I29" s="143"/>
      <c r="J29" s="143"/>
      <c r="K29" s="92"/>
      <c r="L29" s="92"/>
      <c r="M29" s="92"/>
      <c r="N29" s="92"/>
      <c r="O29" s="92"/>
      <c r="P29" s="92"/>
    </row>
    <row r="30" spans="1:20" x14ac:dyDescent="0.2">
      <c r="A30" s="140" t="s">
        <v>19</v>
      </c>
      <c r="B30" s="140" t="s">
        <v>20</v>
      </c>
      <c r="C30" s="140" t="s">
        <v>34</v>
      </c>
      <c r="D30" s="149" t="s">
        <v>144</v>
      </c>
      <c r="E30" s="139" t="s">
        <v>145</v>
      </c>
      <c r="F30" s="143"/>
      <c r="G30" s="142"/>
      <c r="H30" s="142"/>
      <c r="I30" s="142"/>
      <c r="J30" s="142"/>
      <c r="K30" s="92"/>
      <c r="L30" s="92"/>
      <c r="M30" s="92"/>
      <c r="N30" s="92"/>
      <c r="O30" s="92"/>
      <c r="P30" s="92"/>
      <c r="R30" s="128"/>
      <c r="S30" s="128"/>
      <c r="T30" s="129"/>
    </row>
    <row r="31" spans="1:20" x14ac:dyDescent="0.2">
      <c r="A31" s="140" t="s">
        <v>19</v>
      </c>
      <c r="B31" s="140" t="s">
        <v>20</v>
      </c>
      <c r="C31" s="140" t="s">
        <v>34</v>
      </c>
      <c r="D31" s="149" t="s">
        <v>827</v>
      </c>
      <c r="E31" s="139" t="s">
        <v>151</v>
      </c>
      <c r="F31" s="143"/>
      <c r="G31" s="142"/>
      <c r="H31" s="142"/>
      <c r="I31" s="142"/>
      <c r="J31" s="142"/>
      <c r="K31" s="92"/>
      <c r="L31" s="92"/>
      <c r="M31" s="92"/>
      <c r="N31" s="92"/>
      <c r="O31" s="92"/>
      <c r="P31" s="92"/>
    </row>
    <row r="32" spans="1:20" ht="0.6" customHeight="1" x14ac:dyDescent="0.2">
      <c r="A32" s="140" t="s">
        <v>19</v>
      </c>
      <c r="B32" s="140" t="s">
        <v>20</v>
      </c>
      <c r="C32" s="140" t="s">
        <v>37</v>
      </c>
      <c r="D32" s="149" t="s">
        <v>828</v>
      </c>
      <c r="E32" s="139" t="s">
        <v>163</v>
      </c>
      <c r="F32" s="143"/>
      <c r="G32" s="142"/>
      <c r="H32" s="142"/>
      <c r="I32" s="142"/>
      <c r="J32" s="142"/>
      <c r="K32" s="92"/>
      <c r="L32" s="92"/>
      <c r="M32" s="92"/>
      <c r="N32" s="92"/>
      <c r="O32" s="92"/>
      <c r="P32" s="92"/>
    </row>
    <row r="33" spans="1:16" x14ac:dyDescent="0.2">
      <c r="A33" s="140" t="s">
        <v>19</v>
      </c>
      <c r="B33" s="140" t="s">
        <v>20</v>
      </c>
      <c r="C33" s="140" t="s">
        <v>37</v>
      </c>
      <c r="D33" s="149" t="s">
        <v>37</v>
      </c>
      <c r="E33" s="139" t="s">
        <v>77</v>
      </c>
      <c r="F33" s="143"/>
      <c r="G33" s="142"/>
      <c r="H33" s="142"/>
      <c r="I33" s="142"/>
      <c r="J33" s="142"/>
      <c r="K33" s="92"/>
      <c r="L33" s="92"/>
      <c r="M33" s="92"/>
      <c r="N33" s="92"/>
      <c r="O33" s="92"/>
      <c r="P33" s="92"/>
    </row>
    <row r="34" spans="1:16" x14ac:dyDescent="0.2">
      <c r="A34" s="140" t="s">
        <v>19</v>
      </c>
      <c r="B34" s="140" t="s">
        <v>20</v>
      </c>
      <c r="C34" s="140" t="s">
        <v>37</v>
      </c>
      <c r="D34" s="149" t="s">
        <v>76</v>
      </c>
      <c r="E34" s="139" t="s">
        <v>77</v>
      </c>
      <c r="F34" s="143"/>
      <c r="G34" s="142"/>
      <c r="H34" s="142"/>
      <c r="I34" s="142"/>
      <c r="J34" s="142"/>
      <c r="K34" s="92"/>
      <c r="L34" s="92"/>
      <c r="M34" s="92"/>
      <c r="N34" s="92"/>
      <c r="O34" s="92"/>
      <c r="P34" s="92"/>
    </row>
    <row r="35" spans="1:16" x14ac:dyDescent="0.2">
      <c r="A35" s="140" t="s">
        <v>19</v>
      </c>
      <c r="B35" s="140" t="s">
        <v>20</v>
      </c>
      <c r="C35" s="140" t="s">
        <v>37</v>
      </c>
      <c r="D35" s="149" t="s">
        <v>829</v>
      </c>
      <c r="E35" s="139" t="s">
        <v>122</v>
      </c>
      <c r="F35" s="143"/>
      <c r="G35" s="142"/>
      <c r="H35" s="142"/>
      <c r="I35" s="142"/>
      <c r="J35" s="142"/>
      <c r="K35" s="92"/>
      <c r="L35" s="92"/>
      <c r="M35" s="92"/>
      <c r="N35" s="92"/>
      <c r="O35" s="92"/>
      <c r="P35" s="92"/>
    </row>
    <row r="36" spans="1:16" x14ac:dyDescent="0.2">
      <c r="A36" s="140" t="s">
        <v>19</v>
      </c>
      <c r="B36" s="140" t="s">
        <v>20</v>
      </c>
      <c r="C36" s="140" t="s">
        <v>37</v>
      </c>
      <c r="D36" s="149" t="s">
        <v>152</v>
      </c>
      <c r="E36" s="139" t="s">
        <v>153</v>
      </c>
      <c r="F36" s="143"/>
      <c r="G36" s="142"/>
      <c r="H36" s="142"/>
      <c r="I36" s="142"/>
      <c r="J36" s="142"/>
      <c r="K36" s="92"/>
      <c r="L36" s="92"/>
      <c r="M36" s="92"/>
      <c r="N36" s="92"/>
      <c r="O36" s="92"/>
      <c r="P36" s="92"/>
    </row>
    <row r="37" spans="1:16" x14ac:dyDescent="0.2">
      <c r="A37" s="140" t="s">
        <v>19</v>
      </c>
      <c r="B37" s="140" t="s">
        <v>155</v>
      </c>
      <c r="C37" s="140" t="s">
        <v>66</v>
      </c>
      <c r="D37" s="149" t="s">
        <v>186</v>
      </c>
      <c r="E37" s="139" t="s">
        <v>187</v>
      </c>
      <c r="F37" s="143"/>
      <c r="G37" s="142"/>
      <c r="H37" s="142"/>
      <c r="I37" s="142"/>
      <c r="J37" s="142"/>
      <c r="K37" s="92"/>
      <c r="L37" s="92"/>
      <c r="M37" s="92"/>
      <c r="N37" s="92"/>
      <c r="O37" s="92"/>
      <c r="P37" s="92"/>
    </row>
    <row r="38" spans="1:16" x14ac:dyDescent="0.2">
      <c r="A38" s="140" t="s">
        <v>19</v>
      </c>
      <c r="B38" s="140" t="s">
        <v>155</v>
      </c>
      <c r="C38" s="140" t="s">
        <v>66</v>
      </c>
      <c r="D38" s="149" t="s">
        <v>159</v>
      </c>
      <c r="E38" s="139" t="s">
        <v>160</v>
      </c>
      <c r="F38" s="143"/>
      <c r="G38" s="142"/>
      <c r="H38" s="142"/>
      <c r="I38" s="142"/>
      <c r="J38" s="142"/>
      <c r="K38" s="92"/>
      <c r="L38" s="92"/>
      <c r="M38" s="92"/>
      <c r="N38" s="92"/>
      <c r="O38" s="92"/>
      <c r="P38" s="92"/>
    </row>
    <row r="39" spans="1:16" x14ac:dyDescent="0.2">
      <c r="A39" s="140" t="s">
        <v>19</v>
      </c>
      <c r="B39" s="140" t="s">
        <v>155</v>
      </c>
      <c r="C39" s="140" t="s">
        <v>66</v>
      </c>
      <c r="D39" s="149" t="s">
        <v>188</v>
      </c>
      <c r="E39" s="139" t="s">
        <v>189</v>
      </c>
      <c r="F39" s="143"/>
      <c r="G39" s="142"/>
      <c r="H39" s="142"/>
      <c r="I39" s="142"/>
      <c r="J39" s="142"/>
      <c r="K39" s="92"/>
      <c r="L39" s="92"/>
      <c r="M39" s="92"/>
      <c r="N39" s="92"/>
      <c r="O39" s="92"/>
      <c r="P39" s="92"/>
    </row>
    <row r="40" spans="1:16" x14ac:dyDescent="0.2">
      <c r="A40" s="140" t="s">
        <v>19</v>
      </c>
      <c r="B40" s="140" t="s">
        <v>155</v>
      </c>
      <c r="C40" s="140" t="s">
        <v>66</v>
      </c>
      <c r="D40" s="149" t="s">
        <v>190</v>
      </c>
      <c r="E40" s="139" t="s">
        <v>191</v>
      </c>
      <c r="F40" s="143"/>
      <c r="G40" s="142"/>
      <c r="H40" s="142"/>
      <c r="I40" s="142"/>
      <c r="J40" s="142"/>
      <c r="K40" s="92"/>
      <c r="L40" s="92"/>
      <c r="M40" s="92"/>
      <c r="N40" s="92"/>
      <c r="O40" s="92"/>
      <c r="P40" s="92"/>
    </row>
    <row r="41" spans="1:16" x14ac:dyDescent="0.2">
      <c r="A41" s="140" t="s">
        <v>19</v>
      </c>
      <c r="B41" s="140" t="s">
        <v>155</v>
      </c>
      <c r="C41" s="140" t="s">
        <v>66</v>
      </c>
      <c r="D41" s="149" t="s">
        <v>192</v>
      </c>
      <c r="E41" s="139" t="s">
        <v>193</v>
      </c>
      <c r="F41" s="143"/>
      <c r="G41" s="142"/>
      <c r="H41" s="142"/>
      <c r="I41" s="142"/>
      <c r="J41" s="142"/>
      <c r="K41" s="92"/>
      <c r="L41" s="92"/>
      <c r="M41" s="92"/>
      <c r="N41" s="92"/>
      <c r="O41" s="92"/>
      <c r="P41" s="92"/>
    </row>
    <row r="42" spans="1:16" x14ac:dyDescent="0.2">
      <c r="A42" s="140" t="s">
        <v>19</v>
      </c>
      <c r="B42" s="140" t="s">
        <v>155</v>
      </c>
      <c r="C42" s="140" t="s">
        <v>66</v>
      </c>
      <c r="D42" s="149" t="s">
        <v>194</v>
      </c>
      <c r="E42" s="139" t="s">
        <v>195</v>
      </c>
      <c r="F42" s="143"/>
      <c r="G42" s="142"/>
      <c r="H42" s="142"/>
      <c r="I42" s="142"/>
      <c r="J42" s="142"/>
      <c r="K42" s="92"/>
      <c r="L42" s="92"/>
      <c r="M42" s="92"/>
      <c r="N42" s="92"/>
      <c r="O42" s="92"/>
      <c r="P42" s="92"/>
    </row>
    <row r="43" spans="1:16" x14ac:dyDescent="0.2">
      <c r="A43" s="140" t="s">
        <v>19</v>
      </c>
      <c r="B43" s="140" t="s">
        <v>155</v>
      </c>
      <c r="C43" s="140" t="s">
        <v>66</v>
      </c>
      <c r="D43" s="149" t="s">
        <v>156</v>
      </c>
      <c r="E43" s="139" t="s">
        <v>157</v>
      </c>
      <c r="F43" s="143"/>
      <c r="G43" s="142"/>
      <c r="H43" s="142"/>
      <c r="I43" s="142"/>
      <c r="J43" s="142"/>
      <c r="K43" s="92"/>
      <c r="L43" s="92"/>
      <c r="M43" s="92"/>
      <c r="N43" s="92"/>
      <c r="O43" s="92"/>
      <c r="P43" s="92"/>
    </row>
    <row r="44" spans="1:16" x14ac:dyDescent="0.2">
      <c r="A44" s="140" t="s">
        <v>19</v>
      </c>
      <c r="B44" s="140" t="s">
        <v>155</v>
      </c>
      <c r="C44" s="140" t="s">
        <v>66</v>
      </c>
      <c r="D44" s="149" t="s">
        <v>196</v>
      </c>
      <c r="E44" s="139" t="s">
        <v>197</v>
      </c>
      <c r="F44" s="143"/>
      <c r="G44" s="142"/>
      <c r="H44" s="142"/>
      <c r="I44" s="142"/>
      <c r="J44" s="142"/>
      <c r="K44" s="92"/>
      <c r="L44" s="92"/>
      <c r="M44" s="92"/>
      <c r="N44" s="92"/>
      <c r="O44" s="92"/>
      <c r="P44" s="92"/>
    </row>
    <row r="45" spans="1:16" x14ac:dyDescent="0.2">
      <c r="A45" s="140" t="s">
        <v>19</v>
      </c>
      <c r="B45" s="140" t="s">
        <v>44</v>
      </c>
      <c r="C45" s="140" t="s">
        <v>812</v>
      </c>
      <c r="D45" s="149" t="s">
        <v>517</v>
      </c>
      <c r="E45" s="139" t="s">
        <v>676</v>
      </c>
      <c r="F45" s="143"/>
      <c r="G45" s="142"/>
      <c r="H45" s="142"/>
      <c r="I45" s="142"/>
      <c r="J45" s="142"/>
      <c r="K45" s="92"/>
      <c r="L45" s="92"/>
      <c r="M45" s="92"/>
      <c r="N45" s="92"/>
      <c r="O45" s="92"/>
      <c r="P45" s="92"/>
    </row>
    <row r="46" spans="1:16" x14ac:dyDescent="0.2">
      <c r="A46" s="140" t="s">
        <v>19</v>
      </c>
      <c r="B46" s="140" t="s">
        <v>44</v>
      </c>
      <c r="C46" s="140" t="s">
        <v>812</v>
      </c>
      <c r="D46" s="149" t="s">
        <v>830</v>
      </c>
      <c r="E46" s="139" t="s">
        <v>677</v>
      </c>
      <c r="F46" s="143"/>
      <c r="G46" s="142"/>
      <c r="H46" s="142"/>
      <c r="I46" s="142"/>
      <c r="J46" s="142"/>
      <c r="K46" s="92"/>
      <c r="L46" s="92"/>
      <c r="M46" s="92"/>
      <c r="N46" s="92"/>
      <c r="O46" s="92"/>
      <c r="P46" s="92"/>
    </row>
    <row r="47" spans="1:16" x14ac:dyDescent="0.2">
      <c r="A47" s="140" t="s">
        <v>19</v>
      </c>
      <c r="B47" s="140" t="s">
        <v>44</v>
      </c>
      <c r="C47" s="140" t="s">
        <v>812</v>
      </c>
      <c r="D47" s="149" t="s">
        <v>831</v>
      </c>
      <c r="E47" s="139" t="s">
        <v>678</v>
      </c>
      <c r="F47" s="143"/>
      <c r="G47" s="142"/>
      <c r="H47" s="142"/>
      <c r="I47" s="142"/>
      <c r="J47" s="142"/>
      <c r="K47" s="92"/>
      <c r="L47" s="92"/>
      <c r="M47" s="92"/>
      <c r="N47" s="92"/>
      <c r="O47" s="92"/>
      <c r="P47" s="92"/>
    </row>
    <row r="48" spans="1:16" x14ac:dyDescent="0.2">
      <c r="A48" s="140" t="s">
        <v>19</v>
      </c>
      <c r="B48" s="140" t="s">
        <v>44</v>
      </c>
      <c r="C48" s="140" t="s">
        <v>812</v>
      </c>
      <c r="D48" s="149" t="s">
        <v>204</v>
      </c>
      <c r="E48" s="139" t="s">
        <v>205</v>
      </c>
      <c r="F48" s="143"/>
      <c r="G48" s="142"/>
      <c r="H48" s="142"/>
      <c r="I48" s="142"/>
      <c r="J48" s="142"/>
      <c r="K48" s="92"/>
      <c r="L48" s="92"/>
      <c r="M48" s="92"/>
      <c r="N48" s="92"/>
      <c r="O48" s="92"/>
      <c r="P48" s="92"/>
    </row>
    <row r="49" spans="1:16" x14ac:dyDescent="0.2">
      <c r="A49" s="140" t="s">
        <v>19</v>
      </c>
      <c r="B49" s="140" t="s">
        <v>44</v>
      </c>
      <c r="C49" s="140" t="s">
        <v>812</v>
      </c>
      <c r="D49" s="149" t="s">
        <v>198</v>
      </c>
      <c r="E49" s="139" t="s">
        <v>199</v>
      </c>
      <c r="F49" s="143"/>
      <c r="G49" s="142"/>
      <c r="H49" s="142"/>
      <c r="I49" s="142"/>
      <c r="J49" s="142"/>
      <c r="K49" s="92"/>
      <c r="L49" s="92"/>
      <c r="M49" s="92"/>
      <c r="N49" s="92"/>
      <c r="O49" s="92"/>
      <c r="P49" s="92"/>
    </row>
    <row r="50" spans="1:16" x14ac:dyDescent="0.2">
      <c r="A50" s="140" t="s">
        <v>19</v>
      </c>
      <c r="B50" s="140" t="s">
        <v>44</v>
      </c>
      <c r="C50" s="140" t="s">
        <v>812</v>
      </c>
      <c r="D50" s="149" t="s">
        <v>200</v>
      </c>
      <c r="E50" s="139" t="s">
        <v>201</v>
      </c>
      <c r="F50" s="143"/>
      <c r="G50" s="142"/>
      <c r="H50" s="142"/>
      <c r="I50" s="142"/>
      <c r="J50" s="142"/>
      <c r="K50" s="92"/>
      <c r="L50" s="92"/>
      <c r="M50" s="92"/>
      <c r="N50" s="92"/>
      <c r="O50" s="92"/>
      <c r="P50" s="92"/>
    </row>
    <row r="51" spans="1:16" x14ac:dyDescent="0.2">
      <c r="A51" s="140" t="s">
        <v>19</v>
      </c>
      <c r="B51" s="140" t="s">
        <v>44</v>
      </c>
      <c r="C51" s="140" t="s">
        <v>812</v>
      </c>
      <c r="D51" s="149" t="s">
        <v>832</v>
      </c>
      <c r="E51" s="139" t="s">
        <v>679</v>
      </c>
      <c r="F51" s="143"/>
      <c r="G51" s="142"/>
      <c r="H51" s="142"/>
      <c r="I51" s="142"/>
      <c r="J51" s="142"/>
      <c r="K51" s="92"/>
      <c r="L51" s="92"/>
      <c r="M51" s="92"/>
      <c r="N51" s="92"/>
      <c r="O51" s="92"/>
      <c r="P51" s="92"/>
    </row>
    <row r="52" spans="1:16" x14ac:dyDescent="0.2">
      <c r="A52" s="140" t="s">
        <v>19</v>
      </c>
      <c r="B52" s="140" t="s">
        <v>44</v>
      </c>
      <c r="C52" s="140" t="s">
        <v>812</v>
      </c>
      <c r="D52" s="149" t="s">
        <v>45</v>
      </c>
      <c r="E52" s="139" t="s">
        <v>46</v>
      </c>
      <c r="F52" s="143"/>
      <c r="G52" s="142"/>
      <c r="H52" s="142"/>
      <c r="I52" s="142"/>
      <c r="J52" s="142"/>
      <c r="K52" s="92"/>
      <c r="L52" s="92"/>
      <c r="M52" s="92"/>
      <c r="N52" s="92"/>
      <c r="O52" s="92"/>
      <c r="P52" s="92"/>
    </row>
    <row r="53" spans="1:16" x14ac:dyDescent="0.2">
      <c r="A53" s="140" t="s">
        <v>19</v>
      </c>
      <c r="B53" s="140" t="s">
        <v>44</v>
      </c>
      <c r="C53" s="140" t="s">
        <v>812</v>
      </c>
      <c r="D53" s="149" t="s">
        <v>526</v>
      </c>
      <c r="E53" s="139" t="s">
        <v>680</v>
      </c>
      <c r="F53" s="143"/>
      <c r="G53" s="142"/>
      <c r="H53" s="142"/>
      <c r="I53" s="142"/>
      <c r="J53" s="142"/>
      <c r="K53" s="92"/>
      <c r="L53" s="92"/>
      <c r="M53" s="92"/>
      <c r="N53" s="92"/>
      <c r="O53" s="92"/>
      <c r="P53" s="92"/>
    </row>
    <row r="54" spans="1:16" x14ac:dyDescent="0.2">
      <c r="A54" s="140" t="s">
        <v>19</v>
      </c>
      <c r="B54" s="140" t="s">
        <v>44</v>
      </c>
      <c r="C54" s="140" t="s">
        <v>812</v>
      </c>
      <c r="D54" s="149" t="s">
        <v>833</v>
      </c>
      <c r="E54" s="139" t="s">
        <v>681</v>
      </c>
      <c r="F54" s="142"/>
      <c r="G54" s="142"/>
      <c r="H54" s="142"/>
      <c r="I54" s="142"/>
      <c r="J54" s="142"/>
      <c r="K54" s="92"/>
      <c r="L54" s="92"/>
      <c r="M54" s="92"/>
      <c r="N54" s="92"/>
      <c r="O54" s="92"/>
      <c r="P54" s="92"/>
    </row>
    <row r="55" spans="1:16" x14ac:dyDescent="0.2">
      <c r="A55" s="140" t="s">
        <v>19</v>
      </c>
      <c r="B55" s="140" t="s">
        <v>44</v>
      </c>
      <c r="C55" s="140" t="s">
        <v>812</v>
      </c>
      <c r="D55" s="149" t="s">
        <v>834</v>
      </c>
      <c r="E55" s="139" t="s">
        <v>682</v>
      </c>
      <c r="F55" s="142"/>
      <c r="G55" s="142"/>
      <c r="H55" s="142"/>
      <c r="I55" s="142"/>
      <c r="J55" s="142"/>
      <c r="K55" s="92"/>
      <c r="L55" s="92"/>
      <c r="M55" s="92"/>
      <c r="N55" s="92"/>
      <c r="O55" s="92"/>
      <c r="P55" s="92"/>
    </row>
    <row r="56" spans="1:16" x14ac:dyDescent="0.2">
      <c r="A56" s="140" t="s">
        <v>19</v>
      </c>
      <c r="B56" s="140" t="s">
        <v>44</v>
      </c>
      <c r="C56" s="140" t="s">
        <v>812</v>
      </c>
      <c r="D56" s="149" t="s">
        <v>835</v>
      </c>
      <c r="E56" s="139" t="s">
        <v>683</v>
      </c>
      <c r="F56" s="142"/>
      <c r="G56" s="142"/>
      <c r="H56" s="142"/>
      <c r="I56" s="142"/>
      <c r="J56" s="142"/>
      <c r="K56" s="92"/>
      <c r="L56" s="92"/>
      <c r="M56" s="92"/>
      <c r="N56" s="92"/>
      <c r="O56" s="92"/>
      <c r="P56" s="92"/>
    </row>
    <row r="57" spans="1:16" x14ac:dyDescent="0.2">
      <c r="A57" s="140" t="s">
        <v>19</v>
      </c>
      <c r="B57" s="140" t="s">
        <v>44</v>
      </c>
      <c r="C57" s="140" t="s">
        <v>812</v>
      </c>
      <c r="D57" s="149" t="s">
        <v>836</v>
      </c>
      <c r="E57" s="139" t="s">
        <v>684</v>
      </c>
      <c r="F57" s="143"/>
      <c r="G57" s="142"/>
      <c r="H57" s="142"/>
      <c r="I57" s="142"/>
      <c r="J57" s="142"/>
      <c r="K57" s="146"/>
      <c r="L57" s="146"/>
      <c r="M57" s="146"/>
      <c r="N57" s="146"/>
      <c r="O57" s="146"/>
      <c r="P57" s="146"/>
    </row>
    <row r="58" spans="1:16" x14ac:dyDescent="0.2">
      <c r="A58" s="140" t="s">
        <v>19</v>
      </c>
      <c r="B58" s="140" t="s">
        <v>44</v>
      </c>
      <c r="C58" s="140" t="s">
        <v>812</v>
      </c>
      <c r="D58" s="149" t="s">
        <v>837</v>
      </c>
      <c r="E58" s="139" t="s">
        <v>685</v>
      </c>
      <c r="F58" s="142"/>
      <c r="G58" s="142"/>
      <c r="H58" s="142"/>
      <c r="I58" s="142"/>
      <c r="J58" s="142"/>
      <c r="K58" s="92"/>
      <c r="L58" s="92"/>
      <c r="M58" s="92"/>
      <c r="N58" s="92"/>
      <c r="O58" s="92"/>
      <c r="P58" s="92"/>
    </row>
    <row r="59" spans="1:16" x14ac:dyDescent="0.2">
      <c r="A59" s="140" t="s">
        <v>19</v>
      </c>
      <c r="B59" s="140" t="s">
        <v>44</v>
      </c>
      <c r="C59" s="140" t="s">
        <v>812</v>
      </c>
      <c r="D59" s="149" t="s">
        <v>838</v>
      </c>
      <c r="E59" s="139" t="s">
        <v>686</v>
      </c>
      <c r="F59" s="143"/>
      <c r="G59" s="142"/>
      <c r="H59" s="142"/>
      <c r="I59" s="142"/>
      <c r="J59" s="142"/>
      <c r="K59" s="146"/>
      <c r="L59" s="146"/>
      <c r="M59" s="146"/>
      <c r="N59" s="146"/>
      <c r="O59" s="146"/>
      <c r="P59" s="146"/>
    </row>
    <row r="60" spans="1:16" x14ac:dyDescent="0.2">
      <c r="A60" s="140" t="s">
        <v>19</v>
      </c>
      <c r="B60" s="140" t="s">
        <v>44</v>
      </c>
      <c r="C60" s="140" t="s">
        <v>812</v>
      </c>
      <c r="D60" s="149" t="s">
        <v>534</v>
      </c>
      <c r="E60" s="139" t="s">
        <v>687</v>
      </c>
      <c r="F60" s="142"/>
      <c r="G60" s="142"/>
      <c r="H60" s="142"/>
      <c r="I60" s="142"/>
      <c r="J60" s="142"/>
      <c r="K60" s="92"/>
      <c r="L60" s="92"/>
      <c r="M60" s="92"/>
      <c r="N60" s="92"/>
      <c r="O60" s="92"/>
      <c r="P60" s="92"/>
    </row>
    <row r="61" spans="1:16" x14ac:dyDescent="0.2">
      <c r="A61" s="140" t="s">
        <v>19</v>
      </c>
      <c r="B61" s="140" t="s">
        <v>44</v>
      </c>
      <c r="C61" s="140" t="s">
        <v>812</v>
      </c>
      <c r="D61" s="149" t="s">
        <v>100</v>
      </c>
      <c r="E61" s="139" t="s">
        <v>101</v>
      </c>
      <c r="F61" s="143"/>
      <c r="G61" s="142"/>
      <c r="H61" s="142"/>
      <c r="I61" s="142"/>
      <c r="J61" s="142"/>
      <c r="K61" s="146"/>
      <c r="L61" s="146"/>
      <c r="M61" s="146"/>
      <c r="N61" s="146"/>
      <c r="O61" s="146"/>
      <c r="P61" s="146"/>
    </row>
    <row r="62" spans="1:16" x14ac:dyDescent="0.2">
      <c r="A62" s="140" t="s">
        <v>19</v>
      </c>
      <c r="B62" s="140" t="s">
        <v>44</v>
      </c>
      <c r="C62" s="140" t="s">
        <v>812</v>
      </c>
      <c r="D62" s="149" t="s">
        <v>202</v>
      </c>
      <c r="E62" s="139" t="s">
        <v>203</v>
      </c>
      <c r="F62" s="143"/>
      <c r="G62" s="142"/>
      <c r="H62" s="142"/>
      <c r="I62" s="142"/>
      <c r="J62" s="142"/>
      <c r="K62" s="146"/>
      <c r="L62" s="146"/>
      <c r="M62" s="146"/>
      <c r="N62" s="146"/>
      <c r="O62" s="146"/>
      <c r="P62" s="146"/>
    </row>
    <row r="63" spans="1:16" x14ac:dyDescent="0.2">
      <c r="A63" s="140" t="s">
        <v>19</v>
      </c>
      <c r="B63" s="140" t="s">
        <v>44</v>
      </c>
      <c r="C63" s="140" t="s">
        <v>812</v>
      </c>
      <c r="D63" s="149" t="s">
        <v>538</v>
      </c>
      <c r="E63" s="139" t="s">
        <v>115</v>
      </c>
      <c r="F63" s="142"/>
      <c r="G63" s="142"/>
      <c r="H63" s="142"/>
      <c r="I63" s="142"/>
      <c r="J63" s="142"/>
      <c r="K63" s="92"/>
      <c r="L63" s="92"/>
      <c r="M63" s="92"/>
      <c r="N63" s="92"/>
      <c r="O63" s="92"/>
      <c r="P63" s="92"/>
    </row>
    <row r="64" spans="1:16" x14ac:dyDescent="0.2">
      <c r="A64" s="140" t="s">
        <v>19</v>
      </c>
      <c r="B64" s="140" t="s">
        <v>44</v>
      </c>
      <c r="C64" s="140" t="s">
        <v>812</v>
      </c>
      <c r="D64" s="149" t="s">
        <v>539</v>
      </c>
      <c r="E64" s="139" t="s">
        <v>688</v>
      </c>
      <c r="F64" s="143"/>
      <c r="G64" s="142"/>
      <c r="H64" s="142"/>
      <c r="I64" s="142"/>
      <c r="J64" s="142"/>
      <c r="K64" s="146"/>
      <c r="L64" s="146"/>
      <c r="M64" s="146"/>
      <c r="N64" s="146"/>
      <c r="O64" s="146"/>
      <c r="P64" s="146"/>
    </row>
    <row r="65" spans="1:16" x14ac:dyDescent="0.2">
      <c r="A65" s="140" t="s">
        <v>19</v>
      </c>
      <c r="B65" s="140" t="s">
        <v>44</v>
      </c>
      <c r="C65" s="140" t="s">
        <v>812</v>
      </c>
      <c r="D65" s="149" t="s">
        <v>541</v>
      </c>
      <c r="E65" s="139" t="s">
        <v>689</v>
      </c>
      <c r="F65" s="143"/>
      <c r="G65" s="142"/>
      <c r="H65" s="142"/>
      <c r="I65" s="142"/>
      <c r="J65" s="142"/>
      <c r="K65" s="146"/>
      <c r="L65" s="146"/>
      <c r="M65" s="146"/>
      <c r="N65" s="146"/>
      <c r="O65" s="146"/>
      <c r="P65" s="146"/>
    </row>
    <row r="66" spans="1:16" x14ac:dyDescent="0.2">
      <c r="A66" s="140" t="s">
        <v>19</v>
      </c>
      <c r="B66" s="140" t="s">
        <v>44</v>
      </c>
      <c r="C66" s="140" t="s">
        <v>812</v>
      </c>
      <c r="D66" s="149" t="s">
        <v>543</v>
      </c>
      <c r="E66" s="139" t="s">
        <v>690</v>
      </c>
      <c r="F66" s="143"/>
      <c r="G66" s="142"/>
      <c r="H66" s="142"/>
      <c r="I66" s="142"/>
      <c r="J66" s="142"/>
      <c r="K66" s="146"/>
      <c r="L66" s="146"/>
      <c r="M66" s="146"/>
      <c r="N66" s="146"/>
      <c r="O66" s="146"/>
      <c r="P66" s="146"/>
    </row>
    <row r="67" spans="1:16" x14ac:dyDescent="0.2">
      <c r="A67" s="140" t="s">
        <v>19</v>
      </c>
      <c r="B67" s="140" t="s">
        <v>44</v>
      </c>
      <c r="C67" s="140" t="s">
        <v>812</v>
      </c>
      <c r="D67" s="149" t="s">
        <v>545</v>
      </c>
      <c r="E67" s="139" t="s">
        <v>691</v>
      </c>
      <c r="F67" s="143"/>
      <c r="G67" s="142"/>
      <c r="H67" s="142"/>
      <c r="I67" s="142"/>
      <c r="J67" s="142"/>
      <c r="K67" s="146"/>
      <c r="L67" s="146"/>
      <c r="M67" s="146"/>
      <c r="N67" s="146"/>
      <c r="O67" s="146"/>
      <c r="P67" s="146"/>
    </row>
    <row r="68" spans="1:16" x14ac:dyDescent="0.2">
      <c r="A68" s="140" t="s">
        <v>19</v>
      </c>
      <c r="B68" s="140" t="s">
        <v>44</v>
      </c>
      <c r="C68" s="140" t="s">
        <v>812</v>
      </c>
      <c r="D68" s="149" t="s">
        <v>839</v>
      </c>
      <c r="E68" s="139" t="s">
        <v>692</v>
      </c>
      <c r="F68" s="143"/>
      <c r="G68" s="142"/>
      <c r="H68" s="142"/>
      <c r="I68" s="142"/>
      <c r="J68" s="142"/>
      <c r="K68" s="146"/>
      <c r="L68" s="146"/>
      <c r="M68" s="146"/>
      <c r="N68" s="146"/>
      <c r="O68" s="146"/>
      <c r="P68" s="146"/>
    </row>
    <row r="69" spans="1:16" x14ac:dyDescent="0.2">
      <c r="A69" s="140" t="s">
        <v>19</v>
      </c>
      <c r="B69" s="140" t="s">
        <v>44</v>
      </c>
      <c r="C69" s="140" t="s">
        <v>812</v>
      </c>
      <c r="D69" s="149" t="s">
        <v>146</v>
      </c>
      <c r="E69" s="139" t="s">
        <v>147</v>
      </c>
      <c r="F69" s="143"/>
      <c r="G69" s="142"/>
      <c r="H69" s="142"/>
      <c r="I69" s="142"/>
      <c r="J69" s="142"/>
      <c r="K69" s="146"/>
      <c r="L69" s="146"/>
      <c r="M69" s="146"/>
      <c r="N69" s="146"/>
      <c r="O69" s="146"/>
      <c r="P69" s="146"/>
    </row>
    <row r="70" spans="1:16" x14ac:dyDescent="0.2">
      <c r="A70" s="140" t="s">
        <v>19</v>
      </c>
      <c r="B70" s="140" t="s">
        <v>44</v>
      </c>
      <c r="C70" s="140" t="s">
        <v>69</v>
      </c>
      <c r="D70" s="149" t="s">
        <v>470</v>
      </c>
      <c r="E70" s="139" t="s">
        <v>718</v>
      </c>
      <c r="F70" s="143"/>
      <c r="G70" s="142"/>
      <c r="H70" s="142"/>
      <c r="I70" s="142"/>
      <c r="J70" s="142"/>
      <c r="K70" s="146"/>
      <c r="L70" s="146"/>
      <c r="M70" s="146"/>
      <c r="N70" s="146"/>
      <c r="O70" s="146"/>
      <c r="P70" s="146"/>
    </row>
    <row r="71" spans="1:16" x14ac:dyDescent="0.2">
      <c r="A71" s="140" t="s">
        <v>19</v>
      </c>
      <c r="B71" s="140" t="s">
        <v>44</v>
      </c>
      <c r="C71" s="140" t="s">
        <v>69</v>
      </c>
      <c r="D71" s="149" t="s">
        <v>69</v>
      </c>
      <c r="E71" s="139" t="s">
        <v>70</v>
      </c>
      <c r="F71" s="143"/>
      <c r="G71" s="142"/>
      <c r="H71" s="142"/>
      <c r="I71" s="142"/>
      <c r="J71" s="142"/>
      <c r="K71" s="146"/>
      <c r="L71" s="146"/>
      <c r="M71" s="146"/>
      <c r="N71" s="146"/>
      <c r="O71" s="146"/>
      <c r="P71" s="146"/>
    </row>
    <row r="72" spans="1:16" x14ac:dyDescent="0.2">
      <c r="A72" s="140" t="s">
        <v>19</v>
      </c>
      <c r="B72" s="140" t="s">
        <v>73</v>
      </c>
      <c r="C72" s="140" t="s">
        <v>74</v>
      </c>
      <c r="D72" s="149" t="s">
        <v>454</v>
      </c>
      <c r="E72" s="139" t="s">
        <v>724</v>
      </c>
      <c r="F72" s="143"/>
      <c r="G72" s="142"/>
      <c r="H72" s="142"/>
      <c r="I72" s="142"/>
      <c r="J72" s="142"/>
      <c r="K72" s="146"/>
      <c r="L72" s="146"/>
      <c r="M72" s="146"/>
      <c r="N72" s="146"/>
      <c r="O72" s="146"/>
      <c r="P72" s="146"/>
    </row>
    <row r="73" spans="1:16" x14ac:dyDescent="0.2">
      <c r="A73" s="140" t="s">
        <v>19</v>
      </c>
      <c r="B73" s="140" t="s">
        <v>73</v>
      </c>
      <c r="C73" s="140" t="s">
        <v>74</v>
      </c>
      <c r="D73" s="149" t="s">
        <v>206</v>
      </c>
      <c r="E73" s="139" t="s">
        <v>207</v>
      </c>
      <c r="F73" s="143"/>
      <c r="G73" s="142"/>
      <c r="H73" s="142"/>
      <c r="I73" s="142"/>
      <c r="J73" s="142"/>
      <c r="K73" s="146"/>
      <c r="L73" s="146"/>
      <c r="M73" s="146"/>
      <c r="N73" s="146"/>
      <c r="O73" s="146"/>
      <c r="P73" s="146"/>
    </row>
    <row r="74" spans="1:16" x14ac:dyDescent="0.2">
      <c r="A74" s="140" t="s">
        <v>19</v>
      </c>
      <c r="B74" s="140" t="s">
        <v>73</v>
      </c>
      <c r="C74" s="140" t="s">
        <v>74</v>
      </c>
      <c r="D74" s="149" t="s">
        <v>459</v>
      </c>
      <c r="E74" s="139" t="s">
        <v>725</v>
      </c>
      <c r="F74" s="143"/>
      <c r="G74" s="142"/>
      <c r="H74" s="142"/>
      <c r="I74" s="142"/>
      <c r="J74" s="142"/>
      <c r="K74" s="146"/>
      <c r="L74" s="146"/>
      <c r="M74" s="146"/>
      <c r="N74" s="146"/>
      <c r="O74" s="146"/>
      <c r="P74" s="146"/>
    </row>
    <row r="75" spans="1:16" x14ac:dyDescent="0.2">
      <c r="A75" s="140" t="s">
        <v>19</v>
      </c>
      <c r="B75" s="140" t="s">
        <v>73</v>
      </c>
      <c r="C75" s="140" t="s">
        <v>74</v>
      </c>
      <c r="D75" s="149" t="s">
        <v>208</v>
      </c>
      <c r="E75" s="139" t="s">
        <v>209</v>
      </c>
      <c r="F75" s="142"/>
      <c r="G75" s="142"/>
      <c r="H75" s="142"/>
      <c r="I75" s="142"/>
      <c r="J75" s="142"/>
      <c r="K75" s="92"/>
      <c r="L75" s="92"/>
      <c r="M75" s="92"/>
      <c r="N75" s="92"/>
      <c r="O75" s="92"/>
      <c r="P75" s="92"/>
    </row>
    <row r="76" spans="1:16" x14ac:dyDescent="0.2">
      <c r="A76" s="140" t="s">
        <v>19</v>
      </c>
      <c r="B76" s="140" t="s">
        <v>73</v>
      </c>
      <c r="C76" s="140" t="s">
        <v>74</v>
      </c>
      <c r="D76" s="149" t="s">
        <v>210</v>
      </c>
      <c r="E76" s="139" t="s">
        <v>211</v>
      </c>
      <c r="F76" s="142"/>
      <c r="G76" s="142"/>
      <c r="H76" s="142"/>
      <c r="I76" s="142"/>
      <c r="J76" s="142"/>
      <c r="K76" s="92"/>
      <c r="L76" s="92"/>
      <c r="M76" s="92"/>
      <c r="N76" s="92"/>
      <c r="O76" s="92"/>
      <c r="P76" s="92"/>
    </row>
    <row r="77" spans="1:16" x14ac:dyDescent="0.2">
      <c r="A77" s="140" t="s">
        <v>19</v>
      </c>
      <c r="B77" s="140" t="s">
        <v>73</v>
      </c>
      <c r="C77" s="140" t="s">
        <v>74</v>
      </c>
      <c r="D77" s="149" t="s">
        <v>212</v>
      </c>
      <c r="E77" s="139" t="s">
        <v>213</v>
      </c>
      <c r="F77" s="143"/>
      <c r="G77" s="142"/>
      <c r="H77" s="142"/>
      <c r="I77" s="142"/>
      <c r="J77" s="142"/>
      <c r="K77" s="146"/>
      <c r="L77" s="146"/>
      <c r="M77" s="146"/>
      <c r="N77" s="146"/>
      <c r="O77" s="146"/>
      <c r="P77" s="146"/>
    </row>
    <row r="78" spans="1:16" x14ac:dyDescent="0.2">
      <c r="A78" s="140" t="s">
        <v>19</v>
      </c>
      <c r="B78" s="140" t="s">
        <v>73</v>
      </c>
      <c r="C78" s="140" t="s">
        <v>74</v>
      </c>
      <c r="D78" s="149" t="s">
        <v>74</v>
      </c>
      <c r="E78" s="139" t="s">
        <v>75</v>
      </c>
      <c r="F78" s="142"/>
      <c r="G78" s="142"/>
      <c r="H78" s="142"/>
      <c r="I78" s="142"/>
      <c r="J78" s="142"/>
      <c r="K78" s="146"/>
      <c r="L78" s="146"/>
      <c r="M78" s="146"/>
      <c r="N78" s="146"/>
      <c r="O78" s="146"/>
      <c r="P78" s="146"/>
    </row>
    <row r="79" spans="1:16" ht="12" customHeight="1" x14ac:dyDescent="0.25">
      <c r="A79" s="151" t="s">
        <v>19</v>
      </c>
      <c r="B79" s="151" t="s">
        <v>73</v>
      </c>
      <c r="C79" s="151" t="s">
        <v>74</v>
      </c>
      <c r="D79" s="151" t="s">
        <v>450</v>
      </c>
      <c r="E79" s="151" t="s">
        <v>126</v>
      </c>
      <c r="F79" s="151"/>
      <c r="G79" s="151"/>
      <c r="H79" s="151"/>
      <c r="I79" s="151"/>
      <c r="J79" s="151"/>
      <c r="K79" s="151"/>
      <c r="L79" s="151"/>
      <c r="M79" s="151"/>
      <c r="N79" s="151"/>
      <c r="O79" s="151"/>
      <c r="P79" s="151"/>
    </row>
    <row r="80" spans="1:16" x14ac:dyDescent="0.2">
      <c r="A80" s="140" t="s">
        <v>19</v>
      </c>
      <c r="B80" s="140" t="s">
        <v>73</v>
      </c>
      <c r="C80" s="140" t="s">
        <v>74</v>
      </c>
      <c r="D80" s="149" t="s">
        <v>464</v>
      </c>
      <c r="E80" s="139" t="s">
        <v>726</v>
      </c>
      <c r="F80" s="142"/>
      <c r="G80" s="142"/>
      <c r="H80" s="142"/>
      <c r="I80" s="142"/>
      <c r="J80" s="142"/>
      <c r="K80" s="92"/>
      <c r="L80" s="92"/>
      <c r="M80" s="92"/>
      <c r="N80" s="92"/>
      <c r="O80" s="92"/>
      <c r="P80" s="92"/>
    </row>
    <row r="81" spans="1:16" x14ac:dyDescent="0.2">
      <c r="A81" s="140" t="s">
        <v>19</v>
      </c>
      <c r="B81" s="140" t="s">
        <v>73</v>
      </c>
      <c r="C81" s="140" t="s">
        <v>74</v>
      </c>
      <c r="D81" s="149" t="s">
        <v>214</v>
      </c>
      <c r="E81" s="139" t="s">
        <v>215</v>
      </c>
      <c r="F81" s="143"/>
      <c r="G81" s="142"/>
      <c r="H81" s="142"/>
      <c r="I81" s="142"/>
      <c r="J81" s="142"/>
      <c r="K81" s="146"/>
      <c r="L81" s="146"/>
      <c r="M81" s="146"/>
      <c r="N81" s="146"/>
      <c r="O81" s="146"/>
      <c r="P81" s="146"/>
    </row>
    <row r="82" spans="1:16" x14ac:dyDescent="0.2">
      <c r="A82" s="140" t="s">
        <v>19</v>
      </c>
      <c r="B82" s="140" t="s">
        <v>73</v>
      </c>
      <c r="C82" s="140" t="s">
        <v>74</v>
      </c>
      <c r="D82" s="149" t="s">
        <v>466</v>
      </c>
      <c r="E82" s="139" t="s">
        <v>727</v>
      </c>
      <c r="F82" s="143"/>
      <c r="G82" s="142"/>
      <c r="H82" s="142"/>
      <c r="I82" s="142"/>
      <c r="J82" s="142"/>
      <c r="K82" s="146"/>
      <c r="L82" s="146"/>
      <c r="M82" s="146"/>
      <c r="N82" s="146"/>
      <c r="O82" s="146"/>
      <c r="P82" s="146"/>
    </row>
    <row r="83" spans="1:16" x14ac:dyDescent="0.2">
      <c r="A83" s="140" t="s">
        <v>19</v>
      </c>
      <c r="B83" s="140" t="s">
        <v>73</v>
      </c>
      <c r="C83" s="140" t="s">
        <v>74</v>
      </c>
      <c r="D83" s="149" t="s">
        <v>125</v>
      </c>
      <c r="E83" s="139" t="s">
        <v>126</v>
      </c>
      <c r="F83" s="143"/>
      <c r="G83" s="142"/>
      <c r="H83" s="142"/>
      <c r="I83" s="142"/>
      <c r="J83" s="142"/>
      <c r="K83" s="146"/>
      <c r="L83" s="146"/>
      <c r="M83" s="146"/>
      <c r="N83" s="146"/>
      <c r="O83" s="146"/>
      <c r="P83" s="146"/>
    </row>
    <row r="84" spans="1:16" x14ac:dyDescent="0.2">
      <c r="A84" s="140" t="s">
        <v>19</v>
      </c>
      <c r="B84" s="140" t="s">
        <v>73</v>
      </c>
      <c r="C84" s="140" t="s">
        <v>74</v>
      </c>
      <c r="D84" s="149" t="s">
        <v>840</v>
      </c>
      <c r="E84" s="139" t="s">
        <v>728</v>
      </c>
      <c r="F84" s="142"/>
      <c r="G84" s="142"/>
      <c r="H84" s="142"/>
      <c r="I84" s="142"/>
      <c r="J84" s="142"/>
      <c r="K84" s="92"/>
      <c r="L84" s="92"/>
      <c r="M84" s="92"/>
      <c r="N84" s="92"/>
      <c r="O84" s="92"/>
      <c r="P84" s="92"/>
    </row>
    <row r="85" spans="1:16" x14ac:dyDescent="0.2">
      <c r="A85" s="140" t="s">
        <v>19</v>
      </c>
      <c r="B85" s="140" t="s">
        <v>73</v>
      </c>
      <c r="C85" s="140" t="s">
        <v>116</v>
      </c>
      <c r="D85" s="149" t="s">
        <v>117</v>
      </c>
      <c r="E85" s="139" t="s">
        <v>118</v>
      </c>
      <c r="F85" s="142"/>
      <c r="G85" s="142"/>
      <c r="H85" s="142"/>
      <c r="I85" s="142"/>
      <c r="J85" s="142"/>
      <c r="K85" s="92"/>
      <c r="L85" s="92"/>
      <c r="M85" s="92"/>
      <c r="N85" s="92"/>
      <c r="O85" s="92"/>
      <c r="P85" s="92"/>
    </row>
    <row r="86" spans="1:16" x14ac:dyDescent="0.2">
      <c r="A86" s="140" t="s">
        <v>19</v>
      </c>
      <c r="B86" s="140" t="s">
        <v>73</v>
      </c>
      <c r="C86" s="140" t="s">
        <v>116</v>
      </c>
      <c r="D86" s="149" t="s">
        <v>216</v>
      </c>
      <c r="E86" s="139" t="s">
        <v>217</v>
      </c>
      <c r="F86" s="143"/>
      <c r="G86" s="142"/>
      <c r="H86" s="142"/>
      <c r="I86" s="142"/>
      <c r="J86" s="142"/>
      <c r="K86" s="146"/>
      <c r="L86" s="146"/>
      <c r="M86" s="146"/>
      <c r="N86" s="146"/>
      <c r="O86" s="146"/>
      <c r="P86" s="146"/>
    </row>
    <row r="87" spans="1:16" x14ac:dyDescent="0.2">
      <c r="A87" s="140" t="s">
        <v>19</v>
      </c>
      <c r="B87" s="140" t="s">
        <v>73</v>
      </c>
      <c r="C87" s="140" t="s">
        <v>116</v>
      </c>
      <c r="D87" s="149" t="s">
        <v>841</v>
      </c>
      <c r="E87" s="139" t="s">
        <v>753</v>
      </c>
      <c r="F87" s="143"/>
      <c r="G87" s="142"/>
      <c r="H87" s="142"/>
      <c r="I87" s="142"/>
      <c r="J87" s="142"/>
      <c r="K87" s="146"/>
      <c r="L87" s="146"/>
      <c r="M87" s="146"/>
      <c r="N87" s="146"/>
      <c r="O87" s="146"/>
      <c r="P87" s="146"/>
    </row>
    <row r="88" spans="1:16" x14ac:dyDescent="0.2">
      <c r="A88" s="140" t="s">
        <v>19</v>
      </c>
      <c r="B88" s="140" t="s">
        <v>73</v>
      </c>
      <c r="C88" s="140" t="s">
        <v>119</v>
      </c>
      <c r="D88" s="149" t="s">
        <v>119</v>
      </c>
      <c r="E88" s="139" t="s">
        <v>120</v>
      </c>
      <c r="F88" s="142"/>
      <c r="G88" s="142"/>
      <c r="H88" s="142"/>
      <c r="I88" s="142"/>
      <c r="J88" s="142"/>
      <c r="K88" s="92"/>
      <c r="L88" s="92"/>
      <c r="M88" s="92"/>
      <c r="N88" s="92"/>
      <c r="O88" s="92"/>
      <c r="P88" s="92"/>
    </row>
    <row r="89" spans="1:16" x14ac:dyDescent="0.2">
      <c r="A89" s="140" t="s">
        <v>19</v>
      </c>
      <c r="B89" s="140" t="s">
        <v>73</v>
      </c>
      <c r="C89" s="140" t="s">
        <v>119</v>
      </c>
      <c r="D89" s="149" t="s">
        <v>148</v>
      </c>
      <c r="E89" s="139" t="s">
        <v>149</v>
      </c>
      <c r="F89" s="143"/>
      <c r="G89" s="142"/>
      <c r="H89" s="142"/>
      <c r="I89" s="142"/>
      <c r="J89" s="142"/>
      <c r="K89" s="146"/>
      <c r="L89" s="146"/>
      <c r="M89" s="146"/>
      <c r="N89" s="146"/>
      <c r="O89" s="146"/>
      <c r="P89" s="146"/>
    </row>
    <row r="90" spans="1:16" x14ac:dyDescent="0.2">
      <c r="A90" s="140" t="s">
        <v>19</v>
      </c>
      <c r="B90" s="140" t="s">
        <v>41</v>
      </c>
      <c r="C90" s="140" t="s">
        <v>813</v>
      </c>
      <c r="D90" s="149" t="s">
        <v>842</v>
      </c>
      <c r="E90" s="139" t="s">
        <v>698</v>
      </c>
      <c r="F90" s="142"/>
      <c r="G90" s="142"/>
      <c r="H90" s="142"/>
      <c r="I90" s="142"/>
      <c r="J90" s="142"/>
      <c r="K90" s="92"/>
      <c r="L90" s="92"/>
      <c r="M90" s="92"/>
      <c r="N90" s="92"/>
      <c r="O90" s="92"/>
      <c r="P90" s="92"/>
    </row>
    <row r="91" spans="1:16" x14ac:dyDescent="0.2">
      <c r="A91" s="140" t="s">
        <v>19</v>
      </c>
      <c r="B91" s="140" t="s">
        <v>41</v>
      </c>
      <c r="C91" s="140" t="s">
        <v>813</v>
      </c>
      <c r="D91" s="149" t="s">
        <v>843</v>
      </c>
      <c r="E91" s="139" t="s">
        <v>699</v>
      </c>
      <c r="F91" s="143"/>
      <c r="G91" s="142"/>
      <c r="H91" s="142"/>
      <c r="I91" s="142"/>
      <c r="J91" s="142"/>
      <c r="K91" s="146"/>
      <c r="L91" s="146"/>
      <c r="M91" s="146"/>
      <c r="N91" s="146"/>
      <c r="O91" s="146"/>
      <c r="P91" s="146"/>
    </row>
    <row r="92" spans="1:16" x14ac:dyDescent="0.2">
      <c r="A92" s="140" t="s">
        <v>19</v>
      </c>
      <c r="B92" s="140" t="s">
        <v>41</v>
      </c>
      <c r="C92" s="140" t="s">
        <v>813</v>
      </c>
      <c r="D92" s="149" t="s">
        <v>497</v>
      </c>
      <c r="E92" s="139" t="s">
        <v>700</v>
      </c>
      <c r="F92" s="143"/>
      <c r="G92" s="142"/>
      <c r="H92" s="142"/>
      <c r="I92" s="142"/>
      <c r="J92" s="142"/>
      <c r="K92" s="146"/>
      <c r="L92" s="146"/>
      <c r="M92" s="146"/>
      <c r="N92" s="146"/>
      <c r="O92" s="146"/>
      <c r="P92" s="146"/>
    </row>
    <row r="93" spans="1:16" ht="15" customHeight="1" x14ac:dyDescent="0.2">
      <c r="A93" s="140" t="s">
        <v>19</v>
      </c>
      <c r="B93" s="140" t="s">
        <v>41</v>
      </c>
      <c r="C93" s="140" t="s">
        <v>813</v>
      </c>
      <c r="D93" s="149" t="s">
        <v>42</v>
      </c>
      <c r="E93" s="139" t="s">
        <v>43</v>
      </c>
      <c r="F93" s="143"/>
      <c r="G93" s="142"/>
      <c r="H93" s="142"/>
      <c r="I93" s="142"/>
      <c r="J93" s="142"/>
      <c r="K93" s="146"/>
      <c r="L93" s="146"/>
      <c r="M93" s="146"/>
      <c r="N93" s="146"/>
      <c r="O93" s="146"/>
      <c r="P93" s="146"/>
    </row>
    <row r="94" spans="1:16" x14ac:dyDescent="0.2">
      <c r="A94" s="140" t="s">
        <v>19</v>
      </c>
      <c r="B94" s="140" t="s">
        <v>41</v>
      </c>
      <c r="C94" s="140" t="s">
        <v>813</v>
      </c>
      <c r="D94" s="149" t="s">
        <v>844</v>
      </c>
      <c r="E94" s="139" t="s">
        <v>701</v>
      </c>
      <c r="F94" s="143"/>
      <c r="G94" s="142"/>
      <c r="H94" s="142"/>
      <c r="I94" s="142"/>
      <c r="J94" s="142"/>
      <c r="K94" s="146"/>
      <c r="L94" s="146"/>
      <c r="M94" s="146"/>
      <c r="N94" s="146"/>
      <c r="O94" s="146"/>
      <c r="P94" s="146"/>
    </row>
    <row r="95" spans="1:16" x14ac:dyDescent="0.2">
      <c r="A95" s="140" t="s">
        <v>19</v>
      </c>
      <c r="B95" s="140" t="s">
        <v>41</v>
      </c>
      <c r="C95" s="140" t="s">
        <v>813</v>
      </c>
      <c r="D95" s="149" t="s">
        <v>845</v>
      </c>
      <c r="E95" s="139" t="s">
        <v>702</v>
      </c>
      <c r="F95" s="143"/>
      <c r="G95" s="142"/>
      <c r="H95" s="142"/>
      <c r="I95" s="142"/>
      <c r="J95" s="142"/>
      <c r="K95" s="146"/>
      <c r="L95" s="146"/>
      <c r="M95" s="146"/>
      <c r="N95" s="146"/>
      <c r="O95" s="146"/>
      <c r="P95" s="146"/>
    </row>
    <row r="96" spans="1:16" x14ac:dyDescent="0.2">
      <c r="A96" s="140" t="s">
        <v>19</v>
      </c>
      <c r="B96" s="140" t="s">
        <v>41</v>
      </c>
      <c r="C96" s="140" t="s">
        <v>813</v>
      </c>
      <c r="D96" s="149" t="s">
        <v>846</v>
      </c>
      <c r="E96" s="139" t="s">
        <v>703</v>
      </c>
      <c r="F96" s="142"/>
      <c r="G96" s="142"/>
      <c r="H96" s="142"/>
      <c r="I96" s="142"/>
      <c r="J96" s="142"/>
      <c r="K96" s="146"/>
      <c r="L96" s="146"/>
      <c r="M96" s="146"/>
      <c r="N96" s="146"/>
      <c r="O96" s="146"/>
      <c r="P96" s="146"/>
    </row>
    <row r="97" spans="1:16" x14ac:dyDescent="0.2">
      <c r="A97" s="140" t="s">
        <v>19</v>
      </c>
      <c r="B97" s="140" t="s">
        <v>41</v>
      </c>
      <c r="C97" s="140" t="s">
        <v>813</v>
      </c>
      <c r="D97" s="149" t="s">
        <v>64</v>
      </c>
      <c r="E97" s="139" t="s">
        <v>65</v>
      </c>
      <c r="F97" s="142"/>
      <c r="G97" s="142"/>
      <c r="H97" s="142"/>
      <c r="I97" s="142"/>
      <c r="J97" s="142"/>
      <c r="K97" s="92"/>
      <c r="L97" s="92"/>
      <c r="M97" s="92"/>
      <c r="N97" s="92"/>
      <c r="O97" s="92"/>
      <c r="P97" s="92"/>
    </row>
    <row r="98" spans="1:16" x14ac:dyDescent="0.2">
      <c r="A98" s="140" t="s">
        <v>19</v>
      </c>
      <c r="B98" s="140" t="s">
        <v>41</v>
      </c>
      <c r="C98" s="140" t="s">
        <v>813</v>
      </c>
      <c r="D98" s="149" t="s">
        <v>847</v>
      </c>
      <c r="E98" s="139" t="s">
        <v>704</v>
      </c>
      <c r="F98" s="142"/>
      <c r="G98" s="142"/>
      <c r="H98" s="142"/>
      <c r="I98" s="142"/>
      <c r="J98" s="142"/>
      <c r="K98" s="92"/>
      <c r="L98" s="92"/>
      <c r="M98" s="92"/>
      <c r="N98" s="92"/>
      <c r="O98" s="92"/>
      <c r="P98" s="92"/>
    </row>
    <row r="99" spans="1:16" x14ac:dyDescent="0.2">
      <c r="A99" s="140" t="s">
        <v>19</v>
      </c>
      <c r="B99" s="140" t="s">
        <v>41</v>
      </c>
      <c r="C99" s="140" t="s">
        <v>813</v>
      </c>
      <c r="D99" s="149" t="s">
        <v>504</v>
      </c>
      <c r="E99" s="139" t="s">
        <v>705</v>
      </c>
      <c r="F99" s="142"/>
      <c r="G99" s="142"/>
      <c r="H99" s="142"/>
      <c r="I99" s="142"/>
      <c r="J99" s="142"/>
      <c r="K99" s="92"/>
      <c r="L99" s="92"/>
      <c r="M99" s="92"/>
      <c r="N99" s="92"/>
      <c r="O99" s="92"/>
      <c r="P99" s="92"/>
    </row>
    <row r="100" spans="1:16" x14ac:dyDescent="0.2">
      <c r="A100" s="140" t="s">
        <v>19</v>
      </c>
      <c r="B100" s="140" t="s">
        <v>41</v>
      </c>
      <c r="C100" s="140" t="s">
        <v>813</v>
      </c>
      <c r="D100" s="149" t="s">
        <v>848</v>
      </c>
      <c r="E100" s="139" t="s">
        <v>706</v>
      </c>
      <c r="F100" s="143"/>
      <c r="G100" s="142"/>
      <c r="H100" s="142"/>
      <c r="I100" s="142"/>
      <c r="J100" s="142"/>
      <c r="K100" s="92"/>
      <c r="L100" s="92"/>
      <c r="M100" s="92"/>
      <c r="N100" s="92"/>
      <c r="O100" s="92"/>
      <c r="P100" s="92"/>
    </row>
    <row r="101" spans="1:16" x14ac:dyDescent="0.2">
      <c r="A101" s="140" t="s">
        <v>19</v>
      </c>
      <c r="B101" s="140" t="s">
        <v>41</v>
      </c>
      <c r="C101" s="140" t="s">
        <v>813</v>
      </c>
      <c r="D101" s="149" t="s">
        <v>849</v>
      </c>
      <c r="E101" s="139" t="s">
        <v>707</v>
      </c>
      <c r="F101" s="143"/>
      <c r="G101" s="142"/>
      <c r="H101" s="142"/>
      <c r="I101" s="142"/>
      <c r="J101" s="142"/>
      <c r="K101" s="92"/>
      <c r="L101" s="92"/>
      <c r="M101" s="92"/>
      <c r="N101" s="92"/>
      <c r="O101" s="92"/>
      <c r="P101" s="92"/>
    </row>
    <row r="102" spans="1:16" x14ac:dyDescent="0.2">
      <c r="A102" s="140" t="s">
        <v>19</v>
      </c>
      <c r="B102" s="140" t="s">
        <v>41</v>
      </c>
      <c r="C102" s="140" t="s">
        <v>813</v>
      </c>
      <c r="D102" s="149" t="s">
        <v>850</v>
      </c>
      <c r="E102" s="139" t="s">
        <v>708</v>
      </c>
      <c r="F102" s="143"/>
      <c r="G102" s="142"/>
      <c r="H102" s="142"/>
      <c r="I102" s="142"/>
      <c r="J102" s="142"/>
      <c r="K102" s="92"/>
      <c r="L102" s="92"/>
      <c r="M102" s="92"/>
      <c r="N102" s="92"/>
      <c r="O102" s="92"/>
      <c r="P102" s="92"/>
    </row>
    <row r="103" spans="1:16" x14ac:dyDescent="0.2">
      <c r="A103" s="140" t="s">
        <v>19</v>
      </c>
      <c r="B103" s="140" t="s">
        <v>41</v>
      </c>
      <c r="C103" s="140" t="s">
        <v>813</v>
      </c>
      <c r="D103" s="149" t="s">
        <v>851</v>
      </c>
      <c r="E103" s="139" t="s">
        <v>709</v>
      </c>
      <c r="F103" s="142"/>
      <c r="G103" s="143"/>
      <c r="H103" s="142"/>
      <c r="I103" s="142"/>
      <c r="J103" s="142"/>
      <c r="K103" s="92"/>
      <c r="L103" s="92"/>
      <c r="M103" s="92"/>
      <c r="N103" s="92"/>
      <c r="O103" s="92"/>
      <c r="P103" s="92"/>
    </row>
    <row r="104" spans="1:16" x14ac:dyDescent="0.2">
      <c r="A104" s="140" t="s">
        <v>19</v>
      </c>
      <c r="B104" s="140" t="s">
        <v>55</v>
      </c>
      <c r="C104" s="140" t="s">
        <v>220</v>
      </c>
      <c r="D104" s="149" t="s">
        <v>220</v>
      </c>
      <c r="E104" s="139" t="s">
        <v>221</v>
      </c>
      <c r="F104" s="142"/>
      <c r="G104" s="143"/>
      <c r="H104" s="142"/>
      <c r="I104" s="142"/>
      <c r="J104" s="142"/>
      <c r="K104" s="92"/>
      <c r="L104" s="92"/>
      <c r="M104" s="92"/>
      <c r="N104" s="92"/>
      <c r="O104" s="92"/>
      <c r="P104" s="92"/>
    </row>
    <row r="105" spans="1:16" x14ac:dyDescent="0.2">
      <c r="A105" s="140" t="s">
        <v>19</v>
      </c>
      <c r="B105" s="140" t="s">
        <v>55</v>
      </c>
      <c r="C105" s="140" t="s">
        <v>220</v>
      </c>
      <c r="D105" s="149" t="s">
        <v>852</v>
      </c>
      <c r="E105" s="139" t="s">
        <v>696</v>
      </c>
      <c r="F105" s="142"/>
      <c r="G105" s="142"/>
      <c r="H105" s="142"/>
      <c r="I105" s="142"/>
      <c r="J105" s="142"/>
      <c r="K105" s="92"/>
      <c r="L105" s="92"/>
      <c r="M105" s="92"/>
      <c r="N105" s="92"/>
      <c r="O105" s="92"/>
      <c r="P105" s="92"/>
    </row>
    <row r="106" spans="1:16" x14ac:dyDescent="0.2">
      <c r="A106" s="140" t="s">
        <v>19</v>
      </c>
      <c r="B106" s="140" t="s">
        <v>55</v>
      </c>
      <c r="C106" s="140" t="s">
        <v>220</v>
      </c>
      <c r="D106" s="149" t="s">
        <v>515</v>
      </c>
      <c r="E106" s="139" t="s">
        <v>697</v>
      </c>
      <c r="F106" s="142"/>
      <c r="G106" s="142"/>
      <c r="H106" s="142"/>
      <c r="I106" s="142"/>
      <c r="J106" s="142"/>
      <c r="K106" s="92"/>
      <c r="L106" s="92"/>
      <c r="M106" s="92"/>
      <c r="N106" s="92"/>
      <c r="O106" s="92"/>
      <c r="P106" s="92"/>
    </row>
    <row r="107" spans="1:16" x14ac:dyDescent="0.2">
      <c r="A107" s="140" t="s">
        <v>19</v>
      </c>
      <c r="B107" s="140" t="s">
        <v>55</v>
      </c>
      <c r="C107" s="140" t="s">
        <v>56</v>
      </c>
      <c r="D107" s="149" t="s">
        <v>488</v>
      </c>
      <c r="E107" s="139" t="s">
        <v>711</v>
      </c>
      <c r="F107" s="143"/>
      <c r="G107" s="142"/>
      <c r="H107" s="142"/>
      <c r="I107" s="142"/>
      <c r="J107" s="142"/>
      <c r="K107" s="92"/>
      <c r="L107" s="92"/>
      <c r="M107" s="92"/>
      <c r="N107" s="92"/>
      <c r="O107" s="92"/>
      <c r="P107" s="92"/>
    </row>
    <row r="108" spans="1:16" x14ac:dyDescent="0.2">
      <c r="A108" s="140" t="s">
        <v>19</v>
      </c>
      <c r="B108" s="140" t="s">
        <v>55</v>
      </c>
      <c r="C108" s="140" t="s">
        <v>56</v>
      </c>
      <c r="D108" s="149" t="s">
        <v>56</v>
      </c>
      <c r="E108" s="139" t="s">
        <v>57</v>
      </c>
      <c r="F108" s="142"/>
      <c r="G108" s="142"/>
      <c r="H108" s="142"/>
      <c r="I108" s="142"/>
      <c r="J108" s="142"/>
      <c r="K108" s="92"/>
      <c r="L108" s="92"/>
      <c r="M108" s="92"/>
      <c r="N108" s="92"/>
      <c r="O108" s="92"/>
      <c r="P108" s="92"/>
    </row>
    <row r="109" spans="1:16" x14ac:dyDescent="0.2">
      <c r="A109" s="140" t="s">
        <v>19</v>
      </c>
      <c r="B109" s="140" t="s">
        <v>55</v>
      </c>
      <c r="C109" s="140" t="s">
        <v>86</v>
      </c>
      <c r="D109" s="149" t="s">
        <v>445</v>
      </c>
      <c r="E109" s="139" t="s">
        <v>719</v>
      </c>
      <c r="F109" s="142"/>
      <c r="G109" s="142"/>
      <c r="H109" s="142"/>
      <c r="I109" s="142"/>
      <c r="J109" s="142"/>
      <c r="K109" s="92"/>
      <c r="L109" s="92"/>
      <c r="M109" s="92"/>
      <c r="N109" s="92"/>
      <c r="O109" s="92"/>
      <c r="P109" s="92"/>
    </row>
    <row r="110" spans="1:16" x14ac:dyDescent="0.2">
      <c r="A110" s="140" t="s">
        <v>19</v>
      </c>
      <c r="B110" s="140" t="s">
        <v>55</v>
      </c>
      <c r="C110" s="140" t="s">
        <v>86</v>
      </c>
      <c r="D110" s="149" t="s">
        <v>853</v>
      </c>
      <c r="E110" s="139" t="s">
        <v>720</v>
      </c>
      <c r="F110" s="143"/>
      <c r="G110" s="142"/>
      <c r="H110" s="142"/>
      <c r="I110" s="142"/>
      <c r="J110" s="142"/>
      <c r="K110" s="92"/>
      <c r="L110" s="92"/>
      <c r="M110" s="92"/>
      <c r="N110" s="92"/>
      <c r="O110" s="92"/>
      <c r="P110" s="92"/>
    </row>
    <row r="111" spans="1:16" x14ac:dyDescent="0.2">
      <c r="A111" s="140" t="s">
        <v>19</v>
      </c>
      <c r="B111" s="140" t="s">
        <v>55</v>
      </c>
      <c r="C111" s="140" t="s">
        <v>86</v>
      </c>
      <c r="D111" s="149" t="s">
        <v>854</v>
      </c>
      <c r="E111" s="139" t="s">
        <v>721</v>
      </c>
      <c r="F111" s="143"/>
      <c r="G111" s="142"/>
      <c r="H111" s="142"/>
      <c r="I111" s="142"/>
      <c r="J111" s="142"/>
      <c r="K111" s="92"/>
      <c r="L111" s="92"/>
      <c r="M111" s="92"/>
      <c r="N111" s="92"/>
      <c r="O111" s="92"/>
      <c r="P111" s="92"/>
    </row>
    <row r="112" spans="1:16" x14ac:dyDescent="0.2">
      <c r="A112" s="140" t="s">
        <v>19</v>
      </c>
      <c r="B112" s="140" t="s">
        <v>55</v>
      </c>
      <c r="C112" s="140" t="s">
        <v>86</v>
      </c>
      <c r="D112" s="149" t="s">
        <v>855</v>
      </c>
      <c r="E112" s="139" t="s">
        <v>722</v>
      </c>
      <c r="F112" s="143"/>
      <c r="G112" s="142"/>
      <c r="H112" s="142"/>
      <c r="I112" s="142"/>
      <c r="J112" s="142"/>
      <c r="K112" s="92"/>
      <c r="L112" s="92"/>
      <c r="M112" s="92"/>
      <c r="N112" s="92"/>
      <c r="O112" s="92"/>
      <c r="P112" s="92"/>
    </row>
    <row r="113" spans="1:16" ht="15.6" customHeight="1" x14ac:dyDescent="0.2">
      <c r="A113" s="140" t="s">
        <v>19</v>
      </c>
      <c r="B113" s="140" t="s">
        <v>55</v>
      </c>
      <c r="C113" s="140" t="s">
        <v>86</v>
      </c>
      <c r="D113" s="149" t="s">
        <v>87</v>
      </c>
      <c r="E113" s="139" t="s">
        <v>88</v>
      </c>
      <c r="F113" s="142"/>
      <c r="G113" s="142"/>
      <c r="H113" s="142"/>
      <c r="I113" s="142"/>
      <c r="J113" s="142"/>
      <c r="K113" s="92"/>
      <c r="L113" s="92"/>
      <c r="M113" s="92"/>
      <c r="N113" s="92"/>
      <c r="O113" s="92"/>
      <c r="P113" s="92"/>
    </row>
    <row r="114" spans="1:16" ht="15.6" customHeight="1" x14ac:dyDescent="0.2">
      <c r="A114" s="140" t="s">
        <v>19</v>
      </c>
      <c r="B114" s="140" t="s">
        <v>55</v>
      </c>
      <c r="C114" s="140" t="s">
        <v>86</v>
      </c>
      <c r="D114" s="149" t="s">
        <v>856</v>
      </c>
      <c r="E114" s="139" t="s">
        <v>723</v>
      </c>
      <c r="F114" s="143"/>
      <c r="G114" s="142"/>
      <c r="H114" s="142"/>
      <c r="I114" s="142"/>
      <c r="J114" s="142"/>
      <c r="K114" s="92"/>
      <c r="L114" s="92"/>
      <c r="M114" s="92"/>
      <c r="N114" s="92"/>
      <c r="O114" s="92"/>
      <c r="P114" s="92"/>
    </row>
    <row r="115" spans="1:16" x14ac:dyDescent="0.2">
      <c r="A115" s="140" t="s">
        <v>19</v>
      </c>
      <c r="B115" s="140" t="s">
        <v>55</v>
      </c>
      <c r="C115" s="140" t="s">
        <v>78</v>
      </c>
      <c r="D115" s="149" t="s">
        <v>326</v>
      </c>
      <c r="E115" s="139" t="s">
        <v>693</v>
      </c>
      <c r="F115" s="143"/>
      <c r="G115" s="142"/>
      <c r="H115" s="142"/>
      <c r="I115" s="142"/>
      <c r="J115" s="142"/>
      <c r="K115" s="92"/>
      <c r="L115" s="92"/>
      <c r="M115" s="92"/>
      <c r="N115" s="92"/>
      <c r="O115" s="92"/>
      <c r="P115" s="92"/>
    </row>
    <row r="116" spans="1:16" x14ac:dyDescent="0.2">
      <c r="A116" s="140" t="s">
        <v>19</v>
      </c>
      <c r="B116" s="140" t="s">
        <v>55</v>
      </c>
      <c r="C116" s="140" t="s">
        <v>78</v>
      </c>
      <c r="D116" s="149" t="s">
        <v>79</v>
      </c>
      <c r="E116" s="139" t="s">
        <v>80</v>
      </c>
      <c r="F116" s="143"/>
      <c r="G116" s="143"/>
      <c r="H116" s="142"/>
      <c r="I116" s="142"/>
      <c r="J116" s="142"/>
      <c r="K116" s="92"/>
      <c r="L116" s="92"/>
      <c r="M116" s="92"/>
      <c r="N116" s="92"/>
      <c r="O116" s="92"/>
      <c r="P116" s="92"/>
    </row>
    <row r="117" spans="1:16" x14ac:dyDescent="0.2">
      <c r="A117" s="140" t="s">
        <v>19</v>
      </c>
      <c r="B117" s="140" t="s">
        <v>55</v>
      </c>
      <c r="C117" s="140" t="s">
        <v>78</v>
      </c>
      <c r="D117" s="149" t="s">
        <v>857</v>
      </c>
      <c r="E117" s="139" t="s">
        <v>694</v>
      </c>
      <c r="F117" s="143"/>
      <c r="G117" s="142"/>
      <c r="H117" s="142"/>
      <c r="I117" s="142"/>
      <c r="J117" s="142"/>
      <c r="K117" s="92"/>
      <c r="L117" s="92"/>
      <c r="M117" s="92"/>
      <c r="N117" s="92"/>
      <c r="O117" s="92"/>
      <c r="P117" s="92"/>
    </row>
    <row r="118" spans="1:16" x14ac:dyDescent="0.2">
      <c r="A118" s="140" t="s">
        <v>19</v>
      </c>
      <c r="B118" s="140" t="s">
        <v>55</v>
      </c>
      <c r="C118" s="140" t="s">
        <v>78</v>
      </c>
      <c r="D118" s="149" t="s">
        <v>98</v>
      </c>
      <c r="E118" s="139" t="s">
        <v>99</v>
      </c>
      <c r="F118" s="142"/>
      <c r="G118" s="142"/>
      <c r="H118" s="142"/>
      <c r="I118" s="142"/>
      <c r="J118" s="142"/>
      <c r="K118" s="92"/>
      <c r="L118" s="92"/>
      <c r="M118" s="92"/>
      <c r="N118" s="92"/>
      <c r="O118" s="92"/>
      <c r="P118" s="92"/>
    </row>
    <row r="119" spans="1:16" x14ac:dyDescent="0.2">
      <c r="A119" s="140" t="s">
        <v>19</v>
      </c>
      <c r="B119" s="140" t="s">
        <v>55</v>
      </c>
      <c r="C119" s="140" t="s">
        <v>78</v>
      </c>
      <c r="D119" s="149" t="s">
        <v>333</v>
      </c>
      <c r="E119" s="139" t="s">
        <v>695</v>
      </c>
      <c r="F119" s="143"/>
      <c r="G119" s="142"/>
      <c r="H119" s="142"/>
      <c r="I119" s="142"/>
      <c r="J119" s="142"/>
      <c r="K119" s="92"/>
      <c r="L119" s="92"/>
      <c r="M119" s="92"/>
      <c r="N119" s="92"/>
      <c r="O119" s="92"/>
      <c r="P119" s="92"/>
    </row>
    <row r="120" spans="1:16" x14ac:dyDescent="0.2">
      <c r="A120" s="140" t="s">
        <v>19</v>
      </c>
      <c r="B120" s="140" t="s">
        <v>31</v>
      </c>
      <c r="C120" s="140" t="s">
        <v>32</v>
      </c>
      <c r="D120" s="149" t="s">
        <v>32</v>
      </c>
      <c r="E120" s="139" t="s">
        <v>33</v>
      </c>
      <c r="F120" s="143"/>
      <c r="G120" s="142"/>
      <c r="H120" s="142"/>
      <c r="I120" s="142"/>
      <c r="J120" s="142"/>
      <c r="K120" s="92"/>
      <c r="L120" s="92"/>
      <c r="M120" s="92"/>
      <c r="N120" s="92"/>
      <c r="O120" s="92"/>
      <c r="P120" s="92"/>
    </row>
    <row r="121" spans="1:16" x14ac:dyDescent="0.2">
      <c r="A121" s="140" t="s">
        <v>19</v>
      </c>
      <c r="B121" s="140" t="s">
        <v>31</v>
      </c>
      <c r="C121" s="140" t="s">
        <v>127</v>
      </c>
      <c r="D121" s="149" t="s">
        <v>858</v>
      </c>
      <c r="E121" s="139" t="s">
        <v>712</v>
      </c>
      <c r="F121" s="143"/>
      <c r="G121" s="142"/>
      <c r="H121" s="142"/>
      <c r="I121" s="142"/>
      <c r="J121" s="142"/>
      <c r="K121" s="92"/>
      <c r="L121" s="92"/>
      <c r="M121" s="92"/>
      <c r="N121" s="92"/>
      <c r="O121" s="92"/>
      <c r="P121" s="92"/>
    </row>
    <row r="122" spans="1:16" x14ac:dyDescent="0.2">
      <c r="A122" s="140" t="s">
        <v>19</v>
      </c>
      <c r="B122" s="140" t="s">
        <v>31</v>
      </c>
      <c r="C122" s="140" t="s">
        <v>127</v>
      </c>
      <c r="D122" s="149" t="s">
        <v>483</v>
      </c>
      <c r="E122" s="139" t="s">
        <v>713</v>
      </c>
      <c r="F122" s="143"/>
      <c r="G122" s="142"/>
      <c r="H122" s="142"/>
      <c r="I122" s="142"/>
      <c r="J122" s="142"/>
      <c r="K122" s="92"/>
      <c r="L122" s="92"/>
      <c r="M122" s="92"/>
      <c r="N122" s="92"/>
      <c r="O122" s="92"/>
      <c r="P122" s="92"/>
    </row>
    <row r="123" spans="1:16" x14ac:dyDescent="0.2">
      <c r="A123" s="140" t="s">
        <v>19</v>
      </c>
      <c r="B123" s="140" t="s">
        <v>31</v>
      </c>
      <c r="C123" s="140" t="s">
        <v>127</v>
      </c>
      <c r="D123" s="149" t="s">
        <v>485</v>
      </c>
      <c r="E123" s="139" t="s">
        <v>714</v>
      </c>
      <c r="F123" s="143"/>
      <c r="G123" s="142"/>
      <c r="H123" s="142"/>
      <c r="I123" s="142"/>
      <c r="J123" s="142"/>
      <c r="K123" s="92"/>
      <c r="L123" s="92"/>
      <c r="M123" s="92"/>
      <c r="N123" s="92"/>
      <c r="O123" s="92"/>
      <c r="P123" s="92"/>
    </row>
    <row r="124" spans="1:16" x14ac:dyDescent="0.2">
      <c r="A124" s="140" t="s">
        <v>19</v>
      </c>
      <c r="B124" s="140" t="s">
        <v>31</v>
      </c>
      <c r="C124" s="140" t="s">
        <v>127</v>
      </c>
      <c r="D124" s="149" t="s">
        <v>859</v>
      </c>
      <c r="E124" s="139" t="s">
        <v>715</v>
      </c>
      <c r="F124" s="143"/>
      <c r="G124" s="143"/>
      <c r="H124" s="142"/>
      <c r="I124" s="142"/>
      <c r="J124" s="142"/>
      <c r="K124" s="92"/>
      <c r="L124" s="92"/>
      <c r="M124" s="92"/>
      <c r="N124" s="92"/>
      <c r="O124" s="92"/>
      <c r="P124" s="92"/>
    </row>
    <row r="125" spans="1:16" x14ac:dyDescent="0.2">
      <c r="A125" s="140" t="s">
        <v>19</v>
      </c>
      <c r="B125" s="140" t="s">
        <v>31</v>
      </c>
      <c r="C125" s="140" t="s">
        <v>127</v>
      </c>
      <c r="D125" s="149" t="s">
        <v>860</v>
      </c>
      <c r="E125" s="139" t="s">
        <v>129</v>
      </c>
      <c r="F125" s="143"/>
      <c r="G125" s="142"/>
      <c r="H125" s="142"/>
      <c r="I125" s="142"/>
      <c r="J125" s="142"/>
      <c r="K125" s="92"/>
      <c r="L125" s="92"/>
      <c r="M125" s="92"/>
      <c r="N125" s="92"/>
      <c r="O125" s="92"/>
      <c r="P125" s="92"/>
    </row>
    <row r="126" spans="1:16" x14ac:dyDescent="0.2">
      <c r="A126" s="140" t="s">
        <v>19</v>
      </c>
      <c r="B126" s="140" t="s">
        <v>31</v>
      </c>
      <c r="C126" s="140" t="s">
        <v>111</v>
      </c>
      <c r="D126" s="149" t="s">
        <v>430</v>
      </c>
      <c r="E126" s="139" t="s">
        <v>730</v>
      </c>
      <c r="F126" s="143"/>
      <c r="G126" s="143"/>
      <c r="H126" s="142"/>
      <c r="I126" s="142"/>
      <c r="J126" s="142"/>
      <c r="K126" s="92"/>
      <c r="L126" s="92"/>
      <c r="M126" s="92"/>
      <c r="N126" s="92"/>
      <c r="O126" s="92"/>
      <c r="P126" s="92"/>
    </row>
    <row r="127" spans="1:16" x14ac:dyDescent="0.2">
      <c r="A127" s="140" t="s">
        <v>19</v>
      </c>
      <c r="B127" s="140" t="s">
        <v>31</v>
      </c>
      <c r="C127" s="140" t="s">
        <v>111</v>
      </c>
      <c r="D127" s="149" t="s">
        <v>861</v>
      </c>
      <c r="E127" s="139" t="s">
        <v>731</v>
      </c>
      <c r="F127" s="143"/>
      <c r="G127" s="143"/>
      <c r="H127" s="142"/>
      <c r="I127" s="142"/>
      <c r="J127" s="142"/>
      <c r="K127" s="92"/>
      <c r="L127" s="92"/>
      <c r="M127" s="92"/>
      <c r="N127" s="92"/>
      <c r="O127" s="92"/>
      <c r="P127" s="92"/>
    </row>
    <row r="128" spans="1:16" x14ac:dyDescent="0.2">
      <c r="A128" s="140" t="s">
        <v>19</v>
      </c>
      <c r="B128" s="140" t="s">
        <v>31</v>
      </c>
      <c r="C128" s="140" t="s">
        <v>111</v>
      </c>
      <c r="D128" s="149" t="s">
        <v>111</v>
      </c>
      <c r="E128" s="139" t="s">
        <v>112</v>
      </c>
      <c r="F128" s="143"/>
      <c r="G128" s="142"/>
      <c r="H128" s="142"/>
      <c r="I128" s="142"/>
      <c r="J128" s="142"/>
      <c r="K128" s="92"/>
      <c r="L128" s="92"/>
      <c r="M128" s="92"/>
      <c r="N128" s="92"/>
      <c r="O128" s="92"/>
      <c r="P128" s="92"/>
    </row>
    <row r="129" spans="1:16" x14ac:dyDescent="0.2">
      <c r="A129" s="140" t="s">
        <v>19</v>
      </c>
      <c r="B129" s="140" t="s">
        <v>31</v>
      </c>
      <c r="C129" s="140" t="s">
        <v>132</v>
      </c>
      <c r="D129" s="149" t="s">
        <v>862</v>
      </c>
      <c r="E129" s="139" t="s">
        <v>733</v>
      </c>
      <c r="F129" s="143"/>
      <c r="G129" s="143"/>
      <c r="H129" s="142"/>
      <c r="I129" s="142"/>
      <c r="J129" s="142"/>
      <c r="K129" s="92"/>
      <c r="L129" s="92"/>
      <c r="M129" s="92"/>
      <c r="N129" s="92"/>
      <c r="O129" s="92"/>
      <c r="P129" s="92"/>
    </row>
    <row r="130" spans="1:16" x14ac:dyDescent="0.2">
      <c r="A130" s="140" t="s">
        <v>19</v>
      </c>
      <c r="B130" s="140" t="s">
        <v>31</v>
      </c>
      <c r="C130" s="140" t="s">
        <v>132</v>
      </c>
      <c r="D130" s="149" t="s">
        <v>132</v>
      </c>
      <c r="E130" s="139" t="s">
        <v>133</v>
      </c>
      <c r="F130" s="143"/>
      <c r="G130" s="142"/>
      <c r="H130" s="142"/>
      <c r="I130" s="142"/>
      <c r="J130" s="142"/>
      <c r="K130" s="92"/>
      <c r="L130" s="92"/>
      <c r="M130" s="92"/>
      <c r="N130" s="92"/>
      <c r="O130" s="92"/>
      <c r="P130" s="92"/>
    </row>
    <row r="131" spans="1:16" x14ac:dyDescent="0.2">
      <c r="A131" s="140" t="s">
        <v>19</v>
      </c>
      <c r="B131" s="140" t="s">
        <v>31</v>
      </c>
      <c r="C131" s="140" t="s">
        <v>814</v>
      </c>
      <c r="D131" s="149" t="s">
        <v>863</v>
      </c>
      <c r="E131" s="139" t="s">
        <v>754</v>
      </c>
      <c r="F131" s="143"/>
      <c r="G131" s="142"/>
      <c r="H131" s="142"/>
      <c r="I131" s="142"/>
      <c r="J131" s="142"/>
      <c r="K131" s="92"/>
      <c r="L131" s="92"/>
      <c r="M131" s="92"/>
      <c r="N131" s="92"/>
      <c r="O131" s="92"/>
      <c r="P131" s="92"/>
    </row>
    <row r="132" spans="1:16" x14ac:dyDescent="0.2">
      <c r="A132" s="140" t="s">
        <v>19</v>
      </c>
      <c r="B132" s="140" t="s">
        <v>31</v>
      </c>
      <c r="C132" s="140" t="s">
        <v>814</v>
      </c>
      <c r="D132" s="149" t="s">
        <v>864</v>
      </c>
      <c r="E132" s="139" t="s">
        <v>755</v>
      </c>
      <c r="F132" s="142"/>
      <c r="G132" s="143"/>
      <c r="H132" s="142"/>
      <c r="I132" s="142"/>
      <c r="J132" s="142"/>
      <c r="K132" s="92"/>
      <c r="L132" s="92"/>
      <c r="M132" s="92"/>
      <c r="N132" s="92"/>
      <c r="O132" s="92"/>
      <c r="P132" s="92"/>
    </row>
    <row r="133" spans="1:16" x14ac:dyDescent="0.2">
      <c r="A133" s="140" t="s">
        <v>19</v>
      </c>
      <c r="B133" s="140" t="s">
        <v>31</v>
      </c>
      <c r="C133" s="140" t="s">
        <v>814</v>
      </c>
      <c r="D133" s="149" t="s">
        <v>865</v>
      </c>
      <c r="E133" s="139" t="s">
        <v>756</v>
      </c>
      <c r="F133" s="142"/>
      <c r="G133" s="143"/>
      <c r="H133" s="142"/>
      <c r="I133" s="142"/>
      <c r="J133" s="142"/>
      <c r="K133" s="92"/>
      <c r="L133" s="92"/>
      <c r="M133" s="92"/>
      <c r="N133" s="92"/>
      <c r="O133" s="92"/>
      <c r="P133" s="92"/>
    </row>
    <row r="134" spans="1:16" x14ac:dyDescent="0.2">
      <c r="A134" s="140" t="s">
        <v>19</v>
      </c>
      <c r="B134" s="140" t="s">
        <v>31</v>
      </c>
      <c r="C134" s="140" t="s">
        <v>814</v>
      </c>
      <c r="D134" s="149" t="s">
        <v>866</v>
      </c>
      <c r="E134" s="139" t="s">
        <v>757</v>
      </c>
      <c r="F134" s="142"/>
      <c r="G134" s="142"/>
      <c r="H134" s="142"/>
      <c r="I134" s="142"/>
      <c r="J134" s="142"/>
      <c r="K134" s="92"/>
      <c r="L134" s="92"/>
      <c r="M134" s="92"/>
      <c r="N134" s="92"/>
      <c r="O134" s="92"/>
      <c r="P134" s="92"/>
    </row>
    <row r="135" spans="1:16" x14ac:dyDescent="0.2">
      <c r="A135" s="140" t="s">
        <v>19</v>
      </c>
      <c r="B135" s="140" t="s">
        <v>31</v>
      </c>
      <c r="C135" s="140" t="s">
        <v>814</v>
      </c>
      <c r="D135" s="149" t="s">
        <v>123</v>
      </c>
      <c r="E135" s="139" t="s">
        <v>124</v>
      </c>
      <c r="F135" s="141"/>
      <c r="G135" s="145"/>
      <c r="H135" s="145"/>
      <c r="I135" s="145"/>
      <c r="J135" s="145"/>
      <c r="K135" s="92"/>
      <c r="L135" s="92"/>
      <c r="M135" s="92"/>
      <c r="N135" s="92"/>
      <c r="O135" s="92"/>
      <c r="P135" s="92"/>
    </row>
    <row r="136" spans="1:16" x14ac:dyDescent="0.2">
      <c r="A136" s="140" t="s">
        <v>19</v>
      </c>
      <c r="B136" s="140" t="s">
        <v>31</v>
      </c>
      <c r="C136" s="140" t="s">
        <v>814</v>
      </c>
      <c r="D136" s="149" t="s">
        <v>867</v>
      </c>
      <c r="E136" s="139" t="s">
        <v>758</v>
      </c>
      <c r="F136" s="141"/>
      <c r="G136" s="145"/>
      <c r="H136" s="145"/>
      <c r="I136" s="145"/>
      <c r="J136" s="145"/>
      <c r="K136" s="92"/>
      <c r="L136" s="92"/>
      <c r="M136" s="92"/>
      <c r="N136" s="92"/>
      <c r="O136" s="92"/>
      <c r="P136" s="92"/>
    </row>
    <row r="137" spans="1:16" x14ac:dyDescent="0.2">
      <c r="A137" s="140" t="s">
        <v>19</v>
      </c>
      <c r="B137" s="140" t="s">
        <v>58</v>
      </c>
      <c r="C137" s="140" t="s">
        <v>66</v>
      </c>
      <c r="D137" s="149" t="s">
        <v>585</v>
      </c>
      <c r="E137" s="139" t="s">
        <v>660</v>
      </c>
      <c r="F137" s="141"/>
      <c r="G137" s="145"/>
      <c r="H137" s="145"/>
      <c r="I137" s="145"/>
      <c r="J137" s="145"/>
      <c r="K137" s="92"/>
      <c r="L137" s="92"/>
      <c r="M137" s="92"/>
      <c r="N137" s="92"/>
      <c r="O137" s="92"/>
      <c r="P137" s="92"/>
    </row>
    <row r="138" spans="1:16" x14ac:dyDescent="0.2">
      <c r="A138" s="140" t="s">
        <v>19</v>
      </c>
      <c r="B138" s="140" t="s">
        <v>58</v>
      </c>
      <c r="C138" s="140" t="s">
        <v>66</v>
      </c>
      <c r="D138" s="149" t="s">
        <v>868</v>
      </c>
      <c r="E138" s="139" t="s">
        <v>661</v>
      </c>
      <c r="F138" s="141"/>
      <c r="G138" s="145"/>
      <c r="H138" s="145"/>
      <c r="I138" s="145"/>
      <c r="J138" s="145"/>
      <c r="K138" s="92"/>
      <c r="L138" s="92"/>
      <c r="M138" s="92"/>
      <c r="N138" s="92"/>
      <c r="O138" s="92"/>
      <c r="P138" s="92"/>
    </row>
    <row r="139" spans="1:16" x14ac:dyDescent="0.2">
      <c r="A139" s="140" t="s">
        <v>19</v>
      </c>
      <c r="B139" s="140" t="s">
        <v>58</v>
      </c>
      <c r="C139" s="140" t="s">
        <v>66</v>
      </c>
      <c r="D139" s="149" t="s">
        <v>590</v>
      </c>
      <c r="E139" s="139" t="s">
        <v>662</v>
      </c>
      <c r="F139" s="141"/>
      <c r="G139" s="145"/>
      <c r="H139" s="145"/>
      <c r="I139" s="145"/>
      <c r="J139" s="145"/>
      <c r="K139" s="92"/>
      <c r="L139" s="92"/>
      <c r="M139" s="92"/>
      <c r="N139" s="92"/>
      <c r="O139" s="92"/>
      <c r="P139" s="92"/>
    </row>
    <row r="140" spans="1:16" x14ac:dyDescent="0.2">
      <c r="A140" s="140" t="s">
        <v>19</v>
      </c>
      <c r="B140" s="140" t="s">
        <v>58</v>
      </c>
      <c r="C140" s="140" t="s">
        <v>66</v>
      </c>
      <c r="D140" s="149" t="s">
        <v>598</v>
      </c>
      <c r="E140" s="139" t="s">
        <v>666</v>
      </c>
      <c r="F140" s="141"/>
      <c r="G140" s="141"/>
      <c r="H140" s="141"/>
      <c r="I140" s="141"/>
      <c r="J140" s="141"/>
      <c r="K140" s="92"/>
      <c r="L140" s="92"/>
      <c r="M140" s="92"/>
      <c r="N140" s="92"/>
      <c r="O140" s="92"/>
      <c r="P140" s="92"/>
    </row>
    <row r="141" spans="1:16" x14ac:dyDescent="0.2">
      <c r="A141" s="140" t="s">
        <v>19</v>
      </c>
      <c r="B141" s="140" t="s">
        <v>58</v>
      </c>
      <c r="C141" s="140" t="s">
        <v>66</v>
      </c>
      <c r="D141" s="149" t="s">
        <v>222</v>
      </c>
      <c r="E141" s="139" t="s">
        <v>223</v>
      </c>
      <c r="F141" s="141"/>
      <c r="G141" s="141"/>
      <c r="H141" s="141"/>
      <c r="I141" s="141"/>
      <c r="J141" s="141"/>
      <c r="K141" s="92"/>
      <c r="L141" s="92"/>
      <c r="M141" s="92"/>
      <c r="N141" s="92"/>
      <c r="O141" s="92"/>
      <c r="P141" s="92"/>
    </row>
    <row r="142" spans="1:16" x14ac:dyDescent="0.2">
      <c r="A142" s="140" t="s">
        <v>19</v>
      </c>
      <c r="B142" s="140" t="s">
        <v>58</v>
      </c>
      <c r="C142" s="140" t="s">
        <v>66</v>
      </c>
      <c r="D142" s="149" t="s">
        <v>186</v>
      </c>
      <c r="E142" s="139" t="s">
        <v>663</v>
      </c>
      <c r="F142" s="141"/>
      <c r="G142" s="145"/>
      <c r="H142" s="145"/>
      <c r="I142" s="145"/>
      <c r="J142" s="145"/>
      <c r="K142" s="92"/>
      <c r="L142" s="92"/>
      <c r="M142" s="92"/>
      <c r="N142" s="92"/>
      <c r="O142" s="92"/>
      <c r="P142" s="92"/>
    </row>
    <row r="143" spans="1:16" x14ac:dyDescent="0.2">
      <c r="A143" s="140" t="s">
        <v>19</v>
      </c>
      <c r="B143" s="140" t="s">
        <v>58</v>
      </c>
      <c r="C143" s="140" t="s">
        <v>66</v>
      </c>
      <c r="D143" s="149" t="s">
        <v>224</v>
      </c>
      <c r="E143" s="139" t="s">
        <v>225</v>
      </c>
      <c r="F143" s="141"/>
      <c r="G143" s="145"/>
      <c r="H143" s="145"/>
      <c r="I143" s="145"/>
      <c r="J143" s="145"/>
      <c r="K143" s="92"/>
      <c r="L143" s="92"/>
      <c r="M143" s="92"/>
      <c r="N143" s="92"/>
      <c r="O143" s="92"/>
      <c r="P143" s="92"/>
    </row>
    <row r="144" spans="1:16" x14ac:dyDescent="0.2">
      <c r="A144" s="140" t="s">
        <v>19</v>
      </c>
      <c r="B144" s="140" t="s">
        <v>58</v>
      </c>
      <c r="C144" s="140" t="s">
        <v>66</v>
      </c>
      <c r="D144" s="149" t="s">
        <v>869</v>
      </c>
      <c r="E144" s="139" t="s">
        <v>664</v>
      </c>
      <c r="F144" s="141"/>
      <c r="G144" s="145"/>
      <c r="H144" s="145"/>
      <c r="I144" s="145"/>
      <c r="J144" s="145"/>
      <c r="K144" s="92"/>
      <c r="L144" s="92"/>
      <c r="M144" s="92"/>
      <c r="N144" s="92"/>
      <c r="O144" s="92"/>
      <c r="P144" s="92"/>
    </row>
    <row r="145" spans="1:16" x14ac:dyDescent="0.2">
      <c r="A145" s="140" t="s">
        <v>19</v>
      </c>
      <c r="B145" s="140" t="s">
        <v>58</v>
      </c>
      <c r="C145" s="140" t="s">
        <v>66</v>
      </c>
      <c r="D145" s="149" t="s">
        <v>166</v>
      </c>
      <c r="E145" s="139" t="s">
        <v>167</v>
      </c>
      <c r="F145" s="141"/>
      <c r="G145" s="145"/>
      <c r="H145" s="145"/>
      <c r="I145" s="145"/>
      <c r="J145" s="145"/>
      <c r="K145" s="92"/>
      <c r="L145" s="92"/>
      <c r="M145" s="92"/>
      <c r="N145" s="92"/>
      <c r="O145" s="92"/>
      <c r="P145" s="92"/>
    </row>
    <row r="146" spans="1:16" x14ac:dyDescent="0.2">
      <c r="A146" s="140" t="s">
        <v>19</v>
      </c>
      <c r="B146" s="140" t="s">
        <v>58</v>
      </c>
      <c r="C146" s="140" t="s">
        <v>66</v>
      </c>
      <c r="D146" s="149" t="s">
        <v>870</v>
      </c>
      <c r="E146" s="139" t="s">
        <v>665</v>
      </c>
      <c r="F146" s="141"/>
      <c r="G146" s="145"/>
      <c r="H146" s="145"/>
      <c r="I146" s="145"/>
      <c r="J146" s="145"/>
      <c r="K146" s="92"/>
      <c r="L146" s="92"/>
      <c r="M146" s="92"/>
      <c r="N146" s="92"/>
      <c r="O146" s="92"/>
      <c r="P146" s="92"/>
    </row>
    <row r="147" spans="1:16" x14ac:dyDescent="0.2">
      <c r="A147" s="140" t="s">
        <v>19</v>
      </c>
      <c r="B147" s="140" t="s">
        <v>58</v>
      </c>
      <c r="C147" s="140" t="s">
        <v>66</v>
      </c>
      <c r="D147" s="149" t="s">
        <v>871</v>
      </c>
      <c r="E147" s="139" t="s">
        <v>667</v>
      </c>
      <c r="F147" s="141"/>
      <c r="G147" s="145"/>
      <c r="H147" s="145"/>
      <c r="I147" s="145"/>
      <c r="J147" s="145"/>
      <c r="K147" s="92"/>
      <c r="L147" s="92"/>
      <c r="M147" s="92"/>
      <c r="N147" s="92"/>
      <c r="O147" s="92"/>
      <c r="P147" s="92"/>
    </row>
    <row r="148" spans="1:16" x14ac:dyDescent="0.2">
      <c r="A148" s="140" t="s">
        <v>19</v>
      </c>
      <c r="B148" s="140" t="s">
        <v>58</v>
      </c>
      <c r="C148" s="140" t="s">
        <v>66</v>
      </c>
      <c r="D148" s="149" t="s">
        <v>67</v>
      </c>
      <c r="E148" s="139" t="s">
        <v>68</v>
      </c>
      <c r="F148" s="141"/>
      <c r="G148" s="145"/>
      <c r="H148" s="145"/>
      <c r="I148" s="145"/>
      <c r="J148" s="145"/>
      <c r="K148" s="92"/>
      <c r="L148" s="92"/>
      <c r="M148" s="92"/>
      <c r="N148" s="92"/>
      <c r="O148" s="92"/>
      <c r="P148" s="92"/>
    </row>
    <row r="149" spans="1:16" x14ac:dyDescent="0.2">
      <c r="A149" s="140" t="s">
        <v>19</v>
      </c>
      <c r="B149" s="140" t="s">
        <v>58</v>
      </c>
      <c r="C149" s="140" t="s">
        <v>66</v>
      </c>
      <c r="D149" s="149" t="s">
        <v>872</v>
      </c>
      <c r="E149" s="139" t="s">
        <v>668</v>
      </c>
      <c r="F149" s="141"/>
      <c r="G149" s="145"/>
      <c r="H149" s="145"/>
      <c r="I149" s="145"/>
      <c r="J149" s="145"/>
      <c r="K149" s="92"/>
      <c r="L149" s="92"/>
      <c r="M149" s="92"/>
      <c r="N149" s="92"/>
      <c r="O149" s="92"/>
      <c r="P149" s="92"/>
    </row>
    <row r="150" spans="1:16" x14ac:dyDescent="0.2">
      <c r="A150" s="140" t="s">
        <v>19</v>
      </c>
      <c r="B150" s="140" t="s">
        <v>58</v>
      </c>
      <c r="C150" s="140" t="s">
        <v>66</v>
      </c>
      <c r="D150" s="149" t="s">
        <v>873</v>
      </c>
      <c r="E150" s="139" t="s">
        <v>669</v>
      </c>
      <c r="F150" s="141"/>
      <c r="G150" s="145"/>
      <c r="H150" s="145"/>
      <c r="I150" s="145"/>
      <c r="J150" s="145"/>
      <c r="K150" s="92"/>
      <c r="L150" s="92"/>
      <c r="M150" s="92"/>
      <c r="N150" s="92"/>
      <c r="O150" s="92"/>
      <c r="P150" s="92"/>
    </row>
    <row r="151" spans="1:16" x14ac:dyDescent="0.2">
      <c r="A151" s="140" t="s">
        <v>19</v>
      </c>
      <c r="B151" s="140" t="s">
        <v>58</v>
      </c>
      <c r="C151" s="140" t="s">
        <v>66</v>
      </c>
      <c r="D151" s="149" t="s">
        <v>226</v>
      </c>
      <c r="E151" s="139" t="s">
        <v>227</v>
      </c>
      <c r="F151" s="141"/>
      <c r="G151" s="145"/>
      <c r="H151" s="145"/>
      <c r="I151" s="145"/>
      <c r="J151" s="145"/>
      <c r="K151" s="92"/>
      <c r="L151" s="92"/>
      <c r="M151" s="92"/>
      <c r="N151" s="92"/>
      <c r="O151" s="92"/>
      <c r="P151" s="92"/>
    </row>
    <row r="152" spans="1:16" x14ac:dyDescent="0.2">
      <c r="A152" s="140" t="s">
        <v>19</v>
      </c>
      <c r="B152" s="140" t="s">
        <v>58</v>
      </c>
      <c r="C152" s="140" t="s">
        <v>66</v>
      </c>
      <c r="D152" s="149" t="s">
        <v>874</v>
      </c>
      <c r="E152" s="139" t="s">
        <v>670</v>
      </c>
      <c r="F152" s="141"/>
      <c r="G152" s="145"/>
      <c r="H152" s="145"/>
      <c r="I152" s="145"/>
      <c r="J152" s="145"/>
      <c r="K152" s="92"/>
      <c r="L152" s="92"/>
      <c r="M152" s="92"/>
      <c r="N152" s="92"/>
      <c r="O152" s="92"/>
      <c r="P152" s="92"/>
    </row>
    <row r="153" spans="1:16" x14ac:dyDescent="0.2">
      <c r="A153" s="140" t="s">
        <v>19</v>
      </c>
      <c r="B153" s="140" t="s">
        <v>58</v>
      </c>
      <c r="C153" s="140" t="s">
        <v>66</v>
      </c>
      <c r="D153" s="149" t="s">
        <v>607</v>
      </c>
      <c r="E153" s="139" t="s">
        <v>81</v>
      </c>
      <c r="F153" s="141"/>
      <c r="G153" s="145"/>
      <c r="H153" s="145"/>
      <c r="I153" s="145"/>
      <c r="J153" s="145"/>
      <c r="K153" s="92"/>
      <c r="L153" s="92"/>
      <c r="M153" s="92"/>
      <c r="N153" s="92"/>
      <c r="O153" s="92"/>
      <c r="P153" s="92"/>
    </row>
    <row r="154" spans="1:16" x14ac:dyDescent="0.2">
      <c r="A154" s="140" t="s">
        <v>19</v>
      </c>
      <c r="B154" s="140" t="s">
        <v>58</v>
      </c>
      <c r="C154" s="140" t="s">
        <v>66</v>
      </c>
      <c r="D154" s="149" t="s">
        <v>609</v>
      </c>
      <c r="E154" s="139" t="s">
        <v>671</v>
      </c>
      <c r="F154" s="141"/>
      <c r="G154" s="145"/>
      <c r="H154" s="145"/>
      <c r="I154" s="145"/>
      <c r="J154" s="145"/>
      <c r="K154" s="92"/>
      <c r="L154" s="92"/>
      <c r="M154" s="92"/>
      <c r="N154" s="92"/>
      <c r="O154" s="92"/>
      <c r="P154" s="92"/>
    </row>
    <row r="155" spans="1:16" x14ac:dyDescent="0.2">
      <c r="A155" s="140" t="s">
        <v>19</v>
      </c>
      <c r="B155" s="140" t="s">
        <v>58</v>
      </c>
      <c r="C155" s="140" t="s">
        <v>66</v>
      </c>
      <c r="D155" s="149" t="s">
        <v>875</v>
      </c>
      <c r="E155" s="139" t="s">
        <v>173</v>
      </c>
      <c r="F155" s="141"/>
      <c r="G155" s="145"/>
      <c r="H155" s="145"/>
      <c r="I155" s="145"/>
      <c r="J155" s="145"/>
      <c r="K155" s="92"/>
      <c r="L155" s="92"/>
      <c r="M155" s="92"/>
      <c r="N155" s="92"/>
      <c r="O155" s="92"/>
      <c r="P155" s="92"/>
    </row>
    <row r="156" spans="1:16" x14ac:dyDescent="0.2">
      <c r="A156" s="140" t="s">
        <v>19</v>
      </c>
      <c r="B156" s="140" t="s">
        <v>58</v>
      </c>
      <c r="C156" s="140" t="s">
        <v>66</v>
      </c>
      <c r="D156" s="149" t="s">
        <v>876</v>
      </c>
      <c r="E156" s="139" t="s">
        <v>672</v>
      </c>
      <c r="F156" s="141"/>
      <c r="G156" s="141"/>
      <c r="H156" s="141"/>
      <c r="I156" s="141"/>
      <c r="J156" s="141"/>
      <c r="K156" s="92"/>
      <c r="L156" s="92"/>
      <c r="M156" s="92"/>
      <c r="N156" s="92"/>
      <c r="O156" s="92"/>
      <c r="P156" s="92"/>
    </row>
    <row r="157" spans="1:16" x14ac:dyDescent="0.2">
      <c r="A157" s="140" t="s">
        <v>19</v>
      </c>
      <c r="B157" s="140" t="s">
        <v>58</v>
      </c>
      <c r="C157" s="140" t="s">
        <v>66</v>
      </c>
      <c r="D157" s="149" t="s">
        <v>136</v>
      </c>
      <c r="E157" s="139" t="s">
        <v>137</v>
      </c>
      <c r="F157" s="141"/>
      <c r="G157" s="145"/>
      <c r="H157" s="145"/>
      <c r="I157" s="145"/>
      <c r="J157" s="145"/>
      <c r="K157" s="92"/>
      <c r="L157" s="92"/>
      <c r="M157" s="92"/>
      <c r="N157" s="92"/>
      <c r="O157" s="92"/>
      <c r="P157" s="92"/>
    </row>
    <row r="158" spans="1:16" x14ac:dyDescent="0.2">
      <c r="A158" s="140" t="s">
        <v>19</v>
      </c>
      <c r="B158" s="140" t="s">
        <v>58</v>
      </c>
      <c r="C158" s="140" t="s">
        <v>66</v>
      </c>
      <c r="D158" s="149" t="s">
        <v>615</v>
      </c>
      <c r="E158" s="139" t="s">
        <v>675</v>
      </c>
      <c r="F158" s="141"/>
      <c r="G158" s="145"/>
      <c r="H158" s="145"/>
      <c r="I158" s="145"/>
      <c r="J158" s="145"/>
      <c r="K158" s="92"/>
      <c r="L158" s="92"/>
      <c r="M158" s="92"/>
      <c r="N158" s="92"/>
      <c r="O158" s="92"/>
      <c r="P158" s="92"/>
    </row>
    <row r="159" spans="1:16" x14ac:dyDescent="0.2">
      <c r="A159" s="140" t="s">
        <v>19</v>
      </c>
      <c r="B159" s="140" t="s">
        <v>58</v>
      </c>
      <c r="C159" s="140" t="s">
        <v>66</v>
      </c>
      <c r="D159" s="149" t="s">
        <v>877</v>
      </c>
      <c r="E159" s="139" t="s">
        <v>181</v>
      </c>
      <c r="F159" s="141"/>
      <c r="G159" s="145"/>
      <c r="H159" s="145"/>
      <c r="I159" s="145"/>
      <c r="J159" s="145"/>
      <c r="K159" s="92"/>
      <c r="L159" s="92"/>
      <c r="M159" s="92"/>
      <c r="N159" s="92"/>
      <c r="O159" s="92"/>
      <c r="P159" s="92"/>
    </row>
    <row r="160" spans="1:16" x14ac:dyDescent="0.2">
      <c r="A160" s="140" t="s">
        <v>19</v>
      </c>
      <c r="B160" s="140" t="s">
        <v>58</v>
      </c>
      <c r="C160" s="140" t="s">
        <v>66</v>
      </c>
      <c r="D160" s="149" t="s">
        <v>612</v>
      </c>
      <c r="E160" s="139" t="s">
        <v>673</v>
      </c>
      <c r="F160" s="141"/>
      <c r="G160" s="145"/>
      <c r="H160" s="145"/>
      <c r="I160" s="145"/>
      <c r="J160" s="145"/>
      <c r="K160" s="92"/>
      <c r="L160" s="92"/>
      <c r="M160" s="92"/>
      <c r="N160" s="92"/>
      <c r="O160" s="92"/>
      <c r="P160" s="92"/>
    </row>
    <row r="161" spans="1:16" x14ac:dyDescent="0.2">
      <c r="A161" s="140" t="s">
        <v>19</v>
      </c>
      <c r="B161" s="140" t="s">
        <v>58</v>
      </c>
      <c r="C161" s="140" t="s">
        <v>59</v>
      </c>
      <c r="D161" s="149" t="s">
        <v>60</v>
      </c>
      <c r="E161" s="139" t="s">
        <v>61</v>
      </c>
      <c r="F161" s="141"/>
      <c r="G161" s="141"/>
      <c r="H161" s="141"/>
      <c r="I161" s="141"/>
      <c r="J161" s="141"/>
      <c r="K161" s="92"/>
      <c r="L161" s="92"/>
      <c r="M161" s="92"/>
      <c r="N161" s="92"/>
      <c r="O161" s="92"/>
      <c r="P161" s="92"/>
    </row>
    <row r="162" spans="1:16" x14ac:dyDescent="0.2">
      <c r="A162" s="140" t="s">
        <v>19</v>
      </c>
      <c r="B162" s="140" t="s">
        <v>58</v>
      </c>
      <c r="C162" s="140" t="s">
        <v>59</v>
      </c>
      <c r="D162" s="149" t="s">
        <v>826</v>
      </c>
      <c r="E162" s="139" t="s">
        <v>716</v>
      </c>
      <c r="F162" s="141"/>
      <c r="G162" s="145"/>
      <c r="H162" s="145"/>
      <c r="I162" s="145"/>
      <c r="J162" s="145"/>
      <c r="K162" s="92"/>
      <c r="L162" s="92"/>
      <c r="M162" s="92"/>
      <c r="N162" s="92"/>
      <c r="O162" s="92"/>
      <c r="P162" s="92"/>
    </row>
    <row r="163" spans="1:16" x14ac:dyDescent="0.2">
      <c r="A163" s="140" t="s">
        <v>19</v>
      </c>
      <c r="B163" s="140" t="s">
        <v>58</v>
      </c>
      <c r="C163" s="140" t="s">
        <v>59</v>
      </c>
      <c r="D163" s="149" t="s">
        <v>59</v>
      </c>
      <c r="E163" s="139" t="s">
        <v>717</v>
      </c>
      <c r="F163" s="141"/>
      <c r="G163" s="145"/>
      <c r="H163" s="145"/>
      <c r="I163" s="145"/>
      <c r="J163" s="145"/>
      <c r="K163" s="92"/>
      <c r="L163" s="92"/>
      <c r="M163" s="92"/>
      <c r="N163" s="92"/>
      <c r="O163" s="92"/>
      <c r="P163" s="92"/>
    </row>
    <row r="164" spans="1:16" x14ac:dyDescent="0.2">
      <c r="A164" s="140" t="s">
        <v>19</v>
      </c>
      <c r="B164" s="140" t="s">
        <v>58</v>
      </c>
      <c r="C164" s="140" t="s">
        <v>59</v>
      </c>
      <c r="D164" s="149" t="s">
        <v>228</v>
      </c>
      <c r="E164" s="139" t="s">
        <v>131</v>
      </c>
      <c r="F164" s="141"/>
      <c r="G164" s="145"/>
      <c r="H164" s="145"/>
      <c r="I164" s="145"/>
      <c r="J164" s="145"/>
      <c r="K164" s="92"/>
      <c r="L164" s="92"/>
      <c r="M164" s="92"/>
      <c r="N164" s="92"/>
      <c r="O164" s="92"/>
      <c r="P164" s="92"/>
    </row>
    <row r="165" spans="1:16" x14ac:dyDescent="0.2">
      <c r="A165" s="140" t="s">
        <v>19</v>
      </c>
      <c r="B165" s="140" t="s">
        <v>23</v>
      </c>
      <c r="C165" s="140" t="s">
        <v>24</v>
      </c>
      <c r="D165" s="149" t="s">
        <v>25</v>
      </c>
      <c r="E165" s="139" t="s">
        <v>26</v>
      </c>
      <c r="F165" s="141"/>
      <c r="G165" s="145"/>
      <c r="H165" s="145"/>
      <c r="I165" s="145"/>
      <c r="J165" s="145"/>
      <c r="K165" s="92"/>
      <c r="L165" s="92"/>
      <c r="M165" s="92"/>
      <c r="N165" s="92"/>
      <c r="O165" s="92"/>
      <c r="P165" s="92"/>
    </row>
    <row r="166" spans="1:16" x14ac:dyDescent="0.2">
      <c r="A166" s="140" t="s">
        <v>19</v>
      </c>
      <c r="B166" s="140" t="s">
        <v>23</v>
      </c>
      <c r="C166" s="140" t="s">
        <v>24</v>
      </c>
      <c r="D166" s="149" t="s">
        <v>47</v>
      </c>
      <c r="E166" s="139" t="s">
        <v>48</v>
      </c>
      <c r="F166" s="141"/>
      <c r="G166" s="145"/>
      <c r="H166" s="145"/>
      <c r="I166" s="145"/>
      <c r="J166" s="145"/>
      <c r="K166" s="92"/>
      <c r="L166" s="92"/>
      <c r="M166" s="92"/>
      <c r="N166" s="92"/>
      <c r="O166" s="92"/>
      <c r="P166" s="92"/>
    </row>
    <row r="167" spans="1:16" x14ac:dyDescent="0.2">
      <c r="A167" s="140" t="s">
        <v>19</v>
      </c>
      <c r="B167" s="140" t="s">
        <v>23</v>
      </c>
      <c r="C167" s="140" t="s">
        <v>24</v>
      </c>
      <c r="D167" s="149" t="s">
        <v>51</v>
      </c>
      <c r="E167" s="139" t="s">
        <v>52</v>
      </c>
      <c r="F167" s="141"/>
      <c r="G167" s="145"/>
      <c r="H167" s="145"/>
      <c r="I167" s="145"/>
      <c r="J167" s="145"/>
      <c r="K167" s="92"/>
      <c r="L167" s="92"/>
      <c r="M167" s="92"/>
      <c r="N167" s="92"/>
      <c r="O167" s="92"/>
      <c r="P167" s="92"/>
    </row>
    <row r="168" spans="1:16" x14ac:dyDescent="0.2">
      <c r="A168" s="140" t="s">
        <v>19</v>
      </c>
      <c r="B168" s="140" t="s">
        <v>23</v>
      </c>
      <c r="C168" s="140" t="s">
        <v>24</v>
      </c>
      <c r="D168" s="149" t="s">
        <v>168</v>
      </c>
      <c r="E168" s="139" t="s">
        <v>169</v>
      </c>
      <c r="F168" s="141"/>
      <c r="G168" s="145"/>
      <c r="H168" s="145"/>
      <c r="I168" s="145"/>
      <c r="J168" s="145"/>
      <c r="K168" s="92"/>
      <c r="L168" s="92"/>
      <c r="M168" s="92"/>
      <c r="N168" s="92"/>
      <c r="O168" s="92"/>
      <c r="P168" s="92"/>
    </row>
    <row r="169" spans="1:16" x14ac:dyDescent="0.2">
      <c r="A169" s="140" t="s">
        <v>19</v>
      </c>
      <c r="B169" s="140" t="s">
        <v>23</v>
      </c>
      <c r="C169" s="140" t="s">
        <v>24</v>
      </c>
      <c r="D169" s="149" t="s">
        <v>170</v>
      </c>
      <c r="E169" s="139" t="s">
        <v>171</v>
      </c>
      <c r="F169" s="141"/>
      <c r="G169" s="145"/>
      <c r="H169" s="145"/>
      <c r="I169" s="145"/>
      <c r="J169" s="145"/>
      <c r="K169" s="92"/>
      <c r="L169" s="92"/>
      <c r="M169" s="92"/>
      <c r="N169" s="92"/>
      <c r="O169" s="92"/>
      <c r="P169" s="92"/>
    </row>
    <row r="170" spans="1:16" x14ac:dyDescent="0.2">
      <c r="A170" s="140" t="s">
        <v>19</v>
      </c>
      <c r="B170" s="140" t="s">
        <v>23</v>
      </c>
      <c r="C170" s="140" t="s">
        <v>24</v>
      </c>
      <c r="D170" s="149" t="s">
        <v>413</v>
      </c>
      <c r="E170" s="139" t="s">
        <v>732</v>
      </c>
      <c r="F170" s="141"/>
      <c r="G170" s="145"/>
      <c r="H170" s="145"/>
      <c r="I170" s="145"/>
      <c r="J170" s="145"/>
      <c r="K170" s="92"/>
      <c r="L170" s="92"/>
      <c r="M170" s="92"/>
      <c r="N170" s="92"/>
      <c r="O170" s="92"/>
      <c r="P170" s="92"/>
    </row>
    <row r="171" spans="1:16" x14ac:dyDescent="0.2">
      <c r="A171" s="140" t="s">
        <v>19</v>
      </c>
      <c r="B171" s="140" t="s">
        <v>23</v>
      </c>
      <c r="C171" s="140" t="s">
        <v>24</v>
      </c>
      <c r="D171" s="149" t="s">
        <v>82</v>
      </c>
      <c r="E171" s="139" t="s">
        <v>83</v>
      </c>
      <c r="F171" s="141"/>
      <c r="G171" s="145"/>
      <c r="H171" s="145"/>
      <c r="I171" s="145"/>
      <c r="J171" s="145"/>
      <c r="K171" s="92"/>
      <c r="L171" s="92"/>
      <c r="M171" s="92"/>
      <c r="N171" s="92"/>
      <c r="O171" s="92"/>
      <c r="P171" s="92"/>
    </row>
    <row r="172" spans="1:16" x14ac:dyDescent="0.2">
      <c r="A172" s="140" t="s">
        <v>19</v>
      </c>
      <c r="B172" s="140" t="s">
        <v>23</v>
      </c>
      <c r="C172" s="140" t="s">
        <v>24</v>
      </c>
      <c r="D172" s="149" t="s">
        <v>84</v>
      </c>
      <c r="E172" s="139" t="s">
        <v>85</v>
      </c>
      <c r="F172" s="141"/>
      <c r="G172" s="145"/>
      <c r="H172" s="145"/>
      <c r="I172" s="145"/>
      <c r="J172" s="145"/>
      <c r="K172" s="92"/>
      <c r="L172" s="92"/>
      <c r="M172" s="92"/>
      <c r="N172" s="92"/>
      <c r="O172" s="92"/>
      <c r="P172" s="92"/>
    </row>
    <row r="173" spans="1:16" x14ac:dyDescent="0.2">
      <c r="A173" s="140" t="s">
        <v>19</v>
      </c>
      <c r="B173" s="140" t="s">
        <v>23</v>
      </c>
      <c r="C173" s="140" t="s">
        <v>24</v>
      </c>
      <c r="D173" s="149" t="s">
        <v>89</v>
      </c>
      <c r="E173" s="139" t="s">
        <v>90</v>
      </c>
      <c r="F173" s="141"/>
      <c r="G173" s="145"/>
      <c r="H173" s="145"/>
      <c r="I173" s="145"/>
      <c r="J173" s="145"/>
      <c r="K173" s="92"/>
      <c r="L173" s="92"/>
      <c r="M173" s="92"/>
      <c r="N173" s="92"/>
      <c r="O173" s="92"/>
      <c r="P173" s="92"/>
    </row>
    <row r="174" spans="1:16" x14ac:dyDescent="0.2">
      <c r="A174" s="140" t="s">
        <v>19</v>
      </c>
      <c r="B174" s="140" t="s">
        <v>23</v>
      </c>
      <c r="C174" s="140" t="s">
        <v>24</v>
      </c>
      <c r="D174" s="149" t="s">
        <v>176</v>
      </c>
      <c r="E174" s="139" t="s">
        <v>177</v>
      </c>
      <c r="F174" s="141"/>
      <c r="G174" s="145"/>
      <c r="H174" s="145"/>
      <c r="I174" s="145"/>
      <c r="J174" s="145"/>
      <c r="K174" s="92"/>
      <c r="L174" s="92"/>
      <c r="M174" s="92"/>
      <c r="N174" s="92"/>
      <c r="O174" s="92"/>
      <c r="P174" s="92"/>
    </row>
    <row r="175" spans="1:16" x14ac:dyDescent="0.2">
      <c r="A175" s="140" t="s">
        <v>19</v>
      </c>
      <c r="B175" s="140" t="s">
        <v>23</v>
      </c>
      <c r="C175" s="140" t="s">
        <v>24</v>
      </c>
      <c r="D175" s="149" t="s">
        <v>93</v>
      </c>
      <c r="E175" s="139" t="s">
        <v>94</v>
      </c>
      <c r="F175" s="141"/>
      <c r="G175" s="145"/>
      <c r="H175" s="145"/>
      <c r="I175" s="145"/>
      <c r="J175" s="145"/>
      <c r="K175" s="92"/>
      <c r="L175" s="92"/>
      <c r="M175" s="92"/>
      <c r="N175" s="92"/>
      <c r="O175" s="92"/>
      <c r="P175" s="92"/>
    </row>
    <row r="176" spans="1:16" x14ac:dyDescent="0.2">
      <c r="A176" s="140" t="s">
        <v>19</v>
      </c>
      <c r="B176" s="140" t="s">
        <v>23</v>
      </c>
      <c r="C176" s="140" t="s">
        <v>24</v>
      </c>
      <c r="D176" s="149" t="s">
        <v>102</v>
      </c>
      <c r="E176" s="139" t="s">
        <v>103</v>
      </c>
      <c r="F176" s="141"/>
      <c r="G176" s="145"/>
      <c r="H176" s="145"/>
      <c r="I176" s="145"/>
      <c r="J176" s="145"/>
      <c r="K176" s="92"/>
      <c r="L176" s="92"/>
      <c r="M176" s="92"/>
      <c r="N176" s="92"/>
      <c r="O176" s="92"/>
      <c r="P176" s="92"/>
    </row>
    <row r="177" spans="1:16" x14ac:dyDescent="0.2">
      <c r="A177" s="140" t="s">
        <v>19</v>
      </c>
      <c r="B177" s="140" t="s">
        <v>23</v>
      </c>
      <c r="C177" s="140" t="s">
        <v>24</v>
      </c>
      <c r="D177" s="149" t="s">
        <v>107</v>
      </c>
      <c r="E177" s="139" t="s">
        <v>108</v>
      </c>
      <c r="F177" s="141"/>
      <c r="G177" s="145"/>
      <c r="H177" s="145"/>
      <c r="I177" s="145"/>
      <c r="J177" s="145"/>
      <c r="K177" s="92"/>
      <c r="L177" s="92"/>
      <c r="M177" s="92"/>
      <c r="N177" s="92"/>
      <c r="O177" s="92"/>
      <c r="P177" s="92"/>
    </row>
    <row r="178" spans="1:16" x14ac:dyDescent="0.2">
      <c r="A178" s="140" t="s">
        <v>19</v>
      </c>
      <c r="B178" s="140" t="s">
        <v>23</v>
      </c>
      <c r="C178" s="140" t="s">
        <v>104</v>
      </c>
      <c r="D178" s="149" t="s">
        <v>105</v>
      </c>
      <c r="E178" s="139" t="s">
        <v>106</v>
      </c>
      <c r="F178" s="141"/>
      <c r="G178" s="145"/>
      <c r="H178" s="145"/>
      <c r="I178" s="145"/>
      <c r="J178" s="145"/>
      <c r="K178" s="92"/>
      <c r="L178" s="92"/>
      <c r="M178" s="92"/>
      <c r="N178" s="92"/>
      <c r="O178" s="92"/>
      <c r="P178" s="92"/>
    </row>
    <row r="179" spans="1:16" x14ac:dyDescent="0.2">
      <c r="A179" s="140" t="s">
        <v>19</v>
      </c>
      <c r="B179" s="140" t="s">
        <v>23</v>
      </c>
      <c r="C179" s="140" t="s">
        <v>104</v>
      </c>
      <c r="D179" s="149" t="s">
        <v>140</v>
      </c>
      <c r="E179" s="139" t="s">
        <v>141</v>
      </c>
      <c r="F179" s="141"/>
      <c r="G179" s="145"/>
      <c r="H179" s="145"/>
      <c r="I179" s="145"/>
      <c r="J179" s="145"/>
      <c r="K179" s="92"/>
      <c r="L179" s="92"/>
      <c r="M179" s="92"/>
      <c r="N179" s="92"/>
      <c r="O179" s="92"/>
      <c r="P179" s="92"/>
    </row>
    <row r="180" spans="1:16" x14ac:dyDescent="0.2">
      <c r="A180" s="140" t="s">
        <v>19</v>
      </c>
      <c r="B180" s="140" t="s">
        <v>23</v>
      </c>
      <c r="C180" s="140" t="s">
        <v>38</v>
      </c>
      <c r="D180" s="149" t="s">
        <v>39</v>
      </c>
      <c r="E180" s="139" t="s">
        <v>40</v>
      </c>
      <c r="F180" s="141"/>
      <c r="G180" s="141"/>
      <c r="H180" s="141"/>
      <c r="I180" s="141"/>
      <c r="J180" s="141"/>
      <c r="K180" s="92"/>
      <c r="L180" s="92"/>
      <c r="M180" s="92"/>
      <c r="N180" s="92"/>
      <c r="O180" s="92"/>
      <c r="P180" s="92"/>
    </row>
    <row r="181" spans="1:16" x14ac:dyDescent="0.2">
      <c r="A181" s="140" t="s">
        <v>19</v>
      </c>
      <c r="B181" s="140" t="s">
        <v>23</v>
      </c>
      <c r="C181" s="140" t="s">
        <v>38</v>
      </c>
      <c r="D181" s="149" t="s">
        <v>53</v>
      </c>
      <c r="E181" s="139" t="s">
        <v>54</v>
      </c>
      <c r="F181" s="141"/>
      <c r="G181" s="141"/>
      <c r="H181" s="141"/>
      <c r="I181" s="141"/>
      <c r="J181" s="141"/>
      <c r="K181" s="92"/>
      <c r="L181" s="92"/>
      <c r="M181" s="92"/>
      <c r="N181" s="92"/>
      <c r="O181" s="92"/>
      <c r="P181" s="92"/>
    </row>
    <row r="182" spans="1:16" x14ac:dyDescent="0.2">
      <c r="A182" s="140" t="s">
        <v>19</v>
      </c>
      <c r="B182" s="140" t="s">
        <v>23</v>
      </c>
      <c r="C182" s="140" t="s">
        <v>38</v>
      </c>
      <c r="D182" s="149" t="s">
        <v>174</v>
      </c>
      <c r="E182" s="139" t="s">
        <v>175</v>
      </c>
      <c r="F182" s="141"/>
      <c r="G182" s="141"/>
      <c r="H182" s="141"/>
      <c r="I182" s="141"/>
      <c r="J182" s="141"/>
      <c r="K182" s="92"/>
      <c r="L182" s="92"/>
      <c r="M182" s="92"/>
      <c r="N182" s="92"/>
      <c r="O182" s="92"/>
      <c r="P182" s="92"/>
    </row>
    <row r="183" spans="1:16" x14ac:dyDescent="0.2">
      <c r="A183" s="140" t="s">
        <v>19</v>
      </c>
      <c r="B183" s="140" t="s">
        <v>23</v>
      </c>
      <c r="C183" s="140" t="s">
        <v>38</v>
      </c>
      <c r="D183" s="149" t="s">
        <v>91</v>
      </c>
      <c r="E183" s="139" t="s">
        <v>92</v>
      </c>
      <c r="F183" s="141"/>
      <c r="G183" s="141"/>
      <c r="H183" s="141"/>
      <c r="I183" s="141"/>
      <c r="J183" s="141"/>
      <c r="K183" s="92"/>
      <c r="L183" s="92"/>
      <c r="M183" s="92"/>
      <c r="N183" s="92"/>
      <c r="O183" s="92"/>
      <c r="P183" s="92"/>
    </row>
    <row r="184" spans="1:16" x14ac:dyDescent="0.2">
      <c r="A184" s="140" t="s">
        <v>19</v>
      </c>
      <c r="B184" s="140" t="s">
        <v>23</v>
      </c>
      <c r="C184" s="140" t="s">
        <v>38</v>
      </c>
      <c r="D184" s="149" t="s">
        <v>95</v>
      </c>
      <c r="E184" s="139" t="s">
        <v>96</v>
      </c>
      <c r="F184" s="143"/>
      <c r="G184" s="142"/>
      <c r="H184" s="142"/>
      <c r="I184" s="142"/>
      <c r="J184" s="142"/>
      <c r="K184" s="92"/>
      <c r="L184" s="92"/>
      <c r="M184" s="92"/>
      <c r="N184" s="92"/>
      <c r="O184" s="92"/>
      <c r="P184" s="92"/>
    </row>
    <row r="185" spans="1:16" x14ac:dyDescent="0.2">
      <c r="A185" s="140" t="s">
        <v>19</v>
      </c>
      <c r="B185" s="140" t="s">
        <v>23</v>
      </c>
      <c r="C185" s="140" t="s">
        <v>38</v>
      </c>
      <c r="D185" s="149" t="s">
        <v>825</v>
      </c>
      <c r="E185" s="139" t="s">
        <v>179</v>
      </c>
      <c r="F185" s="143"/>
      <c r="G185" s="142"/>
      <c r="H185" s="142"/>
      <c r="I185" s="142"/>
      <c r="J185" s="142"/>
      <c r="K185" s="92"/>
      <c r="L185" s="92"/>
      <c r="M185" s="92"/>
      <c r="N185" s="92"/>
      <c r="O185" s="92"/>
      <c r="P185" s="92"/>
    </row>
    <row r="186" spans="1:16" x14ac:dyDescent="0.2">
      <c r="A186" s="140" t="s">
        <v>19</v>
      </c>
      <c r="B186" s="140" t="s">
        <v>23</v>
      </c>
      <c r="C186" s="140" t="s">
        <v>38</v>
      </c>
      <c r="D186" s="149" t="s">
        <v>134</v>
      </c>
      <c r="E186" s="139" t="s">
        <v>135</v>
      </c>
      <c r="F186" s="142"/>
      <c r="G186" s="142"/>
      <c r="H186" s="142"/>
      <c r="I186" s="142"/>
      <c r="J186" s="142"/>
      <c r="K186" s="92"/>
      <c r="L186" s="92"/>
      <c r="M186" s="92"/>
      <c r="N186" s="92"/>
      <c r="O186" s="92"/>
      <c r="P186" s="92"/>
    </row>
    <row r="187" spans="1:16" x14ac:dyDescent="0.2">
      <c r="A187" s="140" t="s">
        <v>19</v>
      </c>
      <c r="B187" s="140" t="s">
        <v>23</v>
      </c>
      <c r="C187" s="140" t="s">
        <v>38</v>
      </c>
      <c r="D187" s="149" t="s">
        <v>138</v>
      </c>
      <c r="E187" s="139" t="s">
        <v>139</v>
      </c>
      <c r="F187" s="143"/>
      <c r="G187" s="142"/>
      <c r="H187" s="142"/>
      <c r="I187" s="142"/>
      <c r="J187" s="142"/>
      <c r="K187" s="92"/>
      <c r="L187" s="92"/>
      <c r="M187" s="92"/>
      <c r="N187" s="92"/>
      <c r="O187" s="92"/>
      <c r="P187" s="92"/>
    </row>
    <row r="188" spans="1:16" x14ac:dyDescent="0.2">
      <c r="A188" s="140" t="s">
        <v>19</v>
      </c>
      <c r="B188" s="140" t="s">
        <v>27</v>
      </c>
      <c r="C188" s="140" t="s">
        <v>66</v>
      </c>
      <c r="D188" s="149" t="s">
        <v>614</v>
      </c>
      <c r="E188" s="139" t="s">
        <v>674</v>
      </c>
      <c r="F188" s="143"/>
      <c r="G188" s="143"/>
      <c r="H188" s="143"/>
      <c r="I188" s="143"/>
      <c r="J188" s="143"/>
      <c r="K188" s="92"/>
      <c r="L188" s="92"/>
      <c r="M188" s="92"/>
      <c r="N188" s="92"/>
      <c r="O188" s="92"/>
      <c r="P188" s="92"/>
    </row>
    <row r="189" spans="1:16" x14ac:dyDescent="0.2">
      <c r="A189" s="140" t="s">
        <v>19</v>
      </c>
      <c r="B189" s="140" t="s">
        <v>27</v>
      </c>
      <c r="C189" s="140" t="s">
        <v>813</v>
      </c>
      <c r="D189" s="149" t="s">
        <v>218</v>
      </c>
      <c r="E189" s="139" t="s">
        <v>219</v>
      </c>
      <c r="F189" s="143"/>
      <c r="G189" s="143"/>
      <c r="H189" s="143"/>
      <c r="I189" s="143"/>
      <c r="J189" s="143"/>
      <c r="K189" s="92"/>
      <c r="L189" s="92"/>
      <c r="M189" s="92"/>
      <c r="N189" s="92"/>
      <c r="O189" s="92"/>
      <c r="P189" s="92"/>
    </row>
    <row r="190" spans="1:16" x14ac:dyDescent="0.2">
      <c r="A190" s="140" t="s">
        <v>19</v>
      </c>
      <c r="B190" s="140" t="s">
        <v>27</v>
      </c>
      <c r="C190" s="140" t="s">
        <v>28</v>
      </c>
      <c r="D190" s="149" t="s">
        <v>817</v>
      </c>
      <c r="E190" s="139" t="s">
        <v>734</v>
      </c>
      <c r="F190" s="143"/>
      <c r="G190" s="142"/>
      <c r="H190" s="142"/>
      <c r="I190" s="142"/>
      <c r="J190" s="142"/>
      <c r="K190" s="92"/>
      <c r="L190" s="92"/>
      <c r="M190" s="92"/>
      <c r="N190" s="92"/>
      <c r="O190" s="92"/>
      <c r="P190" s="92"/>
    </row>
    <row r="191" spans="1:16" x14ac:dyDescent="0.2">
      <c r="A191" s="140" t="s">
        <v>19</v>
      </c>
      <c r="B191" s="140" t="s">
        <v>27</v>
      </c>
      <c r="C191" s="140" t="s">
        <v>28</v>
      </c>
      <c r="D191" s="149" t="s">
        <v>356</v>
      </c>
      <c r="E191" s="139" t="s">
        <v>735</v>
      </c>
      <c r="F191" s="143"/>
      <c r="G191" s="142"/>
      <c r="H191" s="142"/>
      <c r="I191" s="142"/>
      <c r="J191" s="142"/>
      <c r="K191" s="92"/>
      <c r="L191" s="92"/>
      <c r="M191" s="92"/>
      <c r="N191" s="92"/>
      <c r="O191" s="92"/>
      <c r="P191" s="92"/>
    </row>
    <row r="192" spans="1:16" x14ac:dyDescent="0.2">
      <c r="A192" s="140" t="s">
        <v>19</v>
      </c>
      <c r="B192" s="140" t="s">
        <v>27</v>
      </c>
      <c r="C192" s="140" t="s">
        <v>28</v>
      </c>
      <c r="D192" s="149" t="s">
        <v>358</v>
      </c>
      <c r="E192" s="139" t="s">
        <v>736</v>
      </c>
      <c r="F192" s="143"/>
      <c r="G192" s="142"/>
      <c r="H192" s="142"/>
      <c r="I192" s="142"/>
      <c r="J192" s="142"/>
      <c r="K192" s="92"/>
      <c r="L192" s="92"/>
      <c r="M192" s="92"/>
      <c r="N192" s="92"/>
      <c r="O192" s="92"/>
      <c r="P192" s="92"/>
    </row>
    <row r="193" spans="1:16" x14ac:dyDescent="0.2">
      <c r="A193" s="140" t="s">
        <v>19</v>
      </c>
      <c r="B193" s="140" t="s">
        <v>27</v>
      </c>
      <c r="C193" s="140" t="s">
        <v>28</v>
      </c>
      <c r="D193" s="149" t="s">
        <v>29</v>
      </c>
      <c r="E193" s="139" t="s">
        <v>30</v>
      </c>
      <c r="F193" s="143"/>
      <c r="G193" s="142"/>
      <c r="H193" s="142"/>
      <c r="I193" s="142"/>
      <c r="J193" s="142"/>
      <c r="K193" s="92"/>
      <c r="L193" s="92"/>
      <c r="M193" s="92"/>
      <c r="N193" s="92"/>
      <c r="O193" s="92"/>
      <c r="P193" s="92"/>
    </row>
    <row r="194" spans="1:16" x14ac:dyDescent="0.2">
      <c r="A194" s="140" t="s">
        <v>19</v>
      </c>
      <c r="B194" s="140" t="s">
        <v>27</v>
      </c>
      <c r="C194" s="140" t="s">
        <v>28</v>
      </c>
      <c r="D194" s="149" t="s">
        <v>361</v>
      </c>
      <c r="E194" s="139" t="s">
        <v>737</v>
      </c>
      <c r="F194" s="143"/>
      <c r="G194" s="142"/>
      <c r="H194" s="142"/>
      <c r="I194" s="142"/>
      <c r="J194" s="142"/>
      <c r="K194" s="92"/>
      <c r="L194" s="92"/>
      <c r="M194" s="92"/>
      <c r="N194" s="92"/>
      <c r="O194" s="92"/>
      <c r="P194" s="92"/>
    </row>
    <row r="195" spans="1:16" x14ac:dyDescent="0.2">
      <c r="A195" s="140" t="s">
        <v>19</v>
      </c>
      <c r="B195" s="140" t="s">
        <v>27</v>
      </c>
      <c r="C195" s="140" t="s">
        <v>28</v>
      </c>
      <c r="D195" s="149" t="s">
        <v>363</v>
      </c>
      <c r="E195" s="139" t="s">
        <v>738</v>
      </c>
      <c r="F195" s="143"/>
      <c r="G195" s="142"/>
      <c r="H195" s="142"/>
      <c r="I195" s="142"/>
      <c r="J195" s="142"/>
      <c r="K195" s="92"/>
      <c r="L195" s="92"/>
      <c r="M195" s="92"/>
      <c r="N195" s="92"/>
      <c r="O195" s="92"/>
      <c r="P195" s="92"/>
    </row>
    <row r="196" spans="1:16" x14ac:dyDescent="0.2">
      <c r="A196" s="140" t="s">
        <v>19</v>
      </c>
      <c r="B196" s="140" t="s">
        <v>27</v>
      </c>
      <c r="C196" s="140" t="s">
        <v>28</v>
      </c>
      <c r="D196" s="149" t="s">
        <v>816</v>
      </c>
      <c r="E196" s="139" t="s">
        <v>739</v>
      </c>
      <c r="F196" s="143"/>
      <c r="G196" s="142"/>
      <c r="H196" s="142"/>
      <c r="I196" s="142"/>
      <c r="J196" s="142"/>
      <c r="K196" s="92"/>
      <c r="L196" s="92"/>
      <c r="M196" s="92"/>
      <c r="N196" s="92"/>
      <c r="O196" s="92"/>
      <c r="P196" s="92"/>
    </row>
    <row r="197" spans="1:16" x14ac:dyDescent="0.2">
      <c r="A197" s="140" t="s">
        <v>19</v>
      </c>
      <c r="B197" s="140" t="s">
        <v>27</v>
      </c>
      <c r="C197" s="140" t="s">
        <v>28</v>
      </c>
      <c r="D197" s="149" t="s">
        <v>824</v>
      </c>
      <c r="E197" s="139" t="s">
        <v>740</v>
      </c>
      <c r="F197" s="143"/>
      <c r="G197" s="142"/>
      <c r="H197" s="142"/>
      <c r="I197" s="142"/>
      <c r="J197" s="142"/>
      <c r="K197" s="92"/>
      <c r="L197" s="92"/>
      <c r="M197" s="92"/>
      <c r="N197" s="92"/>
      <c r="O197" s="92"/>
      <c r="P197" s="92"/>
    </row>
    <row r="198" spans="1:16" x14ac:dyDescent="0.2">
      <c r="A198" s="140" t="s">
        <v>19</v>
      </c>
      <c r="B198" s="140" t="s">
        <v>27</v>
      </c>
      <c r="C198" s="140" t="s">
        <v>28</v>
      </c>
      <c r="D198" s="149" t="s">
        <v>367</v>
      </c>
      <c r="E198" s="139" t="s">
        <v>741</v>
      </c>
      <c r="F198" s="143"/>
      <c r="G198" s="142"/>
      <c r="H198" s="142"/>
      <c r="I198" s="142"/>
      <c r="J198" s="142"/>
      <c r="K198" s="92"/>
      <c r="L198" s="92"/>
      <c r="M198" s="92"/>
      <c r="N198" s="92"/>
      <c r="O198" s="92"/>
      <c r="P198" s="92"/>
    </row>
    <row r="199" spans="1:16" x14ac:dyDescent="0.2">
      <c r="A199" s="140" t="s">
        <v>19</v>
      </c>
      <c r="B199" s="140" t="s">
        <v>27</v>
      </c>
      <c r="C199" s="140" t="s">
        <v>28</v>
      </c>
      <c r="D199" s="149" t="s">
        <v>232</v>
      </c>
      <c r="E199" s="139" t="s">
        <v>233</v>
      </c>
      <c r="F199" s="143"/>
      <c r="G199" s="142"/>
      <c r="H199" s="142"/>
      <c r="I199" s="142"/>
      <c r="J199" s="142"/>
      <c r="K199" s="92"/>
      <c r="L199" s="92"/>
      <c r="M199" s="92"/>
      <c r="N199" s="92"/>
      <c r="O199" s="92"/>
      <c r="P199" s="92"/>
    </row>
    <row r="200" spans="1:16" x14ac:dyDescent="0.2">
      <c r="A200" s="140" t="s">
        <v>19</v>
      </c>
      <c r="B200" s="140" t="s">
        <v>27</v>
      </c>
      <c r="C200" s="140" t="s">
        <v>28</v>
      </c>
      <c r="D200" s="149" t="s">
        <v>818</v>
      </c>
      <c r="E200" s="139" t="s">
        <v>742</v>
      </c>
      <c r="F200" s="143"/>
      <c r="G200" s="142"/>
      <c r="H200" s="142"/>
      <c r="I200" s="142"/>
      <c r="J200" s="142"/>
      <c r="K200" s="92"/>
      <c r="L200" s="92"/>
      <c r="M200" s="92"/>
      <c r="N200" s="92"/>
      <c r="O200" s="92"/>
      <c r="P200" s="92"/>
    </row>
    <row r="201" spans="1:16" x14ac:dyDescent="0.2">
      <c r="A201" s="140" t="s">
        <v>19</v>
      </c>
      <c r="B201" s="140" t="s">
        <v>27</v>
      </c>
      <c r="C201" s="140" t="s">
        <v>28</v>
      </c>
      <c r="D201" s="149" t="s">
        <v>819</v>
      </c>
      <c r="E201" s="139" t="s">
        <v>743</v>
      </c>
      <c r="F201" s="143"/>
      <c r="G201" s="142"/>
      <c r="H201" s="142"/>
      <c r="I201" s="142"/>
      <c r="J201" s="142"/>
      <c r="K201" s="92"/>
      <c r="L201" s="92"/>
      <c r="M201" s="92"/>
      <c r="N201" s="92"/>
      <c r="O201" s="92"/>
      <c r="P201" s="92"/>
    </row>
    <row r="202" spans="1:16" x14ac:dyDescent="0.2">
      <c r="A202" s="140" t="s">
        <v>19</v>
      </c>
      <c r="B202" s="140" t="s">
        <v>27</v>
      </c>
      <c r="C202" s="140" t="s">
        <v>28</v>
      </c>
      <c r="D202" s="149" t="s">
        <v>820</v>
      </c>
      <c r="E202" s="139" t="s">
        <v>744</v>
      </c>
      <c r="F202" s="143"/>
      <c r="G202" s="143"/>
      <c r="H202" s="143"/>
      <c r="I202" s="143"/>
      <c r="J202" s="143"/>
      <c r="K202" s="92"/>
      <c r="L202" s="92"/>
      <c r="M202" s="92"/>
      <c r="N202" s="92"/>
      <c r="O202" s="92"/>
      <c r="P202" s="92"/>
    </row>
    <row r="203" spans="1:16" x14ac:dyDescent="0.2">
      <c r="A203" s="140" t="s">
        <v>19</v>
      </c>
      <c r="B203" s="140" t="s">
        <v>27</v>
      </c>
      <c r="C203" s="140" t="s">
        <v>28</v>
      </c>
      <c r="D203" s="149" t="s">
        <v>378</v>
      </c>
      <c r="E203" s="139" t="s">
        <v>745</v>
      </c>
      <c r="F203" s="143"/>
      <c r="G203" s="142"/>
      <c r="H203" s="142"/>
      <c r="I203" s="142"/>
      <c r="J203" s="142"/>
      <c r="K203" s="92"/>
      <c r="L203" s="92"/>
      <c r="M203" s="92"/>
      <c r="N203" s="92"/>
      <c r="O203" s="92"/>
      <c r="P203" s="92"/>
    </row>
    <row r="204" spans="1:16" x14ac:dyDescent="0.2">
      <c r="A204" s="140" t="s">
        <v>19</v>
      </c>
      <c r="B204" s="140" t="s">
        <v>27</v>
      </c>
      <c r="C204" s="140" t="s">
        <v>28</v>
      </c>
      <c r="D204" s="149" t="s">
        <v>381</v>
      </c>
      <c r="E204" s="139" t="s">
        <v>97</v>
      </c>
      <c r="F204" s="143"/>
      <c r="G204" s="142"/>
      <c r="H204" s="142"/>
      <c r="I204" s="142"/>
      <c r="J204" s="142"/>
      <c r="K204" s="92"/>
      <c r="L204" s="92"/>
      <c r="M204" s="92"/>
      <c r="N204" s="92"/>
      <c r="O204" s="92"/>
      <c r="P204" s="92"/>
    </row>
    <row r="205" spans="1:16" x14ac:dyDescent="0.2">
      <c r="A205" s="140" t="s">
        <v>19</v>
      </c>
      <c r="B205" s="140" t="s">
        <v>27</v>
      </c>
      <c r="C205" s="140" t="s">
        <v>28</v>
      </c>
      <c r="D205" s="149" t="s">
        <v>109</v>
      </c>
      <c r="E205" s="139" t="s">
        <v>110</v>
      </c>
      <c r="F205" s="143"/>
      <c r="G205" s="142"/>
      <c r="H205" s="142"/>
      <c r="I205" s="142"/>
      <c r="J205" s="142"/>
      <c r="K205" s="92"/>
      <c r="L205" s="92"/>
      <c r="M205" s="92"/>
      <c r="N205" s="92"/>
      <c r="O205" s="92"/>
      <c r="P205" s="92"/>
    </row>
    <row r="206" spans="1:16" x14ac:dyDescent="0.2">
      <c r="A206" s="140" t="s">
        <v>19</v>
      </c>
      <c r="B206" s="140" t="s">
        <v>27</v>
      </c>
      <c r="C206" s="140" t="s">
        <v>28</v>
      </c>
      <c r="D206" s="149" t="s">
        <v>386</v>
      </c>
      <c r="E206" s="139" t="s">
        <v>746</v>
      </c>
      <c r="F206" s="143"/>
      <c r="G206" s="142"/>
      <c r="H206" s="142"/>
      <c r="I206" s="142"/>
      <c r="J206" s="142"/>
      <c r="K206" s="92"/>
      <c r="L206" s="92"/>
      <c r="M206" s="92"/>
      <c r="N206" s="92"/>
      <c r="O206" s="92"/>
      <c r="P206" s="92"/>
    </row>
    <row r="207" spans="1:16" s="92" customFormat="1" x14ac:dyDescent="0.2">
      <c r="A207" s="140" t="s">
        <v>19</v>
      </c>
      <c r="B207" s="140" t="s">
        <v>27</v>
      </c>
      <c r="C207" s="140" t="s">
        <v>28</v>
      </c>
      <c r="D207" s="149" t="s">
        <v>821</v>
      </c>
      <c r="E207" s="139" t="s">
        <v>747</v>
      </c>
      <c r="F207" s="143"/>
      <c r="G207" s="142"/>
      <c r="H207" s="142"/>
      <c r="I207" s="142"/>
      <c r="J207" s="142"/>
    </row>
    <row r="208" spans="1:16" x14ac:dyDescent="0.2">
      <c r="A208" s="140" t="s">
        <v>19</v>
      </c>
      <c r="B208" s="140" t="s">
        <v>27</v>
      </c>
      <c r="C208" s="140" t="s">
        <v>28</v>
      </c>
      <c r="D208" s="149" t="s">
        <v>391</v>
      </c>
      <c r="E208" s="139" t="s">
        <v>748</v>
      </c>
      <c r="F208" s="143"/>
      <c r="G208" s="143"/>
      <c r="H208" s="143"/>
      <c r="I208" s="143"/>
      <c r="J208" s="143"/>
      <c r="K208" s="92"/>
      <c r="L208" s="92"/>
      <c r="M208" s="92"/>
      <c r="N208" s="92"/>
      <c r="O208" s="92"/>
      <c r="P208" s="92"/>
    </row>
    <row r="209" spans="1:16" x14ac:dyDescent="0.2">
      <c r="A209" s="140" t="s">
        <v>19</v>
      </c>
      <c r="B209" s="140" t="s">
        <v>27</v>
      </c>
      <c r="C209" s="140" t="s">
        <v>28</v>
      </c>
      <c r="D209" s="149" t="s">
        <v>822</v>
      </c>
      <c r="E209" s="139" t="s">
        <v>749</v>
      </c>
      <c r="F209" s="143"/>
      <c r="G209" s="142"/>
      <c r="H209" s="142"/>
      <c r="I209" s="142"/>
      <c r="J209" s="142"/>
      <c r="K209" s="92"/>
      <c r="L209" s="92"/>
      <c r="M209" s="92"/>
      <c r="N209" s="92"/>
      <c r="O209" s="92"/>
      <c r="P209" s="92"/>
    </row>
    <row r="210" spans="1:16" x14ac:dyDescent="0.2">
      <c r="A210" s="140" t="s">
        <v>19</v>
      </c>
      <c r="B210" s="140" t="s">
        <v>27</v>
      </c>
      <c r="C210" s="140" t="s">
        <v>28</v>
      </c>
      <c r="D210" s="149" t="s">
        <v>28</v>
      </c>
      <c r="E210" s="139" t="s">
        <v>130</v>
      </c>
      <c r="F210" s="143"/>
      <c r="G210" s="142"/>
      <c r="H210" s="142"/>
      <c r="I210" s="142"/>
      <c r="J210" s="142"/>
      <c r="K210" s="92"/>
      <c r="L210" s="92"/>
      <c r="M210" s="92"/>
      <c r="N210" s="92"/>
      <c r="O210" s="92"/>
      <c r="P210" s="92"/>
    </row>
    <row r="211" spans="1:16" x14ac:dyDescent="0.2">
      <c r="A211" s="140" t="s">
        <v>19</v>
      </c>
      <c r="B211" s="140" t="s">
        <v>27</v>
      </c>
      <c r="C211" s="140" t="s">
        <v>28</v>
      </c>
      <c r="D211" s="149" t="s">
        <v>397</v>
      </c>
      <c r="E211" s="139" t="s">
        <v>750</v>
      </c>
      <c r="F211" s="143"/>
      <c r="G211" s="142"/>
      <c r="H211" s="142"/>
      <c r="I211" s="142"/>
      <c r="J211" s="142"/>
      <c r="K211" s="92"/>
      <c r="L211" s="92"/>
      <c r="M211" s="92"/>
      <c r="N211" s="92"/>
      <c r="O211" s="92"/>
      <c r="P211" s="92"/>
    </row>
    <row r="212" spans="1:16" x14ac:dyDescent="0.2">
      <c r="A212" s="140" t="s">
        <v>19</v>
      </c>
      <c r="B212" s="140" t="s">
        <v>27</v>
      </c>
      <c r="C212" s="140" t="s">
        <v>28</v>
      </c>
      <c r="D212" s="149" t="s">
        <v>400</v>
      </c>
      <c r="E212" s="139" t="s">
        <v>751</v>
      </c>
      <c r="F212" s="143"/>
      <c r="G212" s="142"/>
      <c r="H212" s="142"/>
      <c r="I212" s="142"/>
      <c r="J212" s="142"/>
      <c r="K212" s="92"/>
      <c r="L212" s="92"/>
      <c r="M212" s="92"/>
      <c r="N212" s="92"/>
      <c r="O212" s="92"/>
      <c r="P212" s="92"/>
    </row>
    <row r="213" spans="1:16" x14ac:dyDescent="0.2">
      <c r="A213" s="140" t="s">
        <v>19</v>
      </c>
      <c r="B213" s="140" t="s">
        <v>27</v>
      </c>
      <c r="C213" s="140" t="s">
        <v>28</v>
      </c>
      <c r="D213" s="149" t="s">
        <v>142</v>
      </c>
      <c r="E213" s="139" t="s">
        <v>143</v>
      </c>
      <c r="F213" s="142"/>
      <c r="G213" s="142"/>
      <c r="H213" s="142"/>
      <c r="I213" s="142"/>
      <c r="J213" s="142"/>
      <c r="K213" s="92"/>
      <c r="L213" s="92"/>
      <c r="M213" s="92"/>
      <c r="N213" s="92"/>
      <c r="O213" s="92"/>
      <c r="P213" s="92"/>
    </row>
    <row r="214" spans="1:16" x14ac:dyDescent="0.2">
      <c r="A214" s="140" t="s">
        <v>19</v>
      </c>
      <c r="B214" s="140" t="s">
        <v>27</v>
      </c>
      <c r="C214" s="140" t="s">
        <v>28</v>
      </c>
      <c r="D214" s="149" t="s">
        <v>823</v>
      </c>
      <c r="E214" s="139" t="s">
        <v>752</v>
      </c>
      <c r="F214" s="143"/>
      <c r="G214" s="142"/>
      <c r="H214" s="142"/>
      <c r="I214" s="142"/>
      <c r="J214" s="142"/>
      <c r="K214" s="92"/>
      <c r="L214" s="92"/>
      <c r="M214" s="92"/>
      <c r="N214" s="92"/>
      <c r="O214" s="92"/>
      <c r="P214" s="92"/>
    </row>
    <row r="215" spans="1:16" x14ac:dyDescent="0.2">
      <c r="A215" s="130" t="s">
        <v>801</v>
      </c>
      <c r="B215" s="139" t="s">
        <v>155</v>
      </c>
      <c r="C215" s="140" t="s">
        <v>66</v>
      </c>
      <c r="D215" s="149" t="s">
        <v>156</v>
      </c>
      <c r="E215" s="139" t="s">
        <v>157</v>
      </c>
      <c r="F215" s="141"/>
      <c r="G215" s="141"/>
      <c r="H215" s="142"/>
      <c r="I215" s="142"/>
      <c r="J215" s="142"/>
      <c r="K215" s="92"/>
      <c r="L215" s="92"/>
      <c r="M215" s="92"/>
      <c r="N215" s="92"/>
      <c r="O215" s="92"/>
      <c r="P215" s="92"/>
    </row>
    <row r="216" spans="1:16" x14ac:dyDescent="0.2">
      <c r="A216" s="130" t="s">
        <v>158</v>
      </c>
      <c r="B216" s="139" t="s">
        <v>155</v>
      </c>
      <c r="C216" s="140" t="s">
        <v>66</v>
      </c>
      <c r="D216" s="149" t="s">
        <v>159</v>
      </c>
      <c r="E216" s="139" t="s">
        <v>160</v>
      </c>
      <c r="F216" s="143"/>
      <c r="G216" s="144"/>
      <c r="H216" s="142"/>
      <c r="I216" s="142"/>
      <c r="J216" s="142"/>
      <c r="K216" s="92"/>
      <c r="L216" s="92"/>
      <c r="M216" s="92"/>
      <c r="N216" s="92"/>
      <c r="O216" s="92"/>
      <c r="P216" s="92"/>
    </row>
    <row r="217" spans="1:16" x14ac:dyDescent="0.2">
      <c r="A217" s="130" t="s">
        <v>161</v>
      </c>
      <c r="B217" s="139" t="s">
        <v>155</v>
      </c>
      <c r="C217" s="140" t="s">
        <v>66</v>
      </c>
      <c r="D217" s="150" t="s">
        <v>21</v>
      </c>
      <c r="E217" s="173" t="s">
        <v>22</v>
      </c>
      <c r="F217" s="142"/>
      <c r="G217" s="142"/>
      <c r="H217" s="142"/>
      <c r="I217" s="142"/>
      <c r="J217" s="142"/>
      <c r="K217" s="92"/>
      <c r="L217" s="92"/>
      <c r="M217" s="92"/>
      <c r="N217" s="92"/>
      <c r="O217" s="92"/>
      <c r="P217" s="92"/>
    </row>
    <row r="218" spans="1:16" x14ac:dyDescent="0.2">
      <c r="A218" s="130" t="s">
        <v>161</v>
      </c>
      <c r="B218" s="139" t="s">
        <v>155</v>
      </c>
      <c r="C218" s="140" t="s">
        <v>66</v>
      </c>
      <c r="D218" s="170" t="s">
        <v>166</v>
      </c>
      <c r="E218" s="173" t="s">
        <v>167</v>
      </c>
      <c r="F218" s="142"/>
      <c r="G218" s="142"/>
      <c r="H218" s="142"/>
      <c r="I218" s="142"/>
      <c r="J218" s="142"/>
      <c r="K218" s="92"/>
      <c r="L218" s="92"/>
      <c r="M218" s="92"/>
      <c r="N218" s="92"/>
      <c r="O218" s="92"/>
      <c r="P218" s="92"/>
    </row>
    <row r="219" spans="1:16" x14ac:dyDescent="0.2">
      <c r="A219" s="130" t="s">
        <v>161</v>
      </c>
      <c r="B219" s="139" t="s">
        <v>155</v>
      </c>
      <c r="C219" s="140" t="s">
        <v>66</v>
      </c>
      <c r="D219" s="150" t="s">
        <v>172</v>
      </c>
      <c r="E219" s="173" t="s">
        <v>173</v>
      </c>
      <c r="F219" s="142"/>
      <c r="G219" s="142"/>
      <c r="H219" s="142"/>
      <c r="I219" s="142"/>
      <c r="J219" s="142"/>
      <c r="K219" s="92"/>
      <c r="L219" s="92"/>
      <c r="M219" s="92"/>
      <c r="N219" s="92"/>
      <c r="O219" s="92"/>
      <c r="P219" s="92"/>
    </row>
    <row r="220" spans="1:16" x14ac:dyDescent="0.2">
      <c r="A220" s="130" t="s">
        <v>161</v>
      </c>
      <c r="B220" s="139" t="s">
        <v>155</v>
      </c>
      <c r="C220" s="140" t="s">
        <v>66</v>
      </c>
      <c r="D220" s="170" t="s">
        <v>180</v>
      </c>
      <c r="E220" s="173" t="s">
        <v>181</v>
      </c>
      <c r="F220" s="142"/>
      <c r="G220" s="142"/>
      <c r="H220" s="142"/>
      <c r="I220" s="142"/>
      <c r="J220" s="142"/>
      <c r="K220" s="92"/>
      <c r="L220" s="92"/>
      <c r="M220" s="92"/>
      <c r="N220" s="92"/>
      <c r="O220" s="92"/>
      <c r="P220" s="92"/>
    </row>
    <row r="221" spans="1:16" x14ac:dyDescent="0.2">
      <c r="A221" s="130" t="s">
        <v>161</v>
      </c>
      <c r="B221" s="139" t="s">
        <v>23</v>
      </c>
      <c r="C221" s="140" t="s">
        <v>38</v>
      </c>
      <c r="D221" s="170" t="s">
        <v>39</v>
      </c>
      <c r="E221" s="173" t="s">
        <v>40</v>
      </c>
      <c r="F221" s="142"/>
      <c r="G221" s="142"/>
      <c r="H221" s="142"/>
      <c r="I221" s="142"/>
      <c r="J221" s="142"/>
      <c r="K221" s="92"/>
      <c r="L221" s="92"/>
      <c r="M221" s="92"/>
      <c r="N221" s="92"/>
      <c r="O221" s="92"/>
      <c r="P221" s="92"/>
    </row>
    <row r="222" spans="1:16" x14ac:dyDescent="0.2">
      <c r="A222" s="130" t="s">
        <v>161</v>
      </c>
      <c r="B222" s="139" t="s">
        <v>23</v>
      </c>
      <c r="C222" s="140" t="s">
        <v>38</v>
      </c>
      <c r="D222" s="150" t="s">
        <v>53</v>
      </c>
      <c r="E222" s="173" t="s">
        <v>54</v>
      </c>
      <c r="F222" s="142"/>
      <c r="G222" s="142"/>
      <c r="H222" s="142"/>
      <c r="I222" s="142"/>
      <c r="J222" s="142"/>
      <c r="K222" s="92"/>
      <c r="L222" s="92"/>
      <c r="M222" s="92"/>
      <c r="N222" s="92"/>
      <c r="O222" s="92"/>
      <c r="P222" s="92"/>
    </row>
    <row r="223" spans="1:16" x14ac:dyDescent="0.2">
      <c r="A223" s="130" t="s">
        <v>161</v>
      </c>
      <c r="B223" s="139" t="s">
        <v>23</v>
      </c>
      <c r="C223" s="140" t="s">
        <v>38</v>
      </c>
      <c r="D223" s="170" t="s">
        <v>174</v>
      </c>
      <c r="E223" s="173" t="s">
        <v>175</v>
      </c>
      <c r="F223" s="142"/>
      <c r="G223" s="142"/>
      <c r="H223" s="142"/>
      <c r="I223" s="142"/>
      <c r="J223" s="142"/>
      <c r="K223" s="92"/>
      <c r="L223" s="92"/>
      <c r="M223" s="92"/>
      <c r="N223" s="92"/>
      <c r="O223" s="92"/>
      <c r="P223" s="92"/>
    </row>
    <row r="224" spans="1:16" x14ac:dyDescent="0.2">
      <c r="A224" s="130" t="s">
        <v>161</v>
      </c>
      <c r="B224" s="139" t="s">
        <v>23</v>
      </c>
      <c r="C224" s="140" t="s">
        <v>38</v>
      </c>
      <c r="D224" s="170" t="s">
        <v>91</v>
      </c>
      <c r="E224" s="173" t="s">
        <v>92</v>
      </c>
      <c r="F224" s="142"/>
      <c r="G224" s="142"/>
      <c r="H224" s="142"/>
      <c r="I224" s="142"/>
      <c r="J224" s="142"/>
      <c r="K224" s="92"/>
      <c r="L224" s="92"/>
      <c r="M224" s="92"/>
      <c r="N224" s="92"/>
      <c r="O224" s="92"/>
      <c r="P224" s="92"/>
    </row>
    <row r="225" spans="1:16" x14ac:dyDescent="0.2">
      <c r="A225" s="130" t="s">
        <v>161</v>
      </c>
      <c r="B225" s="139" t="s">
        <v>23</v>
      </c>
      <c r="C225" s="140" t="s">
        <v>38</v>
      </c>
      <c r="D225" s="150" t="s">
        <v>95</v>
      </c>
      <c r="E225" s="173" t="s">
        <v>96</v>
      </c>
      <c r="F225" s="142"/>
      <c r="G225" s="142"/>
      <c r="H225" s="142"/>
      <c r="I225" s="142"/>
      <c r="J225" s="142"/>
      <c r="K225" s="92"/>
      <c r="L225" s="92"/>
      <c r="M225" s="92"/>
      <c r="N225" s="92"/>
      <c r="O225" s="92"/>
      <c r="P225" s="92"/>
    </row>
    <row r="226" spans="1:16" x14ac:dyDescent="0.2">
      <c r="A226" s="130" t="s">
        <v>161</v>
      </c>
      <c r="B226" s="139" t="s">
        <v>23</v>
      </c>
      <c r="C226" s="140" t="s">
        <v>38</v>
      </c>
      <c r="D226" s="170" t="s">
        <v>178</v>
      </c>
      <c r="E226" s="173" t="s">
        <v>179</v>
      </c>
      <c r="F226" s="142"/>
      <c r="G226" s="142"/>
      <c r="H226" s="142"/>
      <c r="I226" s="142"/>
      <c r="J226" s="142"/>
      <c r="K226" s="92"/>
      <c r="L226" s="92"/>
      <c r="M226" s="92"/>
      <c r="N226" s="92"/>
      <c r="O226" s="92"/>
      <c r="P226" s="92"/>
    </row>
    <row r="227" spans="1:16" x14ac:dyDescent="0.2">
      <c r="A227" s="130" t="s">
        <v>161</v>
      </c>
      <c r="B227" s="139" t="s">
        <v>23</v>
      </c>
      <c r="C227" s="140" t="s">
        <v>38</v>
      </c>
      <c r="D227" s="150" t="s">
        <v>134</v>
      </c>
      <c r="E227" s="173" t="s">
        <v>135</v>
      </c>
      <c r="F227" s="142"/>
      <c r="G227" s="142"/>
      <c r="H227" s="142"/>
      <c r="I227" s="142"/>
      <c r="J227" s="142"/>
      <c r="K227" s="92"/>
      <c r="L227" s="92"/>
      <c r="M227" s="92"/>
      <c r="N227" s="92"/>
      <c r="O227" s="92"/>
      <c r="P227" s="92"/>
    </row>
    <row r="228" spans="1:16" x14ac:dyDescent="0.2">
      <c r="A228" s="130" t="s">
        <v>161</v>
      </c>
      <c r="B228" s="139" t="s">
        <v>23</v>
      </c>
      <c r="C228" s="140" t="s">
        <v>38</v>
      </c>
      <c r="D228" s="150" t="s">
        <v>138</v>
      </c>
      <c r="E228" s="173" t="s">
        <v>139</v>
      </c>
      <c r="F228" s="142"/>
      <c r="G228" s="142"/>
      <c r="H228" s="142"/>
      <c r="I228" s="142"/>
      <c r="J228" s="142"/>
      <c r="K228" s="92"/>
      <c r="L228" s="92"/>
      <c r="M228" s="92"/>
      <c r="N228" s="92"/>
      <c r="O228" s="92"/>
      <c r="P228" s="92"/>
    </row>
    <row r="229" spans="1:16" x14ac:dyDescent="0.2">
      <c r="A229" s="130" t="s">
        <v>161</v>
      </c>
      <c r="B229" s="139" t="s">
        <v>20</v>
      </c>
      <c r="C229" s="140" t="s">
        <v>37</v>
      </c>
      <c r="D229" s="150" t="s">
        <v>162</v>
      </c>
      <c r="E229" s="173" t="s">
        <v>163</v>
      </c>
      <c r="F229" s="142"/>
      <c r="G229" s="142"/>
      <c r="H229" s="142"/>
      <c r="I229" s="142"/>
      <c r="J229" s="142"/>
      <c r="K229" s="92"/>
      <c r="L229" s="92"/>
      <c r="M229" s="92"/>
      <c r="N229" s="92"/>
      <c r="O229" s="92"/>
      <c r="P229" s="92"/>
    </row>
    <row r="230" spans="1:16" x14ac:dyDescent="0.2">
      <c r="A230" s="130" t="s">
        <v>161</v>
      </c>
      <c r="B230" s="139" t="s">
        <v>20</v>
      </c>
      <c r="C230" s="140" t="s">
        <v>37</v>
      </c>
      <c r="D230" s="150" t="s">
        <v>37</v>
      </c>
      <c r="E230" s="173" t="s">
        <v>77</v>
      </c>
      <c r="F230" s="142"/>
      <c r="G230" s="142"/>
      <c r="H230" s="142"/>
      <c r="I230" s="142"/>
      <c r="J230" s="142"/>
      <c r="K230" s="92"/>
      <c r="L230" s="92"/>
      <c r="M230" s="92"/>
      <c r="N230" s="92"/>
      <c r="O230" s="92"/>
      <c r="P230" s="92"/>
    </row>
    <row r="231" spans="1:16" x14ac:dyDescent="0.2">
      <c r="A231" s="130" t="s">
        <v>161</v>
      </c>
      <c r="B231" s="139" t="s">
        <v>20</v>
      </c>
      <c r="C231" s="140" t="s">
        <v>37</v>
      </c>
      <c r="D231" s="170" t="s">
        <v>121</v>
      </c>
      <c r="E231" s="173" t="s">
        <v>122</v>
      </c>
      <c r="F231" s="142"/>
      <c r="G231" s="142"/>
      <c r="H231" s="142"/>
      <c r="I231" s="142"/>
      <c r="J231" s="142"/>
      <c r="K231" s="92"/>
      <c r="L231" s="92"/>
      <c r="M231" s="92"/>
      <c r="N231" s="92"/>
      <c r="O231" s="92"/>
      <c r="P231" s="92"/>
    </row>
    <row r="232" spans="1:16" x14ac:dyDescent="0.2">
      <c r="A232" s="130" t="s">
        <v>161</v>
      </c>
      <c r="B232" s="139" t="s">
        <v>20</v>
      </c>
      <c r="C232" s="140" t="s">
        <v>37</v>
      </c>
      <c r="D232" s="150" t="s">
        <v>152</v>
      </c>
      <c r="E232" s="173" t="s">
        <v>153</v>
      </c>
      <c r="F232" s="142"/>
      <c r="G232" s="142"/>
      <c r="H232" s="142"/>
      <c r="I232" s="142"/>
      <c r="J232" s="142"/>
      <c r="K232" s="92"/>
      <c r="L232" s="92"/>
      <c r="M232" s="92"/>
      <c r="N232" s="92"/>
      <c r="O232" s="92"/>
      <c r="P232" s="92"/>
    </row>
    <row r="233" spans="1:16" x14ac:dyDescent="0.2">
      <c r="A233" s="130" t="s">
        <v>161</v>
      </c>
      <c r="B233" s="139" t="s">
        <v>20</v>
      </c>
      <c r="C233" s="140" t="s">
        <v>34</v>
      </c>
      <c r="D233" s="150" t="s">
        <v>35</v>
      </c>
      <c r="E233" s="173" t="s">
        <v>36</v>
      </c>
      <c r="F233" s="142"/>
      <c r="G233" s="142"/>
      <c r="H233" s="142"/>
      <c r="I233" s="142"/>
      <c r="J233" s="142"/>
      <c r="K233" s="92"/>
      <c r="L233" s="92"/>
      <c r="M233" s="92"/>
      <c r="N233" s="92"/>
      <c r="O233" s="92"/>
      <c r="P233" s="92"/>
    </row>
    <row r="234" spans="1:16" x14ac:dyDescent="0.2">
      <c r="A234" s="130" t="s">
        <v>161</v>
      </c>
      <c r="B234" s="139" t="s">
        <v>20</v>
      </c>
      <c r="C234" s="140" t="s">
        <v>34</v>
      </c>
      <c r="D234" s="150" t="s">
        <v>164</v>
      </c>
      <c r="E234" s="173" t="s">
        <v>165</v>
      </c>
      <c r="F234" s="142"/>
      <c r="G234" s="142"/>
      <c r="H234" s="142"/>
      <c r="I234" s="142"/>
      <c r="J234" s="142"/>
      <c r="K234" s="92"/>
      <c r="L234" s="92"/>
      <c r="M234" s="92"/>
      <c r="N234" s="92"/>
      <c r="O234" s="92"/>
      <c r="P234" s="92"/>
    </row>
    <row r="235" spans="1:16" x14ac:dyDescent="0.2">
      <c r="A235" s="130" t="s">
        <v>161</v>
      </c>
      <c r="B235" s="139" t="s">
        <v>20</v>
      </c>
      <c r="C235" s="140" t="s">
        <v>34</v>
      </c>
      <c r="D235" s="170" t="s">
        <v>49</v>
      </c>
      <c r="E235" s="173" t="s">
        <v>50</v>
      </c>
      <c r="F235" s="142"/>
      <c r="G235" s="142"/>
      <c r="H235" s="142"/>
      <c r="I235" s="142"/>
      <c r="J235" s="142"/>
      <c r="K235" s="92"/>
      <c r="L235" s="92"/>
      <c r="M235" s="92"/>
      <c r="N235" s="92"/>
      <c r="O235" s="92"/>
      <c r="P235" s="92"/>
    </row>
    <row r="236" spans="1:16" x14ac:dyDescent="0.2">
      <c r="A236" s="130" t="s">
        <v>161</v>
      </c>
      <c r="B236" s="139" t="s">
        <v>20</v>
      </c>
      <c r="C236" s="140" t="s">
        <v>34</v>
      </c>
      <c r="D236" s="170" t="s">
        <v>62</v>
      </c>
      <c r="E236" s="173" t="s">
        <v>63</v>
      </c>
      <c r="F236" s="142"/>
      <c r="G236" s="142"/>
      <c r="H236" s="142"/>
      <c r="I236" s="142"/>
      <c r="J236" s="142"/>
      <c r="K236" s="92"/>
      <c r="L236" s="92"/>
      <c r="M236" s="92"/>
      <c r="N236" s="92"/>
      <c r="O236" s="92"/>
      <c r="P236" s="92"/>
    </row>
    <row r="237" spans="1:16" x14ac:dyDescent="0.2">
      <c r="A237" s="130" t="s">
        <v>161</v>
      </c>
      <c r="B237" s="139" t="s">
        <v>20</v>
      </c>
      <c r="C237" s="140" t="s">
        <v>34</v>
      </c>
      <c r="D237" s="150" t="s">
        <v>113</v>
      </c>
      <c r="E237" s="173" t="s">
        <v>114</v>
      </c>
      <c r="F237" s="142"/>
      <c r="G237" s="142"/>
      <c r="H237" s="142"/>
      <c r="I237" s="142"/>
      <c r="J237" s="142"/>
      <c r="K237" s="92"/>
      <c r="L237" s="92"/>
      <c r="M237" s="92"/>
      <c r="N237" s="92"/>
      <c r="O237" s="92"/>
      <c r="P237" s="92"/>
    </row>
    <row r="238" spans="1:16" x14ac:dyDescent="0.2">
      <c r="A238" s="130" t="s">
        <v>161</v>
      </c>
      <c r="B238" s="139" t="s">
        <v>20</v>
      </c>
      <c r="C238" s="140" t="s">
        <v>34</v>
      </c>
      <c r="D238" s="170" t="s">
        <v>144</v>
      </c>
      <c r="E238" s="173" t="s">
        <v>145</v>
      </c>
      <c r="F238" s="142"/>
      <c r="G238" s="142"/>
      <c r="H238" s="142"/>
      <c r="I238" s="142"/>
      <c r="J238" s="142"/>
      <c r="K238" s="92"/>
      <c r="L238" s="92"/>
      <c r="M238" s="92"/>
      <c r="N238" s="92"/>
      <c r="O238" s="92"/>
      <c r="P238" s="92"/>
    </row>
    <row r="239" spans="1:16" x14ac:dyDescent="0.2">
      <c r="A239" s="130" t="s">
        <v>161</v>
      </c>
      <c r="B239" s="139" t="s">
        <v>20</v>
      </c>
      <c r="C239" s="140" t="s">
        <v>34</v>
      </c>
      <c r="D239" s="150" t="s">
        <v>150</v>
      </c>
      <c r="E239" s="173" t="s">
        <v>151</v>
      </c>
      <c r="F239" s="142"/>
      <c r="G239" s="142"/>
      <c r="H239" s="142"/>
      <c r="I239" s="142"/>
      <c r="J239" s="142"/>
      <c r="K239" s="92"/>
      <c r="L239" s="92"/>
      <c r="M239" s="92"/>
      <c r="N239" s="92"/>
      <c r="O239" s="92"/>
      <c r="P239" s="92"/>
    </row>
    <row r="240" spans="1:16" x14ac:dyDescent="0.2">
      <c r="A240" s="130" t="s">
        <v>161</v>
      </c>
      <c r="B240" s="139" t="s">
        <v>23</v>
      </c>
      <c r="C240" s="140" t="s">
        <v>24</v>
      </c>
      <c r="D240" s="170" t="s">
        <v>25</v>
      </c>
      <c r="E240" s="173" t="s">
        <v>26</v>
      </c>
      <c r="F240" s="142"/>
      <c r="G240" s="142"/>
      <c r="H240" s="142"/>
      <c r="I240" s="142"/>
      <c r="J240" s="142"/>
      <c r="K240" s="92"/>
      <c r="L240" s="92"/>
      <c r="M240" s="92"/>
      <c r="N240" s="92"/>
      <c r="O240" s="92"/>
      <c r="P240" s="92"/>
    </row>
    <row r="241" spans="1:16" x14ac:dyDescent="0.2">
      <c r="A241" s="130" t="s">
        <v>161</v>
      </c>
      <c r="B241" s="139" t="s">
        <v>23</v>
      </c>
      <c r="C241" s="140" t="s">
        <v>24</v>
      </c>
      <c r="D241" s="150" t="s">
        <v>47</v>
      </c>
      <c r="E241" s="173" t="s">
        <v>48</v>
      </c>
      <c r="F241" s="142"/>
      <c r="G241" s="142"/>
      <c r="H241" s="142"/>
      <c r="I241" s="142"/>
      <c r="J241" s="142"/>
      <c r="K241" s="92"/>
      <c r="L241" s="92"/>
      <c r="M241" s="92"/>
      <c r="N241" s="92"/>
      <c r="O241" s="92"/>
      <c r="P241" s="92"/>
    </row>
    <row r="242" spans="1:16" x14ac:dyDescent="0.2">
      <c r="A242" s="130" t="s">
        <v>161</v>
      </c>
      <c r="B242" s="139" t="s">
        <v>23</v>
      </c>
      <c r="C242" s="140" t="s">
        <v>24</v>
      </c>
      <c r="D242" s="150" t="s">
        <v>51</v>
      </c>
      <c r="E242" s="173" t="s">
        <v>52</v>
      </c>
      <c r="F242" s="142"/>
      <c r="G242" s="142"/>
      <c r="H242" s="142"/>
      <c r="I242" s="142"/>
      <c r="J242" s="142"/>
      <c r="K242" s="92"/>
      <c r="L242" s="92"/>
      <c r="M242" s="92"/>
      <c r="N242" s="92"/>
      <c r="O242" s="92"/>
      <c r="P242" s="92"/>
    </row>
    <row r="243" spans="1:16" x14ac:dyDescent="0.2">
      <c r="A243" s="130" t="s">
        <v>161</v>
      </c>
      <c r="B243" s="139" t="s">
        <v>23</v>
      </c>
      <c r="C243" s="140" t="s">
        <v>24</v>
      </c>
      <c r="D243" s="170" t="s">
        <v>168</v>
      </c>
      <c r="E243" s="173" t="s">
        <v>169</v>
      </c>
      <c r="F243" s="142"/>
      <c r="G243" s="142"/>
      <c r="H243" s="142"/>
      <c r="I243" s="142"/>
      <c r="J243" s="142"/>
      <c r="K243" s="92"/>
      <c r="L243" s="92"/>
      <c r="M243" s="92"/>
      <c r="N243" s="92"/>
      <c r="O243" s="92"/>
      <c r="P243" s="92"/>
    </row>
    <row r="244" spans="1:16" x14ac:dyDescent="0.2">
      <c r="A244" s="130" t="s">
        <v>161</v>
      </c>
      <c r="B244" s="139" t="s">
        <v>23</v>
      </c>
      <c r="C244" s="140" t="s">
        <v>24</v>
      </c>
      <c r="D244" s="170" t="s">
        <v>170</v>
      </c>
      <c r="E244" s="173" t="s">
        <v>171</v>
      </c>
      <c r="F244" s="142"/>
      <c r="G244" s="142"/>
      <c r="H244" s="142"/>
      <c r="I244" s="142"/>
      <c r="J244" s="142"/>
      <c r="K244" s="92"/>
      <c r="L244" s="92"/>
      <c r="M244" s="92"/>
      <c r="N244" s="92"/>
      <c r="O244" s="92"/>
      <c r="P244" s="92"/>
    </row>
    <row r="245" spans="1:16" x14ac:dyDescent="0.2">
      <c r="A245" s="130" t="s">
        <v>161</v>
      </c>
      <c r="B245" s="139" t="s">
        <v>23</v>
      </c>
      <c r="C245" s="140" t="s">
        <v>24</v>
      </c>
      <c r="D245" s="170" t="s">
        <v>82</v>
      </c>
      <c r="E245" s="173" t="s">
        <v>83</v>
      </c>
      <c r="F245" s="142"/>
      <c r="G245" s="142"/>
      <c r="H245" s="142"/>
      <c r="I245" s="142"/>
      <c r="J245" s="142"/>
      <c r="K245" s="92"/>
      <c r="L245" s="92"/>
      <c r="M245" s="92"/>
      <c r="N245" s="92"/>
      <c r="O245" s="92"/>
      <c r="P245" s="92"/>
    </row>
    <row r="246" spans="1:16" x14ac:dyDescent="0.2">
      <c r="A246" s="130" t="s">
        <v>161</v>
      </c>
      <c r="B246" s="139" t="s">
        <v>23</v>
      </c>
      <c r="C246" s="140" t="s">
        <v>24</v>
      </c>
      <c r="D246" s="170" t="s">
        <v>84</v>
      </c>
      <c r="E246" s="173" t="s">
        <v>85</v>
      </c>
      <c r="F246" s="142"/>
      <c r="G246" s="142"/>
      <c r="H246" s="142"/>
      <c r="I246" s="142"/>
      <c r="J246" s="142"/>
      <c r="K246" s="92"/>
      <c r="L246" s="92"/>
      <c r="M246" s="92"/>
      <c r="N246" s="92"/>
      <c r="O246" s="92"/>
      <c r="P246" s="92"/>
    </row>
    <row r="247" spans="1:16" x14ac:dyDescent="0.2">
      <c r="A247" s="130" t="s">
        <v>161</v>
      </c>
      <c r="B247" s="139" t="s">
        <v>23</v>
      </c>
      <c r="C247" s="140" t="s">
        <v>24</v>
      </c>
      <c r="D247" s="170" t="s">
        <v>89</v>
      </c>
      <c r="E247" s="173" t="s">
        <v>90</v>
      </c>
      <c r="F247" s="142"/>
      <c r="G247" s="142"/>
      <c r="H247" s="142"/>
      <c r="I247" s="142"/>
      <c r="J247" s="142"/>
      <c r="K247" s="92"/>
      <c r="L247" s="92"/>
      <c r="M247" s="92"/>
      <c r="N247" s="92"/>
      <c r="O247" s="92"/>
      <c r="P247" s="92"/>
    </row>
    <row r="248" spans="1:16" x14ac:dyDescent="0.2">
      <c r="A248" s="130" t="s">
        <v>161</v>
      </c>
      <c r="B248" s="139" t="s">
        <v>23</v>
      </c>
      <c r="C248" s="140" t="s">
        <v>24</v>
      </c>
      <c r="D248" s="170" t="s">
        <v>176</v>
      </c>
      <c r="E248" s="173" t="s">
        <v>177</v>
      </c>
      <c r="F248" s="142"/>
      <c r="G248" s="142"/>
      <c r="H248" s="142"/>
      <c r="I248" s="142"/>
      <c r="J248" s="142"/>
      <c r="K248" s="92"/>
      <c r="L248" s="92"/>
      <c r="M248" s="92"/>
      <c r="N248" s="92"/>
      <c r="O248" s="92"/>
      <c r="P248" s="92"/>
    </row>
    <row r="249" spans="1:16" x14ac:dyDescent="0.2">
      <c r="A249" s="130" t="s">
        <v>161</v>
      </c>
      <c r="B249" s="139" t="s">
        <v>23</v>
      </c>
      <c r="C249" s="140" t="s">
        <v>24</v>
      </c>
      <c r="D249" s="170" t="s">
        <v>93</v>
      </c>
      <c r="E249" s="173" t="s">
        <v>94</v>
      </c>
      <c r="F249" s="142"/>
      <c r="G249" s="142"/>
      <c r="H249" s="142"/>
      <c r="I249" s="142"/>
      <c r="J249" s="142"/>
      <c r="K249" s="92"/>
      <c r="L249" s="92"/>
      <c r="M249" s="92"/>
      <c r="N249" s="92"/>
      <c r="O249" s="92"/>
      <c r="P249" s="92"/>
    </row>
    <row r="250" spans="1:16" x14ac:dyDescent="0.2">
      <c r="A250" s="130" t="s">
        <v>161</v>
      </c>
      <c r="B250" s="139" t="s">
        <v>23</v>
      </c>
      <c r="C250" s="140" t="s">
        <v>24</v>
      </c>
      <c r="D250" s="170" t="s">
        <v>102</v>
      </c>
      <c r="E250" s="173" t="s">
        <v>103</v>
      </c>
      <c r="F250" s="142"/>
      <c r="G250" s="142"/>
      <c r="H250" s="142"/>
      <c r="I250" s="142"/>
      <c r="J250" s="142"/>
      <c r="K250" s="92"/>
      <c r="L250" s="92"/>
      <c r="M250" s="92"/>
      <c r="N250" s="92"/>
      <c r="O250" s="92"/>
      <c r="P250" s="92"/>
    </row>
    <row r="251" spans="1:16" x14ac:dyDescent="0.2">
      <c r="A251" s="130" t="s">
        <v>161</v>
      </c>
      <c r="B251" s="139" t="s">
        <v>23</v>
      </c>
      <c r="C251" s="140" t="s">
        <v>24</v>
      </c>
      <c r="D251" s="150" t="s">
        <v>107</v>
      </c>
      <c r="E251" s="173" t="s">
        <v>108</v>
      </c>
      <c r="F251" s="142"/>
      <c r="G251" s="142"/>
      <c r="H251" s="142"/>
      <c r="I251" s="142"/>
      <c r="J251" s="142"/>
      <c r="K251" s="92"/>
      <c r="L251" s="92"/>
      <c r="M251" s="92"/>
      <c r="N251" s="92"/>
      <c r="O251" s="92"/>
      <c r="P251" s="92"/>
    </row>
    <row r="252" spans="1:16" x14ac:dyDescent="0.2">
      <c r="A252" s="130" t="s">
        <v>161</v>
      </c>
      <c r="B252" s="139" t="s">
        <v>23</v>
      </c>
      <c r="C252" s="140" t="s">
        <v>104</v>
      </c>
      <c r="D252" s="170" t="s">
        <v>105</v>
      </c>
      <c r="E252" s="173" t="s">
        <v>106</v>
      </c>
      <c r="F252" s="142"/>
      <c r="G252" s="142"/>
      <c r="H252" s="142"/>
      <c r="I252" s="142"/>
      <c r="J252" s="142"/>
      <c r="K252" s="92"/>
      <c r="L252" s="92"/>
      <c r="M252" s="92"/>
      <c r="N252" s="92"/>
      <c r="O252" s="92"/>
      <c r="P252" s="92"/>
    </row>
    <row r="253" spans="1:16" x14ac:dyDescent="0.2">
      <c r="A253" s="130" t="s">
        <v>161</v>
      </c>
      <c r="B253" s="139" t="s">
        <v>23</v>
      </c>
      <c r="C253" s="140" t="s">
        <v>104</v>
      </c>
      <c r="D253" s="170" t="s">
        <v>140</v>
      </c>
      <c r="E253" s="173" t="s">
        <v>141</v>
      </c>
      <c r="F253" s="142"/>
      <c r="G253" s="142"/>
      <c r="H253" s="142"/>
      <c r="I253" s="142"/>
      <c r="J253" s="142"/>
      <c r="K253" s="92"/>
      <c r="L253" s="92"/>
      <c r="M253" s="92"/>
      <c r="N253" s="92"/>
      <c r="O253" s="92"/>
      <c r="P253" s="92"/>
    </row>
    <row r="254" spans="1:16" x14ac:dyDescent="0.2">
      <c r="A254" s="140" t="s">
        <v>182</v>
      </c>
      <c r="B254" s="140" t="s">
        <v>71</v>
      </c>
      <c r="C254" s="140" t="s">
        <v>66</v>
      </c>
      <c r="D254" s="149" t="s">
        <v>564</v>
      </c>
      <c r="E254" s="139" t="s">
        <v>653</v>
      </c>
      <c r="F254" s="143"/>
      <c r="G254" s="142"/>
      <c r="H254" s="142"/>
      <c r="I254" s="142"/>
      <c r="J254" s="142"/>
      <c r="K254" s="92"/>
      <c r="L254" s="92"/>
      <c r="M254" s="92"/>
      <c r="N254" s="92"/>
      <c r="O254" s="92"/>
      <c r="P254" s="92"/>
    </row>
    <row r="255" spans="1:16" x14ac:dyDescent="0.2">
      <c r="A255" s="140" t="s">
        <v>182</v>
      </c>
      <c r="B255" s="140" t="s">
        <v>71</v>
      </c>
      <c r="C255" s="140" t="s">
        <v>66</v>
      </c>
      <c r="D255" s="149" t="s">
        <v>568</v>
      </c>
      <c r="E255" s="139" t="s">
        <v>654</v>
      </c>
      <c r="F255" s="143"/>
      <c r="G255" s="142"/>
      <c r="H255" s="142"/>
      <c r="I255" s="142"/>
      <c r="J255" s="142"/>
      <c r="K255" s="92"/>
      <c r="L255" s="92"/>
      <c r="M255" s="92"/>
      <c r="N255" s="92"/>
      <c r="O255" s="92"/>
      <c r="P255" s="92"/>
    </row>
    <row r="256" spans="1:16" x14ac:dyDescent="0.2">
      <c r="A256" s="140" t="s">
        <v>182</v>
      </c>
      <c r="B256" s="140" t="s">
        <v>71</v>
      </c>
      <c r="C256" s="140" t="s">
        <v>66</v>
      </c>
      <c r="D256" s="149" t="s">
        <v>183</v>
      </c>
      <c r="E256" s="139" t="s">
        <v>184</v>
      </c>
      <c r="F256" s="143"/>
      <c r="G256" s="142"/>
      <c r="H256" s="142"/>
      <c r="I256" s="142"/>
      <c r="J256" s="142"/>
      <c r="K256" s="92"/>
      <c r="L256" s="92"/>
      <c r="M256" s="92"/>
      <c r="N256" s="92"/>
      <c r="O256" s="92"/>
      <c r="P256" s="92"/>
    </row>
    <row r="257" spans="1:16" x14ac:dyDescent="0.2">
      <c r="A257" s="140" t="s">
        <v>182</v>
      </c>
      <c r="B257" s="140" t="s">
        <v>71</v>
      </c>
      <c r="C257" s="140" t="s">
        <v>66</v>
      </c>
      <c r="D257" s="149" t="s">
        <v>185</v>
      </c>
      <c r="E257" s="139" t="s">
        <v>72</v>
      </c>
      <c r="F257" s="143"/>
      <c r="G257" s="142"/>
      <c r="H257" s="142"/>
      <c r="I257" s="142"/>
      <c r="J257" s="142"/>
      <c r="K257" s="92"/>
      <c r="L257" s="92"/>
      <c r="M257" s="92"/>
      <c r="N257" s="92"/>
      <c r="O257" s="92"/>
      <c r="P257" s="92"/>
    </row>
    <row r="258" spans="1:16" x14ac:dyDescent="0.2">
      <c r="A258" s="140" t="s">
        <v>182</v>
      </c>
      <c r="B258" s="140" t="s">
        <v>71</v>
      </c>
      <c r="C258" s="140" t="s">
        <v>66</v>
      </c>
      <c r="D258" s="149" t="s">
        <v>572</v>
      </c>
      <c r="E258" s="139" t="s">
        <v>655</v>
      </c>
      <c r="F258" s="142"/>
      <c r="G258" s="142"/>
      <c r="H258" s="142"/>
      <c r="I258" s="142"/>
      <c r="J258" s="142"/>
      <c r="K258" s="92"/>
      <c r="L258" s="92"/>
      <c r="M258" s="92"/>
      <c r="N258" s="92"/>
      <c r="O258" s="92"/>
      <c r="P258" s="92"/>
    </row>
    <row r="259" spans="1:16" x14ac:dyDescent="0.2">
      <c r="A259" s="140" t="s">
        <v>182</v>
      </c>
      <c r="B259" s="140" t="s">
        <v>71</v>
      </c>
      <c r="C259" s="140" t="s">
        <v>66</v>
      </c>
      <c r="D259" s="149" t="s">
        <v>230</v>
      </c>
      <c r="E259" s="139" t="s">
        <v>231</v>
      </c>
      <c r="F259" s="143"/>
      <c r="G259" s="142"/>
      <c r="H259" s="142"/>
      <c r="I259" s="142"/>
      <c r="J259" s="142"/>
      <c r="K259" s="92"/>
      <c r="L259" s="92"/>
      <c r="M259" s="92"/>
      <c r="N259" s="92"/>
      <c r="O259" s="92"/>
      <c r="P259" s="92"/>
    </row>
    <row r="260" spans="1:16" x14ac:dyDescent="0.2">
      <c r="A260" s="140" t="s">
        <v>182</v>
      </c>
      <c r="B260" s="140" t="s">
        <v>71</v>
      </c>
      <c r="C260" s="140" t="s">
        <v>66</v>
      </c>
      <c r="D260" s="149" t="s">
        <v>575</v>
      </c>
      <c r="E260" s="139" t="s">
        <v>656</v>
      </c>
      <c r="F260" s="143"/>
      <c r="G260" s="142"/>
      <c r="H260" s="142"/>
      <c r="I260" s="142"/>
      <c r="J260" s="142"/>
      <c r="K260" s="92"/>
      <c r="L260" s="92"/>
      <c r="M260" s="92"/>
      <c r="N260" s="92"/>
      <c r="O260" s="92"/>
      <c r="P260" s="92"/>
    </row>
    <row r="261" spans="1:16" x14ac:dyDescent="0.2">
      <c r="A261" s="140" t="s">
        <v>182</v>
      </c>
      <c r="B261" s="140" t="s">
        <v>71</v>
      </c>
      <c r="C261" s="140" t="s">
        <v>66</v>
      </c>
      <c r="D261" s="149" t="s">
        <v>577</v>
      </c>
      <c r="E261" s="139" t="s">
        <v>657</v>
      </c>
      <c r="F261" s="143"/>
      <c r="G261" s="142"/>
      <c r="H261" s="142"/>
      <c r="I261" s="142"/>
      <c r="J261" s="142"/>
      <c r="K261" s="92"/>
      <c r="L261" s="92"/>
      <c r="M261" s="92"/>
      <c r="N261" s="92"/>
      <c r="O261" s="92"/>
      <c r="P261" s="92"/>
    </row>
    <row r="262" spans="1:16" x14ac:dyDescent="0.2">
      <c r="A262" s="140" t="s">
        <v>182</v>
      </c>
      <c r="B262" s="140" t="s">
        <v>71</v>
      </c>
      <c r="C262" s="140" t="s">
        <v>66</v>
      </c>
      <c r="D262" s="149" t="s">
        <v>579</v>
      </c>
      <c r="E262" s="139" t="s">
        <v>658</v>
      </c>
      <c r="F262" s="143"/>
      <c r="G262" s="142"/>
      <c r="H262" s="142"/>
      <c r="I262" s="142"/>
      <c r="J262" s="142"/>
      <c r="K262" s="92"/>
      <c r="L262" s="92"/>
      <c r="M262" s="92"/>
      <c r="N262" s="92"/>
      <c r="O262" s="92"/>
      <c r="P262" s="92"/>
    </row>
    <row r="263" spans="1:16" x14ac:dyDescent="0.2">
      <c r="A263" s="140" t="s">
        <v>182</v>
      </c>
      <c r="B263" s="140" t="s">
        <v>71</v>
      </c>
      <c r="C263" s="140" t="s">
        <v>66</v>
      </c>
      <c r="D263" s="149" t="s">
        <v>581</v>
      </c>
      <c r="E263" s="139" t="s">
        <v>659</v>
      </c>
      <c r="F263" s="143"/>
      <c r="G263" s="142"/>
      <c r="H263" s="142"/>
      <c r="I263" s="142"/>
      <c r="J263" s="142"/>
      <c r="K263" s="92"/>
      <c r="L263" s="92"/>
      <c r="M263" s="92"/>
      <c r="N263" s="92"/>
      <c r="O263" s="92"/>
      <c r="P263" s="92"/>
    </row>
    <row r="264" spans="1:16" x14ac:dyDescent="0.2">
      <c r="A264" s="140" t="s">
        <v>182</v>
      </c>
      <c r="B264" s="140" t="s">
        <v>20</v>
      </c>
      <c r="C264" s="140" t="s">
        <v>66</v>
      </c>
      <c r="D264" s="149" t="s">
        <v>21</v>
      </c>
      <c r="E264" s="139" t="s">
        <v>22</v>
      </c>
      <c r="F264" s="143"/>
      <c r="G264" s="142"/>
      <c r="H264" s="142"/>
      <c r="I264" s="142"/>
      <c r="J264" s="142"/>
      <c r="K264" s="92"/>
      <c r="L264" s="92"/>
      <c r="M264" s="92"/>
      <c r="N264" s="92"/>
      <c r="O264" s="92"/>
      <c r="P264" s="92"/>
    </row>
    <row r="265" spans="1:16" x14ac:dyDescent="0.2">
      <c r="A265" s="140" t="s">
        <v>182</v>
      </c>
      <c r="B265" s="140" t="s">
        <v>20</v>
      </c>
      <c r="C265" s="140" t="s">
        <v>34</v>
      </c>
      <c r="D265" s="149" t="s">
        <v>35</v>
      </c>
      <c r="E265" s="139" t="s">
        <v>36</v>
      </c>
      <c r="F265" s="143"/>
      <c r="G265" s="142"/>
      <c r="H265" s="142"/>
      <c r="I265" s="142"/>
      <c r="J265" s="142"/>
      <c r="K265" s="92"/>
      <c r="L265" s="92"/>
      <c r="M265" s="92"/>
      <c r="N265" s="92"/>
      <c r="O265" s="92"/>
      <c r="P265" s="92"/>
    </row>
    <row r="266" spans="1:16" x14ac:dyDescent="0.2">
      <c r="A266" s="140" t="s">
        <v>182</v>
      </c>
      <c r="B266" s="140" t="s">
        <v>20</v>
      </c>
      <c r="C266" s="140" t="s">
        <v>34</v>
      </c>
      <c r="D266" s="149" t="s">
        <v>164</v>
      </c>
      <c r="E266" s="139" t="s">
        <v>165</v>
      </c>
      <c r="F266" s="143"/>
      <c r="G266" s="142"/>
      <c r="H266" s="142"/>
      <c r="I266" s="142"/>
      <c r="J266" s="142"/>
      <c r="K266" s="92"/>
      <c r="L266" s="92"/>
      <c r="M266" s="92"/>
      <c r="N266" s="92"/>
      <c r="O266" s="92"/>
      <c r="P266" s="92"/>
    </row>
    <row r="267" spans="1:16" x14ac:dyDescent="0.2">
      <c r="A267" s="140" t="s">
        <v>182</v>
      </c>
      <c r="B267" s="140" t="s">
        <v>20</v>
      </c>
      <c r="C267" s="140" t="s">
        <v>34</v>
      </c>
      <c r="D267" s="149" t="s">
        <v>49</v>
      </c>
      <c r="E267" s="139" t="s">
        <v>50</v>
      </c>
      <c r="F267" s="143"/>
      <c r="G267" s="143"/>
      <c r="H267" s="143"/>
      <c r="I267" s="143"/>
      <c r="J267" s="143"/>
      <c r="K267" s="92"/>
      <c r="L267" s="92"/>
      <c r="M267" s="92"/>
      <c r="N267" s="92"/>
      <c r="O267" s="92"/>
      <c r="P267" s="92"/>
    </row>
    <row r="268" spans="1:16" x14ac:dyDescent="0.2">
      <c r="A268" s="140" t="s">
        <v>182</v>
      </c>
      <c r="B268" s="140" t="s">
        <v>20</v>
      </c>
      <c r="C268" s="140" t="s">
        <v>34</v>
      </c>
      <c r="D268" s="149" t="s">
        <v>62</v>
      </c>
      <c r="E268" s="139" t="s">
        <v>63</v>
      </c>
      <c r="F268" s="143"/>
      <c r="G268" s="143"/>
      <c r="H268" s="143"/>
      <c r="I268" s="143"/>
      <c r="J268" s="143"/>
      <c r="K268" s="92"/>
      <c r="L268" s="92"/>
      <c r="M268" s="92"/>
      <c r="N268" s="92"/>
      <c r="O268" s="92"/>
      <c r="P268" s="92"/>
    </row>
    <row r="269" spans="1:16" x14ac:dyDescent="0.2">
      <c r="A269" s="140" t="s">
        <v>182</v>
      </c>
      <c r="B269" s="140" t="s">
        <v>20</v>
      </c>
      <c r="C269" s="140" t="s">
        <v>34</v>
      </c>
      <c r="D269" s="149" t="s">
        <v>441</v>
      </c>
      <c r="E269" s="139" t="s">
        <v>729</v>
      </c>
      <c r="F269" s="143"/>
      <c r="G269" s="143"/>
      <c r="H269" s="143"/>
      <c r="I269" s="143"/>
      <c r="J269" s="143"/>
      <c r="K269" s="92"/>
      <c r="L269" s="92"/>
      <c r="M269" s="92"/>
      <c r="N269" s="92"/>
      <c r="O269" s="92"/>
      <c r="P269" s="92"/>
    </row>
    <row r="270" spans="1:16" x14ac:dyDescent="0.2">
      <c r="A270" s="140" t="s">
        <v>182</v>
      </c>
      <c r="B270" s="140" t="s">
        <v>20</v>
      </c>
      <c r="C270" s="140" t="s">
        <v>34</v>
      </c>
      <c r="D270" s="149" t="s">
        <v>113</v>
      </c>
      <c r="E270" s="139" t="s">
        <v>114</v>
      </c>
      <c r="F270" s="143"/>
      <c r="G270" s="143"/>
      <c r="H270" s="143"/>
      <c r="I270" s="143"/>
      <c r="J270" s="143"/>
      <c r="K270" s="92"/>
      <c r="L270" s="92"/>
      <c r="M270" s="92"/>
      <c r="N270" s="92"/>
      <c r="O270" s="92"/>
      <c r="P270" s="92"/>
    </row>
    <row r="271" spans="1:16" x14ac:dyDescent="0.2">
      <c r="A271" s="140" t="s">
        <v>182</v>
      </c>
      <c r="B271" s="140" t="s">
        <v>20</v>
      </c>
      <c r="C271" s="140" t="s">
        <v>34</v>
      </c>
      <c r="D271" s="149" t="s">
        <v>144</v>
      </c>
      <c r="E271" s="139" t="s">
        <v>145</v>
      </c>
      <c r="F271" s="142"/>
      <c r="G271" s="142"/>
      <c r="H271" s="142"/>
      <c r="I271" s="142"/>
      <c r="J271" s="142"/>
      <c r="K271" s="92"/>
      <c r="L271" s="92"/>
      <c r="M271" s="92"/>
      <c r="N271" s="92"/>
      <c r="O271" s="92"/>
      <c r="P271" s="92"/>
    </row>
    <row r="272" spans="1:16" x14ac:dyDescent="0.2">
      <c r="A272" s="140" t="s">
        <v>182</v>
      </c>
      <c r="B272" s="140" t="s">
        <v>20</v>
      </c>
      <c r="C272" s="140" t="s">
        <v>34</v>
      </c>
      <c r="D272" s="149" t="s">
        <v>827</v>
      </c>
      <c r="E272" s="139" t="s">
        <v>151</v>
      </c>
      <c r="F272" s="142"/>
      <c r="G272" s="142"/>
      <c r="H272" s="142"/>
      <c r="I272" s="142"/>
      <c r="J272" s="142"/>
      <c r="K272" s="92"/>
      <c r="L272" s="92"/>
      <c r="M272" s="92"/>
      <c r="N272" s="92"/>
      <c r="O272" s="92"/>
      <c r="P272" s="92"/>
    </row>
    <row r="273" spans="1:16" x14ac:dyDescent="0.2">
      <c r="A273" s="140" t="s">
        <v>182</v>
      </c>
      <c r="B273" s="140" t="s">
        <v>20</v>
      </c>
      <c r="C273" s="140" t="s">
        <v>37</v>
      </c>
      <c r="D273" s="149" t="s">
        <v>828</v>
      </c>
      <c r="E273" s="139" t="s">
        <v>163</v>
      </c>
      <c r="F273" s="142"/>
      <c r="G273" s="142"/>
      <c r="H273" s="142"/>
      <c r="I273" s="142"/>
      <c r="J273" s="142"/>
      <c r="K273" s="92"/>
      <c r="L273" s="92"/>
      <c r="M273" s="92"/>
      <c r="N273" s="92"/>
      <c r="O273" s="92"/>
      <c r="P273" s="92"/>
    </row>
    <row r="274" spans="1:16" x14ac:dyDescent="0.2">
      <c r="A274" s="140" t="s">
        <v>182</v>
      </c>
      <c r="B274" s="140" t="s">
        <v>20</v>
      </c>
      <c r="C274" s="140" t="s">
        <v>37</v>
      </c>
      <c r="D274" s="149" t="s">
        <v>37</v>
      </c>
      <c r="E274" s="139" t="s">
        <v>77</v>
      </c>
      <c r="F274" s="142"/>
      <c r="G274" s="142"/>
      <c r="H274" s="142"/>
      <c r="I274" s="142"/>
      <c r="J274" s="142"/>
      <c r="K274" s="92"/>
      <c r="L274" s="92"/>
      <c r="M274" s="92"/>
      <c r="N274" s="92"/>
      <c r="O274" s="92"/>
      <c r="P274" s="92"/>
    </row>
    <row r="275" spans="1:16" x14ac:dyDescent="0.2">
      <c r="A275" s="140" t="s">
        <v>182</v>
      </c>
      <c r="B275" s="140" t="s">
        <v>20</v>
      </c>
      <c r="C275" s="140" t="s">
        <v>37</v>
      </c>
      <c r="D275" s="149" t="s">
        <v>76</v>
      </c>
      <c r="E275" s="139" t="s">
        <v>77</v>
      </c>
      <c r="F275" s="142"/>
      <c r="G275" s="142"/>
      <c r="H275" s="142"/>
      <c r="I275" s="142"/>
      <c r="J275" s="142"/>
      <c r="K275" s="92"/>
      <c r="L275" s="92"/>
      <c r="M275" s="92"/>
      <c r="N275" s="92"/>
      <c r="O275" s="92"/>
      <c r="P275" s="92"/>
    </row>
    <row r="276" spans="1:16" x14ac:dyDescent="0.2">
      <c r="A276" s="140" t="s">
        <v>182</v>
      </c>
      <c r="B276" s="140" t="s">
        <v>20</v>
      </c>
      <c r="C276" s="140" t="s">
        <v>37</v>
      </c>
      <c r="D276" s="149" t="s">
        <v>829</v>
      </c>
      <c r="E276" s="139" t="s">
        <v>122</v>
      </c>
      <c r="F276" s="142"/>
      <c r="G276" s="142"/>
      <c r="H276" s="142"/>
      <c r="I276" s="142"/>
      <c r="J276" s="142"/>
      <c r="K276" s="92"/>
      <c r="L276" s="92"/>
      <c r="M276" s="92"/>
      <c r="N276" s="92"/>
      <c r="O276" s="92"/>
      <c r="P276" s="92"/>
    </row>
    <row r="277" spans="1:16" x14ac:dyDescent="0.2">
      <c r="A277" s="140" t="s">
        <v>182</v>
      </c>
      <c r="B277" s="140" t="s">
        <v>20</v>
      </c>
      <c r="C277" s="140" t="s">
        <v>37</v>
      </c>
      <c r="D277" s="149" t="s">
        <v>152</v>
      </c>
      <c r="E277" s="139" t="s">
        <v>153</v>
      </c>
      <c r="F277" s="142"/>
      <c r="G277" s="142"/>
      <c r="H277" s="142"/>
      <c r="I277" s="142"/>
      <c r="J277" s="142"/>
      <c r="K277" s="92"/>
      <c r="L277" s="92"/>
      <c r="M277" s="92"/>
      <c r="N277" s="92"/>
      <c r="O277" s="92"/>
      <c r="P277" s="92"/>
    </row>
    <row r="278" spans="1:16" x14ac:dyDescent="0.2">
      <c r="A278" s="140" t="s">
        <v>182</v>
      </c>
      <c r="B278" s="140" t="s">
        <v>155</v>
      </c>
      <c r="C278" s="140" t="s">
        <v>66</v>
      </c>
      <c r="D278" s="149" t="s">
        <v>186</v>
      </c>
      <c r="E278" s="139" t="s">
        <v>187</v>
      </c>
      <c r="F278" s="142"/>
      <c r="G278" s="142"/>
      <c r="H278" s="142"/>
      <c r="I278" s="142"/>
      <c r="J278" s="142"/>
      <c r="K278" s="92"/>
      <c r="L278" s="92"/>
      <c r="M278" s="92"/>
      <c r="N278" s="92"/>
      <c r="O278" s="92"/>
      <c r="P278" s="92"/>
    </row>
    <row r="279" spans="1:16" x14ac:dyDescent="0.2">
      <c r="A279" s="140" t="s">
        <v>182</v>
      </c>
      <c r="B279" s="140" t="s">
        <v>155</v>
      </c>
      <c r="C279" s="140" t="s">
        <v>66</v>
      </c>
      <c r="D279" s="149" t="s">
        <v>159</v>
      </c>
      <c r="E279" s="139" t="s">
        <v>160</v>
      </c>
      <c r="F279" s="142"/>
      <c r="G279" s="142"/>
      <c r="H279" s="142"/>
      <c r="I279" s="142"/>
      <c r="J279" s="142"/>
      <c r="K279" s="92"/>
      <c r="L279" s="92"/>
      <c r="M279" s="92"/>
      <c r="N279" s="92"/>
      <c r="O279" s="92"/>
      <c r="P279" s="92"/>
    </row>
    <row r="280" spans="1:16" x14ac:dyDescent="0.2">
      <c r="A280" s="140" t="s">
        <v>182</v>
      </c>
      <c r="B280" s="140" t="s">
        <v>155</v>
      </c>
      <c r="C280" s="140" t="s">
        <v>66</v>
      </c>
      <c r="D280" s="149" t="s">
        <v>188</v>
      </c>
      <c r="E280" s="139" t="s">
        <v>189</v>
      </c>
      <c r="F280" s="142"/>
      <c r="G280" s="142"/>
      <c r="H280" s="142"/>
      <c r="I280" s="142"/>
      <c r="J280" s="142"/>
      <c r="K280" s="92"/>
      <c r="L280" s="92"/>
      <c r="M280" s="92"/>
      <c r="N280" s="92"/>
      <c r="O280" s="92"/>
      <c r="P280" s="92"/>
    </row>
    <row r="281" spans="1:16" x14ac:dyDescent="0.2">
      <c r="A281" s="140" t="s">
        <v>182</v>
      </c>
      <c r="B281" s="140" t="s">
        <v>155</v>
      </c>
      <c r="C281" s="140" t="s">
        <v>66</v>
      </c>
      <c r="D281" s="149" t="s">
        <v>190</v>
      </c>
      <c r="E281" s="139" t="s">
        <v>191</v>
      </c>
      <c r="F281" s="142"/>
      <c r="G281" s="142"/>
      <c r="H281" s="142"/>
      <c r="I281" s="142"/>
      <c r="J281" s="142"/>
      <c r="K281" s="92"/>
      <c r="L281" s="92"/>
      <c r="M281" s="92"/>
      <c r="N281" s="92"/>
      <c r="O281" s="92"/>
      <c r="P281" s="92"/>
    </row>
    <row r="282" spans="1:16" x14ac:dyDescent="0.2">
      <c r="A282" s="140" t="s">
        <v>182</v>
      </c>
      <c r="B282" s="140" t="s">
        <v>155</v>
      </c>
      <c r="C282" s="140" t="s">
        <v>66</v>
      </c>
      <c r="D282" s="149" t="s">
        <v>192</v>
      </c>
      <c r="E282" s="139" t="s">
        <v>193</v>
      </c>
      <c r="F282" s="142"/>
      <c r="G282" s="142"/>
      <c r="H282" s="142"/>
      <c r="I282" s="142"/>
      <c r="J282" s="142"/>
      <c r="K282" s="92"/>
      <c r="L282" s="92"/>
      <c r="M282" s="92"/>
      <c r="N282" s="92"/>
      <c r="O282" s="92"/>
      <c r="P282" s="92"/>
    </row>
    <row r="283" spans="1:16" ht="12" customHeight="1" x14ac:dyDescent="0.2">
      <c r="A283" s="140" t="s">
        <v>182</v>
      </c>
      <c r="B283" s="140" t="s">
        <v>155</v>
      </c>
      <c r="C283" s="140" t="s">
        <v>66</v>
      </c>
      <c r="D283" s="149" t="s">
        <v>194</v>
      </c>
      <c r="E283" s="139" t="s">
        <v>195</v>
      </c>
      <c r="F283" s="142"/>
      <c r="G283" s="142"/>
      <c r="H283" s="142"/>
      <c r="I283" s="142"/>
      <c r="J283" s="142"/>
      <c r="K283" s="92"/>
      <c r="L283" s="92"/>
      <c r="M283" s="92"/>
      <c r="N283" s="92"/>
      <c r="O283" s="92"/>
      <c r="P283" s="92"/>
    </row>
    <row r="284" spans="1:16" x14ac:dyDescent="0.2">
      <c r="A284" s="140" t="s">
        <v>182</v>
      </c>
      <c r="B284" s="140" t="s">
        <v>155</v>
      </c>
      <c r="C284" s="140" t="s">
        <v>66</v>
      </c>
      <c r="D284" s="149" t="s">
        <v>156</v>
      </c>
      <c r="E284" s="139" t="s">
        <v>157</v>
      </c>
      <c r="F284" s="142"/>
      <c r="G284" s="142"/>
      <c r="H284" s="142"/>
      <c r="I284" s="142"/>
      <c r="J284" s="142"/>
      <c r="K284" s="92"/>
      <c r="L284" s="92"/>
      <c r="M284" s="92"/>
      <c r="N284" s="92"/>
      <c r="O284" s="92"/>
      <c r="P284" s="92"/>
    </row>
    <row r="285" spans="1:16" x14ac:dyDescent="0.2">
      <c r="A285" s="140" t="s">
        <v>182</v>
      </c>
      <c r="B285" s="140" t="s">
        <v>155</v>
      </c>
      <c r="C285" s="140" t="s">
        <v>66</v>
      </c>
      <c r="D285" s="149" t="s">
        <v>196</v>
      </c>
      <c r="E285" s="139" t="s">
        <v>197</v>
      </c>
      <c r="F285" s="142"/>
      <c r="G285" s="142"/>
      <c r="H285" s="142"/>
      <c r="I285" s="142"/>
      <c r="J285" s="142"/>
      <c r="K285" s="92"/>
      <c r="L285" s="92"/>
      <c r="M285" s="92"/>
      <c r="N285" s="92"/>
      <c r="O285" s="92"/>
      <c r="P285" s="92"/>
    </row>
    <row r="286" spans="1:16" x14ac:dyDescent="0.2">
      <c r="A286" s="140" t="s">
        <v>182</v>
      </c>
      <c r="B286" s="140" t="s">
        <v>44</v>
      </c>
      <c r="C286" s="140" t="s">
        <v>812</v>
      </c>
      <c r="D286" s="149" t="s">
        <v>517</v>
      </c>
      <c r="E286" s="139" t="s">
        <v>676</v>
      </c>
      <c r="F286" s="142"/>
      <c r="G286" s="142"/>
      <c r="H286" s="142"/>
      <c r="I286" s="142"/>
      <c r="J286" s="142"/>
      <c r="K286" s="92"/>
      <c r="L286" s="92"/>
      <c r="M286" s="92"/>
      <c r="N286" s="92"/>
      <c r="O286" s="92"/>
      <c r="P286" s="92"/>
    </row>
    <row r="287" spans="1:16" x14ac:dyDescent="0.2">
      <c r="A287" s="140" t="s">
        <v>182</v>
      </c>
      <c r="B287" s="140" t="s">
        <v>44</v>
      </c>
      <c r="C287" s="140" t="s">
        <v>812</v>
      </c>
      <c r="D287" s="149" t="s">
        <v>830</v>
      </c>
      <c r="E287" s="139" t="s">
        <v>677</v>
      </c>
      <c r="F287" s="142"/>
      <c r="G287" s="142"/>
      <c r="H287" s="142"/>
      <c r="I287" s="142"/>
      <c r="J287" s="142"/>
      <c r="K287" s="92"/>
      <c r="L287" s="92"/>
      <c r="M287" s="92"/>
      <c r="N287" s="92"/>
      <c r="O287" s="92"/>
      <c r="P287" s="92"/>
    </row>
    <row r="288" spans="1:16" x14ac:dyDescent="0.2">
      <c r="A288" s="140" t="s">
        <v>182</v>
      </c>
      <c r="B288" s="140" t="s">
        <v>44</v>
      </c>
      <c r="C288" s="140" t="s">
        <v>812</v>
      </c>
      <c r="D288" s="149" t="s">
        <v>831</v>
      </c>
      <c r="E288" s="139" t="s">
        <v>678</v>
      </c>
      <c r="F288" s="142"/>
      <c r="G288" s="142"/>
      <c r="H288" s="142"/>
      <c r="I288" s="142"/>
      <c r="J288" s="142"/>
      <c r="K288" s="92"/>
      <c r="L288" s="92"/>
      <c r="M288" s="92"/>
      <c r="N288" s="92"/>
      <c r="O288" s="92"/>
      <c r="P288" s="92"/>
    </row>
    <row r="289" spans="1:16" x14ac:dyDescent="0.2">
      <c r="A289" s="140" t="s">
        <v>182</v>
      </c>
      <c r="B289" s="140" t="s">
        <v>44</v>
      </c>
      <c r="C289" s="140" t="s">
        <v>812</v>
      </c>
      <c r="D289" s="149" t="s">
        <v>204</v>
      </c>
      <c r="E289" s="139" t="s">
        <v>205</v>
      </c>
      <c r="F289" s="142"/>
      <c r="G289" s="142"/>
      <c r="H289" s="142"/>
      <c r="I289" s="142"/>
      <c r="J289" s="142"/>
      <c r="K289" s="92"/>
      <c r="L289" s="92"/>
      <c r="M289" s="92"/>
      <c r="N289" s="92"/>
      <c r="O289" s="92"/>
      <c r="P289" s="92"/>
    </row>
    <row r="290" spans="1:16" x14ac:dyDescent="0.2">
      <c r="A290" s="140" t="s">
        <v>182</v>
      </c>
      <c r="B290" s="140" t="s">
        <v>44</v>
      </c>
      <c r="C290" s="140" t="s">
        <v>812</v>
      </c>
      <c r="D290" s="149" t="s">
        <v>198</v>
      </c>
      <c r="E290" s="139" t="s">
        <v>199</v>
      </c>
      <c r="F290" s="142"/>
      <c r="G290" s="142"/>
      <c r="H290" s="142"/>
      <c r="I290" s="142"/>
      <c r="J290" s="142"/>
      <c r="K290" s="92"/>
      <c r="L290" s="92"/>
      <c r="M290" s="92"/>
      <c r="N290" s="92"/>
      <c r="O290" s="92"/>
      <c r="P290" s="92"/>
    </row>
    <row r="291" spans="1:16" x14ac:dyDescent="0.2">
      <c r="A291" s="140" t="s">
        <v>182</v>
      </c>
      <c r="B291" s="140" t="s">
        <v>44</v>
      </c>
      <c r="C291" s="140" t="s">
        <v>812</v>
      </c>
      <c r="D291" s="149" t="s">
        <v>200</v>
      </c>
      <c r="E291" s="139" t="s">
        <v>201</v>
      </c>
      <c r="F291" s="142"/>
      <c r="G291" s="142"/>
      <c r="H291" s="142"/>
      <c r="I291" s="142"/>
      <c r="J291" s="142"/>
      <c r="K291" s="92"/>
      <c r="L291" s="92"/>
      <c r="M291" s="92"/>
      <c r="N291" s="92"/>
      <c r="O291" s="92"/>
      <c r="P291" s="92"/>
    </row>
    <row r="292" spans="1:16" x14ac:dyDescent="0.2">
      <c r="A292" s="140" t="s">
        <v>182</v>
      </c>
      <c r="B292" s="140" t="s">
        <v>44</v>
      </c>
      <c r="C292" s="140" t="s">
        <v>812</v>
      </c>
      <c r="D292" s="149" t="s">
        <v>832</v>
      </c>
      <c r="E292" s="139" t="s">
        <v>679</v>
      </c>
      <c r="F292" s="142"/>
      <c r="G292" s="142"/>
      <c r="H292" s="142"/>
      <c r="I292" s="142"/>
      <c r="J292" s="142"/>
      <c r="K292" s="92"/>
      <c r="L292" s="92"/>
      <c r="M292" s="92"/>
      <c r="N292" s="92"/>
      <c r="O292" s="92"/>
      <c r="P292" s="92"/>
    </row>
    <row r="293" spans="1:16" x14ac:dyDescent="0.2">
      <c r="A293" s="140" t="s">
        <v>182</v>
      </c>
      <c r="B293" s="140" t="s">
        <v>44</v>
      </c>
      <c r="C293" s="140" t="s">
        <v>812</v>
      </c>
      <c r="D293" s="149" t="s">
        <v>45</v>
      </c>
      <c r="E293" s="139" t="s">
        <v>46</v>
      </c>
      <c r="F293" s="142"/>
      <c r="G293" s="142"/>
      <c r="H293" s="142"/>
      <c r="I293" s="142"/>
      <c r="J293" s="142"/>
      <c r="K293" s="92"/>
      <c r="L293" s="92"/>
      <c r="M293" s="92"/>
      <c r="N293" s="92"/>
      <c r="O293" s="92"/>
      <c r="P293" s="92"/>
    </row>
    <row r="294" spans="1:16" x14ac:dyDescent="0.2">
      <c r="A294" s="140" t="s">
        <v>182</v>
      </c>
      <c r="B294" s="140" t="s">
        <v>44</v>
      </c>
      <c r="C294" s="140" t="s">
        <v>812</v>
      </c>
      <c r="D294" s="149" t="s">
        <v>526</v>
      </c>
      <c r="E294" s="139" t="s">
        <v>680</v>
      </c>
      <c r="F294" s="142"/>
      <c r="G294" s="142"/>
      <c r="H294" s="142"/>
      <c r="I294" s="142"/>
      <c r="J294" s="142"/>
      <c r="K294" s="92"/>
      <c r="L294" s="92"/>
      <c r="M294" s="92"/>
      <c r="N294" s="92"/>
      <c r="O294" s="92"/>
      <c r="P294" s="92"/>
    </row>
    <row r="295" spans="1:16" ht="12" customHeight="1" x14ac:dyDescent="0.2">
      <c r="A295" s="140" t="s">
        <v>182</v>
      </c>
      <c r="B295" s="140" t="s">
        <v>44</v>
      </c>
      <c r="C295" s="140" t="s">
        <v>812</v>
      </c>
      <c r="D295" s="149" t="s">
        <v>833</v>
      </c>
      <c r="E295" s="139" t="s">
        <v>681</v>
      </c>
      <c r="F295" s="142"/>
      <c r="G295" s="142"/>
      <c r="H295" s="142"/>
      <c r="I295" s="142"/>
      <c r="J295" s="142"/>
      <c r="K295" s="92"/>
      <c r="L295" s="92"/>
      <c r="M295" s="92"/>
      <c r="N295" s="92"/>
      <c r="O295" s="92"/>
      <c r="P295" s="92"/>
    </row>
    <row r="296" spans="1:16" ht="15" customHeight="1" x14ac:dyDescent="0.2">
      <c r="A296" s="140" t="s">
        <v>182</v>
      </c>
      <c r="B296" s="140" t="s">
        <v>44</v>
      </c>
      <c r="C296" s="140" t="s">
        <v>812</v>
      </c>
      <c r="D296" s="149" t="s">
        <v>834</v>
      </c>
      <c r="E296" s="139" t="s">
        <v>682</v>
      </c>
      <c r="F296" s="142"/>
      <c r="G296" s="142"/>
      <c r="H296" s="142"/>
      <c r="I296" s="142"/>
      <c r="J296" s="142"/>
      <c r="K296" s="92"/>
      <c r="L296" s="92"/>
      <c r="M296" s="92"/>
      <c r="N296" s="92"/>
      <c r="O296" s="92"/>
      <c r="P296" s="92"/>
    </row>
    <row r="297" spans="1:16" x14ac:dyDescent="0.2">
      <c r="A297" s="140" t="s">
        <v>182</v>
      </c>
      <c r="B297" s="140" t="s">
        <v>44</v>
      </c>
      <c r="C297" s="140" t="s">
        <v>812</v>
      </c>
      <c r="D297" s="149" t="s">
        <v>835</v>
      </c>
      <c r="E297" s="139" t="s">
        <v>683</v>
      </c>
      <c r="F297" s="142"/>
      <c r="G297" s="142"/>
      <c r="H297" s="142"/>
      <c r="I297" s="142"/>
      <c r="J297" s="142"/>
      <c r="K297" s="92"/>
      <c r="L297" s="92"/>
      <c r="M297" s="92"/>
      <c r="N297" s="92"/>
      <c r="O297" s="92"/>
      <c r="P297" s="92"/>
    </row>
    <row r="298" spans="1:16" x14ac:dyDescent="0.2">
      <c r="A298" s="140" t="s">
        <v>182</v>
      </c>
      <c r="B298" s="140" t="s">
        <v>44</v>
      </c>
      <c r="C298" s="140" t="s">
        <v>812</v>
      </c>
      <c r="D298" s="149" t="s">
        <v>836</v>
      </c>
      <c r="E298" s="139" t="s">
        <v>684</v>
      </c>
      <c r="F298" s="142"/>
      <c r="G298" s="142"/>
      <c r="H298" s="142"/>
      <c r="I298" s="142"/>
      <c r="J298" s="142"/>
      <c r="K298" s="92"/>
      <c r="L298" s="92"/>
      <c r="M298" s="92"/>
      <c r="N298" s="92"/>
      <c r="O298" s="92"/>
      <c r="P298" s="92"/>
    </row>
    <row r="299" spans="1:16" x14ac:dyDescent="0.2">
      <c r="A299" s="140" t="s">
        <v>182</v>
      </c>
      <c r="B299" s="140" t="s">
        <v>44</v>
      </c>
      <c r="C299" s="140" t="s">
        <v>812</v>
      </c>
      <c r="D299" s="149" t="s">
        <v>837</v>
      </c>
      <c r="E299" s="139" t="s">
        <v>685</v>
      </c>
      <c r="F299" s="142"/>
      <c r="G299" s="142"/>
      <c r="H299" s="142"/>
      <c r="I299" s="142"/>
      <c r="J299" s="142"/>
      <c r="K299" s="92"/>
      <c r="L299" s="92"/>
      <c r="M299" s="92"/>
      <c r="N299" s="92"/>
      <c r="O299" s="92"/>
      <c r="P299" s="92"/>
    </row>
    <row r="300" spans="1:16" x14ac:dyDescent="0.2">
      <c r="A300" s="140" t="s">
        <v>182</v>
      </c>
      <c r="B300" s="140" t="s">
        <v>44</v>
      </c>
      <c r="C300" s="140" t="s">
        <v>812</v>
      </c>
      <c r="D300" s="149" t="s">
        <v>838</v>
      </c>
      <c r="E300" s="139" t="s">
        <v>686</v>
      </c>
      <c r="F300" s="142"/>
      <c r="G300" s="142"/>
      <c r="H300" s="142"/>
      <c r="I300" s="142"/>
      <c r="J300" s="142"/>
      <c r="K300" s="92"/>
      <c r="L300" s="92"/>
      <c r="M300" s="92"/>
      <c r="N300" s="92"/>
      <c r="O300" s="92"/>
      <c r="P300" s="92"/>
    </row>
    <row r="301" spans="1:16" x14ac:dyDescent="0.2">
      <c r="A301" s="140" t="s">
        <v>182</v>
      </c>
      <c r="B301" s="140" t="s">
        <v>44</v>
      </c>
      <c r="C301" s="140" t="s">
        <v>812</v>
      </c>
      <c r="D301" s="149" t="s">
        <v>534</v>
      </c>
      <c r="E301" s="139" t="s">
        <v>687</v>
      </c>
      <c r="F301" s="142"/>
      <c r="G301" s="142"/>
      <c r="H301" s="142"/>
      <c r="I301" s="142"/>
      <c r="J301" s="142"/>
      <c r="K301" s="92"/>
      <c r="L301" s="92"/>
      <c r="M301" s="92"/>
      <c r="N301" s="92"/>
      <c r="O301" s="92"/>
      <c r="P301" s="92"/>
    </row>
    <row r="302" spans="1:16" x14ac:dyDescent="0.2">
      <c r="A302" s="140" t="s">
        <v>182</v>
      </c>
      <c r="B302" s="140" t="s">
        <v>44</v>
      </c>
      <c r="C302" s="140" t="s">
        <v>812</v>
      </c>
      <c r="D302" s="149" t="s">
        <v>100</v>
      </c>
      <c r="E302" s="139" t="s">
        <v>101</v>
      </c>
      <c r="F302" s="142"/>
      <c r="G302" s="142"/>
      <c r="H302" s="142"/>
      <c r="I302" s="142"/>
      <c r="J302" s="142"/>
      <c r="K302" s="92"/>
      <c r="L302" s="92"/>
      <c r="M302" s="92"/>
      <c r="N302" s="92"/>
      <c r="O302" s="92"/>
      <c r="P302" s="92"/>
    </row>
    <row r="303" spans="1:16" x14ac:dyDescent="0.2">
      <c r="A303" s="140" t="s">
        <v>182</v>
      </c>
      <c r="B303" s="140" t="s">
        <v>44</v>
      </c>
      <c r="C303" s="140" t="s">
        <v>812</v>
      </c>
      <c r="D303" s="149" t="s">
        <v>202</v>
      </c>
      <c r="E303" s="139" t="s">
        <v>203</v>
      </c>
      <c r="F303" s="142"/>
      <c r="G303" s="142"/>
      <c r="H303" s="142"/>
      <c r="I303" s="142"/>
      <c r="J303" s="142"/>
      <c r="K303" s="92"/>
      <c r="L303" s="92"/>
      <c r="M303" s="92"/>
      <c r="N303" s="92"/>
      <c r="O303" s="92"/>
      <c r="P303" s="92"/>
    </row>
    <row r="304" spans="1:16" x14ac:dyDescent="0.2">
      <c r="A304" s="140" t="s">
        <v>182</v>
      </c>
      <c r="B304" s="140" t="s">
        <v>44</v>
      </c>
      <c r="C304" s="140" t="s">
        <v>812</v>
      </c>
      <c r="D304" s="149" t="s">
        <v>538</v>
      </c>
      <c r="E304" s="139" t="s">
        <v>115</v>
      </c>
      <c r="F304" s="142"/>
      <c r="G304" s="142"/>
      <c r="H304" s="142"/>
      <c r="I304" s="142"/>
      <c r="J304" s="142"/>
      <c r="K304" s="92"/>
      <c r="L304" s="92"/>
      <c r="M304" s="92"/>
      <c r="N304" s="92"/>
      <c r="O304" s="92"/>
      <c r="P304" s="92"/>
    </row>
    <row r="305" spans="1:16" x14ac:dyDescent="0.2">
      <c r="A305" s="140" t="s">
        <v>182</v>
      </c>
      <c r="B305" s="140" t="s">
        <v>44</v>
      </c>
      <c r="C305" s="140" t="s">
        <v>812</v>
      </c>
      <c r="D305" s="149" t="s">
        <v>539</v>
      </c>
      <c r="E305" s="139" t="s">
        <v>688</v>
      </c>
      <c r="F305" s="142"/>
      <c r="G305" s="142"/>
      <c r="H305" s="142"/>
      <c r="I305" s="142"/>
      <c r="J305" s="142"/>
      <c r="K305" s="92"/>
      <c r="L305" s="92"/>
      <c r="M305" s="92"/>
      <c r="N305" s="92"/>
      <c r="O305" s="92"/>
      <c r="P305" s="92"/>
    </row>
    <row r="306" spans="1:16" x14ac:dyDescent="0.2">
      <c r="A306" s="140" t="s">
        <v>182</v>
      </c>
      <c r="B306" s="140" t="s">
        <v>44</v>
      </c>
      <c r="C306" s="140" t="s">
        <v>812</v>
      </c>
      <c r="D306" s="149" t="s">
        <v>541</v>
      </c>
      <c r="E306" s="139" t="s">
        <v>689</v>
      </c>
      <c r="F306" s="142"/>
      <c r="G306" s="142"/>
      <c r="H306" s="142"/>
      <c r="I306" s="142"/>
      <c r="J306" s="142"/>
      <c r="K306" s="92"/>
      <c r="L306" s="92"/>
      <c r="M306" s="92"/>
      <c r="N306" s="92"/>
      <c r="O306" s="92"/>
      <c r="P306" s="92"/>
    </row>
    <row r="307" spans="1:16" x14ac:dyDescent="0.2">
      <c r="A307" s="140" t="s">
        <v>182</v>
      </c>
      <c r="B307" s="140" t="s">
        <v>44</v>
      </c>
      <c r="C307" s="140" t="s">
        <v>812</v>
      </c>
      <c r="D307" s="149" t="s">
        <v>543</v>
      </c>
      <c r="E307" s="139" t="s">
        <v>690</v>
      </c>
      <c r="F307" s="142"/>
      <c r="G307" s="142"/>
      <c r="H307" s="142"/>
      <c r="I307" s="142"/>
      <c r="J307" s="142"/>
      <c r="K307" s="92"/>
      <c r="L307" s="92"/>
      <c r="M307" s="92"/>
      <c r="N307" s="92"/>
      <c r="O307" s="92"/>
      <c r="P307" s="92"/>
    </row>
    <row r="308" spans="1:16" x14ac:dyDescent="0.2">
      <c r="A308" s="140" t="s">
        <v>182</v>
      </c>
      <c r="B308" s="140" t="s">
        <v>44</v>
      </c>
      <c r="C308" s="140" t="s">
        <v>812</v>
      </c>
      <c r="D308" s="149" t="s">
        <v>545</v>
      </c>
      <c r="E308" s="139" t="s">
        <v>691</v>
      </c>
      <c r="F308" s="142"/>
      <c r="G308" s="142"/>
      <c r="H308" s="142"/>
      <c r="I308" s="142"/>
      <c r="J308" s="142"/>
      <c r="K308" s="92"/>
      <c r="L308" s="92"/>
      <c r="M308" s="92"/>
      <c r="N308" s="92"/>
      <c r="O308" s="92"/>
      <c r="P308" s="92"/>
    </row>
    <row r="309" spans="1:16" x14ac:dyDescent="0.2">
      <c r="A309" s="140" t="s">
        <v>182</v>
      </c>
      <c r="B309" s="140" t="s">
        <v>44</v>
      </c>
      <c r="C309" s="140" t="s">
        <v>812</v>
      </c>
      <c r="D309" s="149" t="s">
        <v>839</v>
      </c>
      <c r="E309" s="139" t="s">
        <v>692</v>
      </c>
      <c r="F309" s="142"/>
      <c r="G309" s="142"/>
      <c r="H309" s="142"/>
      <c r="I309" s="142"/>
      <c r="J309" s="142"/>
      <c r="K309" s="92"/>
      <c r="L309" s="92"/>
      <c r="M309" s="92"/>
      <c r="N309" s="92"/>
      <c r="O309" s="92"/>
      <c r="P309" s="92"/>
    </row>
    <row r="310" spans="1:16" x14ac:dyDescent="0.2">
      <c r="A310" s="140" t="s">
        <v>182</v>
      </c>
      <c r="B310" s="140" t="s">
        <v>44</v>
      </c>
      <c r="C310" s="140" t="s">
        <v>812</v>
      </c>
      <c r="D310" s="149" t="s">
        <v>146</v>
      </c>
      <c r="E310" s="139" t="s">
        <v>147</v>
      </c>
      <c r="F310" s="142"/>
      <c r="G310" s="142"/>
      <c r="H310" s="142"/>
      <c r="I310" s="142"/>
      <c r="J310" s="142"/>
      <c r="K310" s="92"/>
      <c r="L310" s="92"/>
      <c r="M310" s="92"/>
      <c r="N310" s="92"/>
      <c r="O310" s="92"/>
      <c r="P310" s="92"/>
    </row>
    <row r="311" spans="1:16" x14ac:dyDescent="0.2">
      <c r="A311" s="140" t="s">
        <v>182</v>
      </c>
      <c r="B311" s="140" t="s">
        <v>44</v>
      </c>
      <c r="C311" s="140" t="s">
        <v>69</v>
      </c>
      <c r="D311" s="149" t="s">
        <v>470</v>
      </c>
      <c r="E311" s="139" t="s">
        <v>718</v>
      </c>
      <c r="F311" s="142"/>
      <c r="G311" s="142"/>
      <c r="H311" s="142"/>
      <c r="I311" s="142"/>
      <c r="J311" s="142"/>
      <c r="K311" s="92"/>
      <c r="L311" s="92"/>
      <c r="M311" s="92"/>
      <c r="N311" s="92"/>
      <c r="O311" s="92"/>
      <c r="P311" s="92"/>
    </row>
    <row r="312" spans="1:16" x14ac:dyDescent="0.2">
      <c r="A312" s="140" t="s">
        <v>182</v>
      </c>
      <c r="B312" s="140" t="s">
        <v>44</v>
      </c>
      <c r="C312" s="140" t="s">
        <v>69</v>
      </c>
      <c r="D312" s="149" t="s">
        <v>69</v>
      </c>
      <c r="E312" s="139" t="s">
        <v>70</v>
      </c>
      <c r="F312" s="142"/>
      <c r="G312" s="142"/>
      <c r="H312" s="142"/>
      <c r="I312" s="142"/>
      <c r="J312" s="142"/>
      <c r="K312" s="92"/>
      <c r="L312" s="92"/>
      <c r="M312" s="92"/>
      <c r="N312" s="92"/>
      <c r="O312" s="92"/>
      <c r="P312" s="92"/>
    </row>
    <row r="313" spans="1:16" x14ac:dyDescent="0.2">
      <c r="A313" s="140" t="s">
        <v>182</v>
      </c>
      <c r="B313" s="140" t="s">
        <v>73</v>
      </c>
      <c r="C313" s="140" t="s">
        <v>74</v>
      </c>
      <c r="D313" s="149" t="s">
        <v>454</v>
      </c>
      <c r="E313" s="139" t="s">
        <v>724</v>
      </c>
      <c r="F313" s="142"/>
      <c r="G313" s="142"/>
      <c r="H313" s="142"/>
      <c r="I313" s="142"/>
      <c r="J313" s="142"/>
      <c r="K313" s="92"/>
      <c r="L313" s="92"/>
      <c r="M313" s="92"/>
      <c r="N313" s="92"/>
      <c r="O313" s="92"/>
      <c r="P313" s="92"/>
    </row>
    <row r="314" spans="1:16" x14ac:dyDescent="0.2">
      <c r="A314" s="140" t="s">
        <v>182</v>
      </c>
      <c r="B314" s="140" t="s">
        <v>73</v>
      </c>
      <c r="C314" s="140" t="s">
        <v>74</v>
      </c>
      <c r="D314" s="149" t="s">
        <v>206</v>
      </c>
      <c r="E314" s="139" t="s">
        <v>207</v>
      </c>
      <c r="F314" s="142"/>
      <c r="G314" s="142"/>
      <c r="H314" s="142"/>
      <c r="I314" s="142"/>
      <c r="J314" s="142"/>
      <c r="K314" s="92"/>
      <c r="L314" s="92"/>
      <c r="M314" s="92"/>
      <c r="N314" s="92"/>
      <c r="O314" s="92"/>
      <c r="P314" s="92"/>
    </row>
    <row r="315" spans="1:16" x14ac:dyDescent="0.2">
      <c r="A315" s="140" t="s">
        <v>182</v>
      </c>
      <c r="B315" s="140" t="s">
        <v>73</v>
      </c>
      <c r="C315" s="140" t="s">
        <v>74</v>
      </c>
      <c r="D315" s="149" t="s">
        <v>459</v>
      </c>
      <c r="E315" s="139" t="s">
        <v>725</v>
      </c>
      <c r="F315" s="142"/>
      <c r="G315" s="142"/>
      <c r="H315" s="142"/>
      <c r="I315" s="142"/>
      <c r="J315" s="142"/>
      <c r="K315" s="92"/>
      <c r="L315" s="92"/>
      <c r="M315" s="92"/>
      <c r="N315" s="92"/>
      <c r="O315" s="92"/>
      <c r="P315" s="92"/>
    </row>
    <row r="316" spans="1:16" x14ac:dyDescent="0.2">
      <c r="A316" s="140" t="s">
        <v>182</v>
      </c>
      <c r="B316" s="140" t="s">
        <v>73</v>
      </c>
      <c r="C316" s="140" t="s">
        <v>74</v>
      </c>
      <c r="D316" s="149" t="s">
        <v>208</v>
      </c>
      <c r="E316" s="139" t="s">
        <v>209</v>
      </c>
      <c r="F316" s="142"/>
      <c r="G316" s="142"/>
      <c r="H316" s="142"/>
      <c r="I316" s="142"/>
      <c r="J316" s="142"/>
      <c r="K316" s="92"/>
      <c r="L316" s="92"/>
      <c r="M316" s="92"/>
      <c r="N316" s="92"/>
      <c r="O316" s="92"/>
      <c r="P316" s="92"/>
    </row>
    <row r="317" spans="1:16" x14ac:dyDescent="0.2">
      <c r="A317" s="140" t="s">
        <v>182</v>
      </c>
      <c r="B317" s="140" t="s">
        <v>73</v>
      </c>
      <c r="C317" s="140" t="s">
        <v>74</v>
      </c>
      <c r="D317" s="149" t="s">
        <v>210</v>
      </c>
      <c r="E317" s="139" t="s">
        <v>211</v>
      </c>
      <c r="F317" s="142"/>
      <c r="G317" s="142"/>
      <c r="H317" s="142"/>
      <c r="I317" s="142"/>
      <c r="J317" s="142"/>
      <c r="K317" s="92"/>
      <c r="L317" s="92"/>
      <c r="M317" s="92"/>
      <c r="N317" s="92"/>
      <c r="O317" s="92"/>
      <c r="P317" s="92"/>
    </row>
    <row r="318" spans="1:16" x14ac:dyDescent="0.2">
      <c r="A318" s="140" t="s">
        <v>182</v>
      </c>
      <c r="B318" s="140" t="s">
        <v>73</v>
      </c>
      <c r="C318" s="140" t="s">
        <v>74</v>
      </c>
      <c r="D318" s="149" t="s">
        <v>212</v>
      </c>
      <c r="E318" s="139" t="s">
        <v>213</v>
      </c>
      <c r="F318" s="142"/>
      <c r="G318" s="142"/>
      <c r="H318" s="142"/>
      <c r="I318" s="142"/>
      <c r="J318" s="142"/>
      <c r="K318" s="92"/>
      <c r="L318" s="92"/>
      <c r="M318" s="92"/>
      <c r="N318" s="92"/>
      <c r="O318" s="92"/>
      <c r="P318" s="92"/>
    </row>
    <row r="319" spans="1:16" x14ac:dyDescent="0.2">
      <c r="A319" s="140" t="s">
        <v>182</v>
      </c>
      <c r="B319" s="140" t="s">
        <v>73</v>
      </c>
      <c r="C319" s="140" t="s">
        <v>74</v>
      </c>
      <c r="D319" s="149" t="s">
        <v>74</v>
      </c>
      <c r="E319" s="139" t="s">
        <v>75</v>
      </c>
      <c r="F319" s="142"/>
      <c r="G319" s="142"/>
      <c r="H319" s="142"/>
      <c r="I319" s="142"/>
      <c r="J319" s="142"/>
      <c r="K319" s="92"/>
      <c r="L319" s="92"/>
      <c r="M319" s="92"/>
      <c r="N319" s="92"/>
      <c r="O319" s="92"/>
      <c r="P319" s="92"/>
    </row>
    <row r="320" spans="1:16" ht="12" customHeight="1" x14ac:dyDescent="0.25">
      <c r="A320" s="151" t="s">
        <v>182</v>
      </c>
      <c r="B320" s="151" t="s">
        <v>73</v>
      </c>
      <c r="C320" s="151" t="s">
        <v>74</v>
      </c>
      <c r="D320" s="151" t="s">
        <v>450</v>
      </c>
      <c r="E320" s="151" t="s">
        <v>126</v>
      </c>
      <c r="F320" s="151"/>
      <c r="G320" s="151"/>
      <c r="H320" s="151"/>
      <c r="I320" s="151"/>
      <c r="J320" s="151"/>
      <c r="K320" s="151"/>
      <c r="L320" s="151"/>
      <c r="M320" s="151"/>
      <c r="N320" s="151"/>
      <c r="O320" s="151"/>
      <c r="P320" s="151"/>
    </row>
    <row r="321" spans="1:16" x14ac:dyDescent="0.2">
      <c r="A321" s="140" t="s">
        <v>182</v>
      </c>
      <c r="B321" s="140" t="s">
        <v>73</v>
      </c>
      <c r="C321" s="140" t="s">
        <v>74</v>
      </c>
      <c r="D321" s="149" t="s">
        <v>464</v>
      </c>
      <c r="E321" s="139" t="s">
        <v>726</v>
      </c>
      <c r="F321" s="142"/>
      <c r="G321" s="142"/>
      <c r="H321" s="142"/>
      <c r="I321" s="142"/>
      <c r="J321" s="142"/>
      <c r="K321" s="92"/>
      <c r="L321" s="92"/>
      <c r="M321" s="92"/>
      <c r="N321" s="92"/>
      <c r="O321" s="92"/>
      <c r="P321" s="92"/>
    </row>
    <row r="322" spans="1:16" x14ac:dyDescent="0.2">
      <c r="A322" s="140" t="s">
        <v>182</v>
      </c>
      <c r="B322" s="140" t="s">
        <v>73</v>
      </c>
      <c r="C322" s="140" t="s">
        <v>74</v>
      </c>
      <c r="D322" s="149" t="s">
        <v>214</v>
      </c>
      <c r="E322" s="139" t="s">
        <v>215</v>
      </c>
      <c r="F322" s="142"/>
      <c r="G322" s="142"/>
      <c r="H322" s="142"/>
      <c r="I322" s="142"/>
      <c r="J322" s="142"/>
      <c r="K322" s="92"/>
      <c r="L322" s="92"/>
      <c r="M322" s="92"/>
      <c r="N322" s="92"/>
      <c r="O322" s="92"/>
      <c r="P322" s="92"/>
    </row>
    <row r="323" spans="1:16" x14ac:dyDescent="0.2">
      <c r="A323" s="140" t="s">
        <v>182</v>
      </c>
      <c r="B323" s="140" t="s">
        <v>73</v>
      </c>
      <c r="C323" s="140" t="s">
        <v>74</v>
      </c>
      <c r="D323" s="149" t="s">
        <v>466</v>
      </c>
      <c r="E323" s="139" t="s">
        <v>727</v>
      </c>
      <c r="F323" s="142"/>
      <c r="G323" s="142"/>
      <c r="H323" s="142"/>
      <c r="I323" s="142"/>
      <c r="J323" s="142"/>
      <c r="K323" s="92"/>
      <c r="L323" s="92"/>
      <c r="M323" s="92"/>
      <c r="N323" s="92"/>
      <c r="O323" s="92"/>
      <c r="P323" s="92"/>
    </row>
    <row r="324" spans="1:16" x14ac:dyDescent="0.2">
      <c r="A324" s="140" t="s">
        <v>182</v>
      </c>
      <c r="B324" s="140" t="s">
        <v>73</v>
      </c>
      <c r="C324" s="140" t="s">
        <v>74</v>
      </c>
      <c r="D324" s="149" t="s">
        <v>125</v>
      </c>
      <c r="E324" s="139" t="s">
        <v>126</v>
      </c>
      <c r="F324" s="142"/>
      <c r="G324" s="142"/>
      <c r="H324" s="142"/>
      <c r="I324" s="142"/>
      <c r="J324" s="142"/>
      <c r="K324" s="92"/>
      <c r="L324" s="92"/>
      <c r="M324" s="92"/>
      <c r="N324" s="92"/>
      <c r="O324" s="92"/>
      <c r="P324" s="92"/>
    </row>
    <row r="325" spans="1:16" x14ac:dyDescent="0.2">
      <c r="A325" s="140" t="s">
        <v>182</v>
      </c>
      <c r="B325" s="140" t="s">
        <v>73</v>
      </c>
      <c r="C325" s="140" t="s">
        <v>74</v>
      </c>
      <c r="D325" s="149" t="s">
        <v>840</v>
      </c>
      <c r="E325" s="139" t="s">
        <v>728</v>
      </c>
      <c r="F325" s="142"/>
      <c r="G325" s="142"/>
      <c r="H325" s="142"/>
      <c r="I325" s="142"/>
      <c r="J325" s="142"/>
      <c r="K325" s="92"/>
      <c r="L325" s="92"/>
      <c r="M325" s="92"/>
      <c r="N325" s="92"/>
      <c r="O325" s="92"/>
      <c r="P325" s="92"/>
    </row>
    <row r="326" spans="1:16" x14ac:dyDescent="0.2">
      <c r="A326" s="140" t="s">
        <v>182</v>
      </c>
      <c r="B326" s="140" t="s">
        <v>73</v>
      </c>
      <c r="C326" s="140" t="s">
        <v>116</v>
      </c>
      <c r="D326" s="149" t="s">
        <v>117</v>
      </c>
      <c r="E326" s="139" t="s">
        <v>118</v>
      </c>
      <c r="F326" s="142"/>
      <c r="G326" s="142"/>
      <c r="H326" s="142"/>
      <c r="I326" s="142"/>
      <c r="J326" s="142"/>
      <c r="K326" s="92"/>
      <c r="L326" s="92"/>
      <c r="M326" s="92"/>
      <c r="N326" s="92"/>
      <c r="O326" s="92"/>
      <c r="P326" s="92"/>
    </row>
    <row r="327" spans="1:16" x14ac:dyDescent="0.2">
      <c r="A327" s="140" t="s">
        <v>182</v>
      </c>
      <c r="B327" s="140" t="s">
        <v>73</v>
      </c>
      <c r="C327" s="140" t="s">
        <v>116</v>
      </c>
      <c r="D327" s="149" t="s">
        <v>216</v>
      </c>
      <c r="E327" s="139" t="s">
        <v>217</v>
      </c>
      <c r="F327" s="142"/>
      <c r="G327" s="142"/>
      <c r="H327" s="142"/>
      <c r="I327" s="142"/>
      <c r="J327" s="142"/>
      <c r="K327" s="92"/>
      <c r="L327" s="92"/>
      <c r="M327" s="92"/>
      <c r="N327" s="92"/>
      <c r="O327" s="92"/>
      <c r="P327" s="92"/>
    </row>
    <row r="328" spans="1:16" x14ac:dyDescent="0.2">
      <c r="A328" s="140" t="s">
        <v>182</v>
      </c>
      <c r="B328" s="140" t="s">
        <v>73</v>
      </c>
      <c r="C328" s="140" t="s">
        <v>116</v>
      </c>
      <c r="D328" s="149" t="s">
        <v>841</v>
      </c>
      <c r="E328" s="139" t="s">
        <v>753</v>
      </c>
      <c r="F328" s="142"/>
      <c r="G328" s="142"/>
      <c r="H328" s="142"/>
      <c r="I328" s="142"/>
      <c r="J328" s="142"/>
      <c r="K328" s="92"/>
      <c r="L328" s="92"/>
      <c r="M328" s="92"/>
      <c r="N328" s="92"/>
      <c r="O328" s="92"/>
      <c r="P328" s="92"/>
    </row>
    <row r="329" spans="1:16" x14ac:dyDescent="0.2">
      <c r="A329" s="140" t="s">
        <v>182</v>
      </c>
      <c r="B329" s="140" t="s">
        <v>73</v>
      </c>
      <c r="C329" s="140" t="s">
        <v>119</v>
      </c>
      <c r="D329" s="149" t="s">
        <v>119</v>
      </c>
      <c r="E329" s="139" t="s">
        <v>120</v>
      </c>
      <c r="F329" s="142"/>
      <c r="G329" s="142"/>
      <c r="H329" s="142"/>
      <c r="I329" s="142"/>
      <c r="J329" s="142"/>
      <c r="K329" s="92"/>
      <c r="L329" s="92"/>
      <c r="M329" s="92"/>
      <c r="N329" s="92"/>
      <c r="O329" s="92"/>
      <c r="P329" s="92"/>
    </row>
    <row r="330" spans="1:16" x14ac:dyDescent="0.2">
      <c r="A330" s="140" t="s">
        <v>182</v>
      </c>
      <c r="B330" s="140" t="s">
        <v>73</v>
      </c>
      <c r="C330" s="140" t="s">
        <v>119</v>
      </c>
      <c r="D330" s="149" t="s">
        <v>148</v>
      </c>
      <c r="E330" s="139" t="s">
        <v>149</v>
      </c>
      <c r="F330" s="142"/>
      <c r="G330" s="142"/>
      <c r="H330" s="142"/>
      <c r="I330" s="142"/>
      <c r="J330" s="142"/>
      <c r="K330" s="92"/>
      <c r="L330" s="92"/>
      <c r="M330" s="92"/>
      <c r="N330" s="92"/>
      <c r="O330" s="92"/>
      <c r="P330" s="92"/>
    </row>
    <row r="331" spans="1:16" x14ac:dyDescent="0.2">
      <c r="A331" s="140" t="s">
        <v>182</v>
      </c>
      <c r="B331" s="140" t="s">
        <v>41</v>
      </c>
      <c r="C331" s="140" t="s">
        <v>813</v>
      </c>
      <c r="D331" s="149" t="s">
        <v>842</v>
      </c>
      <c r="E331" s="139" t="s">
        <v>698</v>
      </c>
      <c r="F331" s="142"/>
      <c r="G331" s="142"/>
      <c r="H331" s="142"/>
      <c r="I331" s="142"/>
      <c r="J331" s="142"/>
      <c r="K331" s="92"/>
      <c r="L331" s="92"/>
      <c r="M331" s="92"/>
      <c r="N331" s="92"/>
      <c r="O331" s="92"/>
      <c r="P331" s="92"/>
    </row>
    <row r="332" spans="1:16" x14ac:dyDescent="0.2">
      <c r="A332" s="140" t="s">
        <v>182</v>
      </c>
      <c r="B332" s="140" t="s">
        <v>41</v>
      </c>
      <c r="C332" s="140" t="s">
        <v>813</v>
      </c>
      <c r="D332" s="149" t="s">
        <v>843</v>
      </c>
      <c r="E332" s="139" t="s">
        <v>699</v>
      </c>
      <c r="F332" s="142"/>
      <c r="G332" s="142"/>
      <c r="H332" s="142"/>
      <c r="I332" s="142"/>
      <c r="J332" s="142"/>
      <c r="K332" s="92"/>
      <c r="L332" s="92"/>
      <c r="M332" s="92"/>
      <c r="N332" s="92"/>
      <c r="O332" s="92"/>
      <c r="P332" s="92"/>
    </row>
    <row r="333" spans="1:16" x14ac:dyDescent="0.2">
      <c r="A333" s="140" t="s">
        <v>182</v>
      </c>
      <c r="B333" s="140" t="s">
        <v>41</v>
      </c>
      <c r="C333" s="140" t="s">
        <v>813</v>
      </c>
      <c r="D333" s="149" t="s">
        <v>497</v>
      </c>
      <c r="E333" s="139" t="s">
        <v>700</v>
      </c>
      <c r="F333" s="142"/>
      <c r="G333" s="142"/>
      <c r="H333" s="142"/>
      <c r="I333" s="142"/>
      <c r="J333" s="142"/>
      <c r="K333" s="92"/>
      <c r="L333" s="92"/>
      <c r="M333" s="92"/>
      <c r="N333" s="92"/>
      <c r="O333" s="92"/>
      <c r="P333" s="92"/>
    </row>
    <row r="334" spans="1:16" x14ac:dyDescent="0.2">
      <c r="A334" s="140" t="s">
        <v>182</v>
      </c>
      <c r="B334" s="140" t="s">
        <v>41</v>
      </c>
      <c r="C334" s="140" t="s">
        <v>813</v>
      </c>
      <c r="D334" s="149" t="s">
        <v>42</v>
      </c>
      <c r="E334" s="139" t="s">
        <v>43</v>
      </c>
      <c r="F334" s="142"/>
      <c r="G334" s="142"/>
      <c r="H334" s="142"/>
      <c r="I334" s="142"/>
      <c r="J334" s="142"/>
      <c r="K334" s="92"/>
      <c r="L334" s="92"/>
      <c r="M334" s="92"/>
      <c r="N334" s="92"/>
      <c r="O334" s="92"/>
      <c r="P334" s="92"/>
    </row>
    <row r="335" spans="1:16" x14ac:dyDescent="0.2">
      <c r="A335" s="140" t="s">
        <v>182</v>
      </c>
      <c r="B335" s="140" t="s">
        <v>41</v>
      </c>
      <c r="C335" s="140" t="s">
        <v>813</v>
      </c>
      <c r="D335" s="149" t="s">
        <v>844</v>
      </c>
      <c r="E335" s="139" t="s">
        <v>701</v>
      </c>
      <c r="F335" s="142"/>
      <c r="G335" s="142"/>
      <c r="H335" s="142"/>
      <c r="I335" s="142"/>
      <c r="J335" s="142"/>
      <c r="K335" s="92"/>
      <c r="L335" s="92"/>
      <c r="M335" s="92"/>
      <c r="N335" s="92"/>
      <c r="O335" s="92"/>
      <c r="P335" s="92"/>
    </row>
    <row r="336" spans="1:16" x14ac:dyDescent="0.2">
      <c r="A336" s="140" t="s">
        <v>182</v>
      </c>
      <c r="B336" s="140" t="s">
        <v>41</v>
      </c>
      <c r="C336" s="140" t="s">
        <v>813</v>
      </c>
      <c r="D336" s="149" t="s">
        <v>845</v>
      </c>
      <c r="E336" s="139" t="s">
        <v>702</v>
      </c>
      <c r="F336" s="142"/>
      <c r="G336" s="142"/>
      <c r="H336" s="142"/>
      <c r="I336" s="142"/>
      <c r="J336" s="142"/>
      <c r="K336" s="92"/>
      <c r="L336" s="92"/>
      <c r="M336" s="92"/>
      <c r="N336" s="92"/>
      <c r="O336" s="92"/>
      <c r="P336" s="92"/>
    </row>
    <row r="337" spans="1:16" x14ac:dyDescent="0.2">
      <c r="A337" s="140" t="s">
        <v>182</v>
      </c>
      <c r="B337" s="140" t="s">
        <v>41</v>
      </c>
      <c r="C337" s="140" t="s">
        <v>813</v>
      </c>
      <c r="D337" s="149" t="s">
        <v>846</v>
      </c>
      <c r="E337" s="139" t="s">
        <v>703</v>
      </c>
      <c r="F337" s="142"/>
      <c r="G337" s="142"/>
      <c r="H337" s="142"/>
      <c r="I337" s="142"/>
      <c r="J337" s="142"/>
      <c r="K337" s="92"/>
      <c r="L337" s="92"/>
      <c r="M337" s="92"/>
      <c r="N337" s="92"/>
      <c r="O337" s="92"/>
      <c r="P337" s="92"/>
    </row>
    <row r="338" spans="1:16" x14ac:dyDescent="0.2">
      <c r="A338" s="140" t="s">
        <v>182</v>
      </c>
      <c r="B338" s="140" t="s">
        <v>41</v>
      </c>
      <c r="C338" s="140" t="s">
        <v>813</v>
      </c>
      <c r="D338" s="149" t="s">
        <v>64</v>
      </c>
      <c r="E338" s="139" t="s">
        <v>65</v>
      </c>
      <c r="F338" s="142"/>
      <c r="G338" s="142"/>
      <c r="H338" s="142"/>
      <c r="I338" s="142"/>
      <c r="J338" s="142"/>
      <c r="K338" s="92"/>
      <c r="L338" s="92"/>
      <c r="M338" s="92"/>
      <c r="N338" s="92"/>
      <c r="O338" s="92"/>
      <c r="P338" s="92"/>
    </row>
    <row r="339" spans="1:16" x14ac:dyDescent="0.2">
      <c r="A339" s="140" t="s">
        <v>182</v>
      </c>
      <c r="B339" s="140" t="s">
        <v>41</v>
      </c>
      <c r="C339" s="140" t="s">
        <v>813</v>
      </c>
      <c r="D339" s="149" t="s">
        <v>847</v>
      </c>
      <c r="E339" s="139" t="s">
        <v>704</v>
      </c>
      <c r="F339" s="142"/>
      <c r="G339" s="142"/>
      <c r="H339" s="142"/>
      <c r="I339" s="142"/>
      <c r="J339" s="142"/>
      <c r="K339" s="92"/>
      <c r="L339" s="92"/>
      <c r="M339" s="92"/>
      <c r="N339" s="92"/>
      <c r="O339" s="92"/>
      <c r="P339" s="92"/>
    </row>
    <row r="340" spans="1:16" x14ac:dyDescent="0.2">
      <c r="A340" s="140" t="s">
        <v>182</v>
      </c>
      <c r="B340" s="140" t="s">
        <v>41</v>
      </c>
      <c r="C340" s="140" t="s">
        <v>813</v>
      </c>
      <c r="D340" s="149" t="s">
        <v>504</v>
      </c>
      <c r="E340" s="139" t="s">
        <v>705</v>
      </c>
      <c r="F340" s="142"/>
      <c r="G340" s="142"/>
      <c r="H340" s="142"/>
      <c r="I340" s="142"/>
      <c r="J340" s="142"/>
      <c r="K340" s="92"/>
      <c r="L340" s="92"/>
      <c r="M340" s="92"/>
      <c r="N340" s="92"/>
      <c r="O340" s="92"/>
      <c r="P340" s="92"/>
    </row>
    <row r="341" spans="1:16" x14ac:dyDescent="0.2">
      <c r="A341" s="140" t="s">
        <v>182</v>
      </c>
      <c r="B341" s="140" t="s">
        <v>41</v>
      </c>
      <c r="C341" s="140" t="s">
        <v>813</v>
      </c>
      <c r="D341" s="149" t="s">
        <v>848</v>
      </c>
      <c r="E341" s="139" t="s">
        <v>706</v>
      </c>
      <c r="F341" s="142"/>
      <c r="G341" s="142"/>
      <c r="H341" s="142"/>
      <c r="I341" s="142"/>
      <c r="J341" s="142"/>
      <c r="K341" s="92"/>
      <c r="L341" s="92"/>
      <c r="M341" s="92"/>
      <c r="N341" s="92"/>
      <c r="O341" s="92"/>
      <c r="P341" s="92"/>
    </row>
    <row r="342" spans="1:16" x14ac:dyDescent="0.2">
      <c r="A342" s="140" t="s">
        <v>182</v>
      </c>
      <c r="B342" s="140" t="s">
        <v>41</v>
      </c>
      <c r="C342" s="140" t="s">
        <v>813</v>
      </c>
      <c r="D342" s="149" t="s">
        <v>849</v>
      </c>
      <c r="E342" s="139" t="s">
        <v>707</v>
      </c>
      <c r="F342" s="142"/>
      <c r="G342" s="142"/>
      <c r="H342" s="142"/>
      <c r="I342" s="142"/>
      <c r="J342" s="142"/>
      <c r="K342" s="92"/>
      <c r="L342" s="92"/>
      <c r="M342" s="92"/>
      <c r="N342" s="92"/>
      <c r="O342" s="92"/>
      <c r="P342" s="92"/>
    </row>
    <row r="343" spans="1:16" x14ac:dyDescent="0.2">
      <c r="A343" s="140" t="s">
        <v>182</v>
      </c>
      <c r="B343" s="140" t="s">
        <v>41</v>
      </c>
      <c r="C343" s="140" t="s">
        <v>813</v>
      </c>
      <c r="D343" s="149" t="s">
        <v>850</v>
      </c>
      <c r="E343" s="139" t="s">
        <v>708</v>
      </c>
      <c r="F343" s="142"/>
      <c r="G343" s="142"/>
      <c r="H343" s="142"/>
      <c r="I343" s="142"/>
      <c r="J343" s="142"/>
      <c r="K343" s="92"/>
      <c r="L343" s="92"/>
      <c r="M343" s="92"/>
      <c r="N343" s="92"/>
      <c r="O343" s="92"/>
      <c r="P343" s="92"/>
    </row>
    <row r="344" spans="1:16" x14ac:dyDescent="0.2">
      <c r="A344" s="140" t="s">
        <v>182</v>
      </c>
      <c r="B344" s="140" t="s">
        <v>41</v>
      </c>
      <c r="C344" s="140" t="s">
        <v>813</v>
      </c>
      <c r="D344" s="149" t="s">
        <v>851</v>
      </c>
      <c r="E344" s="139" t="s">
        <v>709</v>
      </c>
      <c r="F344" s="142"/>
      <c r="G344" s="142"/>
      <c r="H344" s="142"/>
      <c r="I344" s="142"/>
      <c r="J344" s="142"/>
      <c r="K344" s="92"/>
      <c r="L344" s="92"/>
      <c r="M344" s="92"/>
      <c r="N344" s="92"/>
      <c r="O344" s="92"/>
      <c r="P344" s="92"/>
    </row>
    <row r="345" spans="1:16" x14ac:dyDescent="0.2">
      <c r="A345" s="140" t="s">
        <v>182</v>
      </c>
      <c r="B345" s="140" t="s">
        <v>55</v>
      </c>
      <c r="C345" s="140" t="s">
        <v>220</v>
      </c>
      <c r="D345" s="149" t="s">
        <v>220</v>
      </c>
      <c r="E345" s="139" t="s">
        <v>221</v>
      </c>
      <c r="F345" s="142"/>
      <c r="G345" s="142"/>
      <c r="H345" s="142"/>
      <c r="I345" s="142"/>
      <c r="J345" s="142"/>
      <c r="K345" s="92"/>
      <c r="L345" s="92"/>
      <c r="M345" s="92"/>
      <c r="N345" s="92"/>
      <c r="O345" s="92"/>
      <c r="P345" s="92"/>
    </row>
    <row r="346" spans="1:16" x14ac:dyDescent="0.2">
      <c r="A346" s="140" t="s">
        <v>182</v>
      </c>
      <c r="B346" s="140" t="s">
        <v>55</v>
      </c>
      <c r="C346" s="140" t="s">
        <v>220</v>
      </c>
      <c r="D346" s="149" t="s">
        <v>852</v>
      </c>
      <c r="E346" s="139" t="s">
        <v>696</v>
      </c>
      <c r="F346" s="142"/>
      <c r="G346" s="142"/>
      <c r="H346" s="142"/>
      <c r="I346" s="142"/>
      <c r="J346" s="142"/>
      <c r="K346" s="92"/>
      <c r="L346" s="92"/>
      <c r="M346" s="92"/>
      <c r="N346" s="92"/>
      <c r="O346" s="92"/>
      <c r="P346" s="92"/>
    </row>
    <row r="347" spans="1:16" x14ac:dyDescent="0.2">
      <c r="A347" s="140" t="s">
        <v>182</v>
      </c>
      <c r="B347" s="140" t="s">
        <v>55</v>
      </c>
      <c r="C347" s="140" t="s">
        <v>220</v>
      </c>
      <c r="D347" s="149" t="s">
        <v>515</v>
      </c>
      <c r="E347" s="139" t="s">
        <v>697</v>
      </c>
      <c r="F347" s="142"/>
      <c r="G347" s="142"/>
      <c r="H347" s="142"/>
      <c r="I347" s="142"/>
      <c r="J347" s="142"/>
      <c r="K347" s="92"/>
      <c r="L347" s="92"/>
      <c r="M347" s="92"/>
      <c r="N347" s="92"/>
      <c r="O347" s="92"/>
      <c r="P347" s="92"/>
    </row>
    <row r="348" spans="1:16" x14ac:dyDescent="0.2">
      <c r="A348" s="140" t="s">
        <v>182</v>
      </c>
      <c r="B348" s="140" t="s">
        <v>55</v>
      </c>
      <c r="C348" s="140" t="s">
        <v>56</v>
      </c>
      <c r="D348" s="149" t="s">
        <v>488</v>
      </c>
      <c r="E348" s="139" t="s">
        <v>711</v>
      </c>
      <c r="F348" s="142"/>
      <c r="G348" s="142"/>
      <c r="H348" s="142"/>
      <c r="I348" s="142"/>
      <c r="J348" s="142"/>
      <c r="K348" s="92"/>
      <c r="L348" s="92"/>
      <c r="M348" s="92"/>
      <c r="N348" s="92"/>
      <c r="O348" s="92"/>
      <c r="P348" s="92"/>
    </row>
    <row r="349" spans="1:16" x14ac:dyDescent="0.2">
      <c r="A349" s="140" t="s">
        <v>182</v>
      </c>
      <c r="B349" s="140" t="s">
        <v>55</v>
      </c>
      <c r="C349" s="140" t="s">
        <v>56</v>
      </c>
      <c r="D349" s="149" t="s">
        <v>56</v>
      </c>
      <c r="E349" s="139" t="s">
        <v>57</v>
      </c>
      <c r="F349" s="142"/>
      <c r="G349" s="142"/>
      <c r="H349" s="142"/>
      <c r="I349" s="142"/>
      <c r="J349" s="142"/>
      <c r="K349" s="92"/>
      <c r="L349" s="92"/>
      <c r="M349" s="92"/>
      <c r="N349" s="92"/>
      <c r="O349" s="92"/>
      <c r="P349" s="92"/>
    </row>
    <row r="350" spans="1:16" x14ac:dyDescent="0.2">
      <c r="A350" s="140" t="s">
        <v>182</v>
      </c>
      <c r="B350" s="140" t="s">
        <v>55</v>
      </c>
      <c r="C350" s="140" t="s">
        <v>86</v>
      </c>
      <c r="D350" s="149" t="s">
        <v>445</v>
      </c>
      <c r="E350" s="139" t="s">
        <v>719</v>
      </c>
      <c r="F350" s="142"/>
      <c r="G350" s="142"/>
      <c r="H350" s="142"/>
      <c r="I350" s="142"/>
      <c r="J350" s="142"/>
      <c r="K350" s="92"/>
      <c r="L350" s="92"/>
      <c r="M350" s="92"/>
      <c r="N350" s="92"/>
      <c r="O350" s="92"/>
      <c r="P350" s="92"/>
    </row>
    <row r="351" spans="1:16" x14ac:dyDescent="0.2">
      <c r="A351" s="140" t="s">
        <v>182</v>
      </c>
      <c r="B351" s="140" t="s">
        <v>55</v>
      </c>
      <c r="C351" s="140" t="s">
        <v>86</v>
      </c>
      <c r="D351" s="149" t="s">
        <v>853</v>
      </c>
      <c r="E351" s="139" t="s">
        <v>720</v>
      </c>
      <c r="F351" s="142"/>
      <c r="G351" s="142"/>
      <c r="H351" s="142"/>
      <c r="I351" s="142"/>
      <c r="J351" s="142"/>
      <c r="K351" s="92"/>
      <c r="L351" s="92"/>
      <c r="M351" s="92"/>
      <c r="N351" s="92"/>
      <c r="O351" s="92"/>
      <c r="P351" s="92"/>
    </row>
    <row r="352" spans="1:16" x14ac:dyDescent="0.2">
      <c r="A352" s="140" t="s">
        <v>182</v>
      </c>
      <c r="B352" s="140" t="s">
        <v>55</v>
      </c>
      <c r="C352" s="140" t="s">
        <v>86</v>
      </c>
      <c r="D352" s="149" t="s">
        <v>854</v>
      </c>
      <c r="E352" s="139" t="s">
        <v>721</v>
      </c>
      <c r="F352" s="142"/>
      <c r="G352" s="142"/>
      <c r="H352" s="142"/>
      <c r="I352" s="142"/>
      <c r="J352" s="142"/>
      <c r="K352" s="92"/>
      <c r="L352" s="92"/>
      <c r="M352" s="92"/>
      <c r="N352" s="92"/>
      <c r="O352" s="92"/>
      <c r="P352" s="92"/>
    </row>
    <row r="353" spans="1:16" x14ac:dyDescent="0.2">
      <c r="A353" s="140" t="s">
        <v>182</v>
      </c>
      <c r="B353" s="140" t="s">
        <v>55</v>
      </c>
      <c r="C353" s="140" t="s">
        <v>86</v>
      </c>
      <c r="D353" s="149" t="s">
        <v>855</v>
      </c>
      <c r="E353" s="139" t="s">
        <v>722</v>
      </c>
      <c r="F353" s="142"/>
      <c r="G353" s="142"/>
      <c r="H353" s="142"/>
      <c r="I353" s="142"/>
      <c r="J353" s="142"/>
      <c r="K353" s="92"/>
      <c r="L353" s="92"/>
      <c r="M353" s="92"/>
      <c r="N353" s="92"/>
      <c r="O353" s="92"/>
      <c r="P353" s="92"/>
    </row>
    <row r="354" spans="1:16" x14ac:dyDescent="0.2">
      <c r="A354" s="140" t="s">
        <v>182</v>
      </c>
      <c r="B354" s="140" t="s">
        <v>55</v>
      </c>
      <c r="C354" s="140" t="s">
        <v>86</v>
      </c>
      <c r="D354" s="149" t="s">
        <v>87</v>
      </c>
      <c r="E354" s="139" t="s">
        <v>88</v>
      </c>
      <c r="F354" s="142"/>
      <c r="G354" s="142"/>
      <c r="H354" s="142"/>
      <c r="I354" s="142"/>
      <c r="J354" s="142"/>
      <c r="K354" s="92"/>
      <c r="L354" s="92"/>
      <c r="M354" s="92"/>
      <c r="N354" s="92"/>
      <c r="O354" s="92"/>
      <c r="P354" s="92"/>
    </row>
    <row r="355" spans="1:16" x14ac:dyDescent="0.2">
      <c r="A355" s="140" t="s">
        <v>182</v>
      </c>
      <c r="B355" s="140" t="s">
        <v>55</v>
      </c>
      <c r="C355" s="140" t="s">
        <v>86</v>
      </c>
      <c r="D355" s="149" t="s">
        <v>856</v>
      </c>
      <c r="E355" s="139" t="s">
        <v>723</v>
      </c>
      <c r="F355" s="142"/>
      <c r="G355" s="142"/>
      <c r="H355" s="142"/>
      <c r="I355" s="142"/>
      <c r="J355" s="142"/>
      <c r="K355" s="92"/>
      <c r="L355" s="92"/>
      <c r="M355" s="92"/>
      <c r="N355" s="92"/>
      <c r="O355" s="92"/>
      <c r="P355" s="92"/>
    </row>
    <row r="356" spans="1:16" x14ac:dyDescent="0.2">
      <c r="A356" s="140" t="s">
        <v>182</v>
      </c>
      <c r="B356" s="140" t="s">
        <v>55</v>
      </c>
      <c r="C356" s="140" t="s">
        <v>78</v>
      </c>
      <c r="D356" s="149" t="s">
        <v>326</v>
      </c>
      <c r="E356" s="139" t="s">
        <v>693</v>
      </c>
      <c r="F356" s="142"/>
      <c r="G356" s="142"/>
      <c r="H356" s="142"/>
      <c r="I356" s="142"/>
      <c r="J356" s="142"/>
      <c r="K356" s="92"/>
      <c r="L356" s="92"/>
      <c r="M356" s="92"/>
      <c r="N356" s="92"/>
      <c r="O356" s="92"/>
      <c r="P356" s="92"/>
    </row>
    <row r="357" spans="1:16" x14ac:dyDescent="0.2">
      <c r="A357" s="140" t="s">
        <v>182</v>
      </c>
      <c r="B357" s="140" t="s">
        <v>55</v>
      </c>
      <c r="C357" s="140" t="s">
        <v>78</v>
      </c>
      <c r="D357" s="149" t="s">
        <v>79</v>
      </c>
      <c r="E357" s="139" t="s">
        <v>80</v>
      </c>
      <c r="F357" s="142"/>
      <c r="G357" s="142"/>
      <c r="H357" s="142"/>
      <c r="I357" s="142"/>
      <c r="J357" s="142"/>
      <c r="K357" s="92"/>
      <c r="L357" s="92"/>
      <c r="M357" s="92"/>
      <c r="N357" s="92"/>
      <c r="O357" s="92"/>
      <c r="P357" s="92"/>
    </row>
    <row r="358" spans="1:16" x14ac:dyDescent="0.2">
      <c r="A358" s="140" t="s">
        <v>182</v>
      </c>
      <c r="B358" s="140" t="s">
        <v>55</v>
      </c>
      <c r="C358" s="140" t="s">
        <v>78</v>
      </c>
      <c r="D358" s="149" t="s">
        <v>857</v>
      </c>
      <c r="E358" s="139" t="s">
        <v>694</v>
      </c>
      <c r="F358" s="142"/>
      <c r="G358" s="142"/>
      <c r="H358" s="142"/>
      <c r="I358" s="142"/>
      <c r="J358" s="142"/>
      <c r="K358" s="92"/>
      <c r="L358" s="92"/>
      <c r="M358" s="92"/>
      <c r="N358" s="92"/>
      <c r="O358" s="92"/>
      <c r="P358" s="92"/>
    </row>
    <row r="359" spans="1:16" x14ac:dyDescent="0.2">
      <c r="A359" s="140" t="s">
        <v>182</v>
      </c>
      <c r="B359" s="140" t="s">
        <v>55</v>
      </c>
      <c r="C359" s="140" t="s">
        <v>78</v>
      </c>
      <c r="D359" s="149" t="s">
        <v>98</v>
      </c>
      <c r="E359" s="139" t="s">
        <v>99</v>
      </c>
      <c r="F359" s="142"/>
      <c r="G359" s="142"/>
      <c r="H359" s="142"/>
      <c r="I359" s="142"/>
      <c r="J359" s="142"/>
      <c r="K359" s="92"/>
      <c r="L359" s="92"/>
      <c r="M359" s="92"/>
      <c r="N359" s="92"/>
      <c r="O359" s="92"/>
      <c r="P359" s="92"/>
    </row>
    <row r="360" spans="1:16" x14ac:dyDescent="0.2">
      <c r="A360" s="140" t="s">
        <v>182</v>
      </c>
      <c r="B360" s="140" t="s">
        <v>55</v>
      </c>
      <c r="C360" s="140" t="s">
        <v>78</v>
      </c>
      <c r="D360" s="149" t="s">
        <v>333</v>
      </c>
      <c r="E360" s="139" t="s">
        <v>695</v>
      </c>
      <c r="F360" s="142"/>
      <c r="G360" s="142"/>
      <c r="H360" s="142"/>
      <c r="I360" s="142"/>
      <c r="J360" s="142"/>
      <c r="K360" s="92"/>
      <c r="L360" s="92"/>
      <c r="M360" s="92"/>
      <c r="N360" s="92"/>
      <c r="O360" s="92"/>
      <c r="P360" s="92"/>
    </row>
    <row r="361" spans="1:16" x14ac:dyDescent="0.2">
      <c r="A361" s="140" t="s">
        <v>182</v>
      </c>
      <c r="B361" s="140" t="s">
        <v>31</v>
      </c>
      <c r="C361" s="140" t="s">
        <v>32</v>
      </c>
      <c r="D361" s="149" t="s">
        <v>32</v>
      </c>
      <c r="E361" s="139" t="s">
        <v>33</v>
      </c>
      <c r="F361" s="142"/>
      <c r="G361" s="142"/>
      <c r="H361" s="142"/>
      <c r="I361" s="142"/>
      <c r="J361" s="142"/>
      <c r="K361" s="92"/>
      <c r="L361" s="92"/>
      <c r="M361" s="92"/>
      <c r="N361" s="92"/>
      <c r="O361" s="92"/>
      <c r="P361" s="92"/>
    </row>
    <row r="362" spans="1:16" x14ac:dyDescent="0.2">
      <c r="A362" s="140" t="s">
        <v>182</v>
      </c>
      <c r="B362" s="140" t="s">
        <v>31</v>
      </c>
      <c r="C362" s="140" t="s">
        <v>127</v>
      </c>
      <c r="D362" s="149" t="s">
        <v>858</v>
      </c>
      <c r="E362" s="139" t="s">
        <v>712</v>
      </c>
      <c r="F362" s="142"/>
      <c r="G362" s="142"/>
      <c r="H362" s="142"/>
      <c r="I362" s="142"/>
      <c r="J362" s="142"/>
      <c r="K362" s="92"/>
      <c r="L362" s="92"/>
      <c r="M362" s="92"/>
      <c r="N362" s="92"/>
      <c r="O362" s="92"/>
      <c r="P362" s="92"/>
    </row>
    <row r="363" spans="1:16" x14ac:dyDescent="0.2">
      <c r="A363" s="140" t="s">
        <v>182</v>
      </c>
      <c r="B363" s="140" t="s">
        <v>31</v>
      </c>
      <c r="C363" s="140" t="s">
        <v>127</v>
      </c>
      <c r="D363" s="149" t="s">
        <v>483</v>
      </c>
      <c r="E363" s="139" t="s">
        <v>713</v>
      </c>
      <c r="F363" s="142"/>
      <c r="G363" s="142"/>
      <c r="H363" s="142"/>
      <c r="I363" s="142"/>
      <c r="J363" s="142"/>
      <c r="K363" s="92"/>
      <c r="L363" s="92"/>
      <c r="M363" s="92"/>
      <c r="N363" s="92"/>
      <c r="O363" s="92"/>
      <c r="P363" s="92"/>
    </row>
    <row r="364" spans="1:16" x14ac:dyDescent="0.2">
      <c r="A364" s="140" t="s">
        <v>182</v>
      </c>
      <c r="B364" s="140" t="s">
        <v>31</v>
      </c>
      <c r="C364" s="140" t="s">
        <v>127</v>
      </c>
      <c r="D364" s="149" t="s">
        <v>485</v>
      </c>
      <c r="E364" s="139" t="s">
        <v>714</v>
      </c>
      <c r="F364" s="142"/>
      <c r="G364" s="142"/>
      <c r="H364" s="142"/>
      <c r="I364" s="142"/>
      <c r="J364" s="142"/>
      <c r="K364" s="92"/>
      <c r="L364" s="92"/>
      <c r="M364" s="92"/>
      <c r="N364" s="92"/>
      <c r="O364" s="92"/>
      <c r="P364" s="92"/>
    </row>
    <row r="365" spans="1:16" x14ac:dyDescent="0.2">
      <c r="A365" s="140" t="s">
        <v>182</v>
      </c>
      <c r="B365" s="140" t="s">
        <v>31</v>
      </c>
      <c r="C365" s="140" t="s">
        <v>127</v>
      </c>
      <c r="D365" s="149" t="s">
        <v>859</v>
      </c>
      <c r="E365" s="139" t="s">
        <v>715</v>
      </c>
      <c r="F365" s="142"/>
      <c r="G365" s="142"/>
      <c r="H365" s="142"/>
      <c r="I365" s="142"/>
      <c r="J365" s="142"/>
      <c r="K365" s="92"/>
      <c r="L365" s="92"/>
      <c r="M365" s="92"/>
      <c r="N365" s="92"/>
      <c r="O365" s="92"/>
      <c r="P365" s="92"/>
    </row>
    <row r="366" spans="1:16" x14ac:dyDescent="0.2">
      <c r="A366" s="140" t="s">
        <v>182</v>
      </c>
      <c r="B366" s="140" t="s">
        <v>31</v>
      </c>
      <c r="C366" s="140" t="s">
        <v>127</v>
      </c>
      <c r="D366" s="149" t="s">
        <v>860</v>
      </c>
      <c r="E366" s="139" t="s">
        <v>129</v>
      </c>
      <c r="F366" s="142"/>
      <c r="G366" s="142"/>
      <c r="H366" s="142"/>
      <c r="I366" s="142"/>
      <c r="J366" s="142"/>
      <c r="K366" s="92"/>
      <c r="L366" s="92"/>
      <c r="M366" s="92"/>
      <c r="N366" s="92"/>
      <c r="O366" s="92"/>
      <c r="P366" s="92"/>
    </row>
    <row r="367" spans="1:16" x14ac:dyDescent="0.2">
      <c r="A367" s="140" t="s">
        <v>182</v>
      </c>
      <c r="B367" s="140" t="s">
        <v>31</v>
      </c>
      <c r="C367" s="140" t="s">
        <v>111</v>
      </c>
      <c r="D367" s="149" t="s">
        <v>430</v>
      </c>
      <c r="E367" s="139" t="s">
        <v>730</v>
      </c>
      <c r="F367" s="142"/>
      <c r="G367" s="142"/>
      <c r="H367" s="142"/>
      <c r="I367" s="142"/>
      <c r="J367" s="142"/>
      <c r="K367" s="92"/>
      <c r="L367" s="92"/>
      <c r="M367" s="92"/>
      <c r="N367" s="92"/>
      <c r="O367" s="92"/>
      <c r="P367" s="92"/>
    </row>
    <row r="368" spans="1:16" x14ac:dyDescent="0.2">
      <c r="A368" s="140" t="s">
        <v>182</v>
      </c>
      <c r="B368" s="140" t="s">
        <v>31</v>
      </c>
      <c r="C368" s="140" t="s">
        <v>111</v>
      </c>
      <c r="D368" s="149" t="s">
        <v>861</v>
      </c>
      <c r="E368" s="139" t="s">
        <v>731</v>
      </c>
      <c r="F368" s="142"/>
      <c r="G368" s="142"/>
      <c r="H368" s="142"/>
      <c r="I368" s="142"/>
      <c r="J368" s="142"/>
      <c r="K368" s="92"/>
      <c r="L368" s="92"/>
      <c r="M368" s="92"/>
      <c r="N368" s="92"/>
      <c r="O368" s="92"/>
      <c r="P368" s="92"/>
    </row>
    <row r="369" spans="1:16" x14ac:dyDescent="0.2">
      <c r="A369" s="140" t="s">
        <v>182</v>
      </c>
      <c r="B369" s="140" t="s">
        <v>31</v>
      </c>
      <c r="C369" s="140" t="s">
        <v>111</v>
      </c>
      <c r="D369" s="149" t="s">
        <v>111</v>
      </c>
      <c r="E369" s="139" t="s">
        <v>112</v>
      </c>
      <c r="F369" s="142"/>
      <c r="G369" s="142"/>
      <c r="H369" s="142"/>
      <c r="I369" s="142"/>
      <c r="J369" s="142"/>
      <c r="K369" s="92"/>
      <c r="L369" s="92"/>
      <c r="M369" s="92"/>
      <c r="N369" s="92"/>
      <c r="O369" s="92"/>
      <c r="P369" s="92"/>
    </row>
    <row r="370" spans="1:16" x14ac:dyDescent="0.2">
      <c r="A370" s="140" t="s">
        <v>182</v>
      </c>
      <c r="B370" s="140" t="s">
        <v>31</v>
      </c>
      <c r="C370" s="140" t="s">
        <v>132</v>
      </c>
      <c r="D370" s="149" t="s">
        <v>346</v>
      </c>
      <c r="E370" s="139" t="s">
        <v>733</v>
      </c>
      <c r="F370" s="142"/>
      <c r="G370" s="142"/>
      <c r="H370" s="142"/>
      <c r="I370" s="142"/>
      <c r="J370" s="142"/>
      <c r="K370" s="92"/>
      <c r="L370" s="92"/>
      <c r="M370" s="92"/>
      <c r="N370" s="92"/>
      <c r="O370" s="92"/>
      <c r="P370" s="92"/>
    </row>
    <row r="371" spans="1:16" x14ac:dyDescent="0.2">
      <c r="A371" s="140" t="s">
        <v>182</v>
      </c>
      <c r="B371" s="140" t="s">
        <v>31</v>
      </c>
      <c r="C371" s="140" t="s">
        <v>132</v>
      </c>
      <c r="D371" s="149" t="s">
        <v>132</v>
      </c>
      <c r="E371" s="139" t="s">
        <v>133</v>
      </c>
      <c r="F371" s="142"/>
      <c r="G371" s="142"/>
      <c r="H371" s="142"/>
      <c r="I371" s="142"/>
      <c r="J371" s="142"/>
      <c r="K371" s="92"/>
      <c r="L371" s="92"/>
      <c r="M371" s="92"/>
      <c r="N371" s="92"/>
      <c r="O371" s="92"/>
      <c r="P371" s="92"/>
    </row>
    <row r="372" spans="1:16" x14ac:dyDescent="0.2">
      <c r="A372" s="140" t="s">
        <v>182</v>
      </c>
      <c r="B372" s="140" t="s">
        <v>31</v>
      </c>
      <c r="C372" s="140" t="s">
        <v>814</v>
      </c>
      <c r="D372" s="149" t="s">
        <v>863</v>
      </c>
      <c r="E372" s="139" t="s">
        <v>754</v>
      </c>
      <c r="F372" s="142"/>
      <c r="G372" s="142"/>
      <c r="H372" s="142"/>
      <c r="I372" s="142"/>
      <c r="J372" s="142"/>
      <c r="K372" s="92"/>
      <c r="L372" s="92"/>
      <c r="M372" s="92"/>
      <c r="N372" s="92"/>
      <c r="O372" s="92"/>
      <c r="P372" s="92"/>
    </row>
    <row r="373" spans="1:16" x14ac:dyDescent="0.2">
      <c r="A373" s="140" t="s">
        <v>182</v>
      </c>
      <c r="B373" s="140" t="s">
        <v>31</v>
      </c>
      <c r="C373" s="140" t="s">
        <v>814</v>
      </c>
      <c r="D373" s="149" t="s">
        <v>864</v>
      </c>
      <c r="E373" s="139" t="s">
        <v>755</v>
      </c>
      <c r="F373" s="142"/>
      <c r="G373" s="142"/>
      <c r="H373" s="142"/>
      <c r="I373" s="142"/>
      <c r="J373" s="142"/>
      <c r="K373" s="92"/>
      <c r="L373" s="92"/>
      <c r="M373" s="92"/>
      <c r="N373" s="92"/>
      <c r="O373" s="92"/>
      <c r="P373" s="92"/>
    </row>
    <row r="374" spans="1:16" x14ac:dyDescent="0.2">
      <c r="A374" s="140" t="s">
        <v>182</v>
      </c>
      <c r="B374" s="140" t="s">
        <v>31</v>
      </c>
      <c r="C374" s="140" t="s">
        <v>814</v>
      </c>
      <c r="D374" s="149" t="s">
        <v>865</v>
      </c>
      <c r="E374" s="139" t="s">
        <v>756</v>
      </c>
      <c r="F374" s="142"/>
      <c r="G374" s="142"/>
      <c r="H374" s="142"/>
      <c r="I374" s="142"/>
      <c r="J374" s="142"/>
      <c r="K374" s="92"/>
      <c r="L374" s="92"/>
      <c r="M374" s="92"/>
      <c r="N374" s="92"/>
      <c r="O374" s="92"/>
      <c r="P374" s="92"/>
    </row>
    <row r="375" spans="1:16" x14ac:dyDescent="0.2">
      <c r="A375" s="140" t="s">
        <v>182</v>
      </c>
      <c r="B375" s="140" t="s">
        <v>31</v>
      </c>
      <c r="C375" s="140" t="s">
        <v>814</v>
      </c>
      <c r="D375" s="149" t="s">
        <v>866</v>
      </c>
      <c r="E375" s="139" t="s">
        <v>757</v>
      </c>
      <c r="F375" s="142"/>
      <c r="G375" s="142"/>
      <c r="H375" s="142"/>
      <c r="I375" s="142"/>
      <c r="J375" s="142"/>
      <c r="K375" s="92"/>
      <c r="L375" s="92"/>
      <c r="M375" s="92"/>
      <c r="N375" s="92"/>
      <c r="O375" s="92"/>
      <c r="P375" s="92"/>
    </row>
    <row r="376" spans="1:16" x14ac:dyDescent="0.2">
      <c r="A376" s="140" t="s">
        <v>182</v>
      </c>
      <c r="B376" s="140" t="s">
        <v>31</v>
      </c>
      <c r="C376" s="140" t="s">
        <v>814</v>
      </c>
      <c r="D376" s="149" t="s">
        <v>123</v>
      </c>
      <c r="E376" s="139" t="s">
        <v>124</v>
      </c>
      <c r="F376" s="142"/>
      <c r="G376" s="142"/>
      <c r="H376" s="142"/>
      <c r="I376" s="142"/>
      <c r="J376" s="142"/>
      <c r="K376" s="92"/>
      <c r="L376" s="92"/>
      <c r="M376" s="92"/>
      <c r="N376" s="92"/>
      <c r="O376" s="92"/>
      <c r="P376" s="92"/>
    </row>
    <row r="377" spans="1:16" x14ac:dyDescent="0.2">
      <c r="A377" s="140" t="s">
        <v>182</v>
      </c>
      <c r="B377" s="140" t="s">
        <v>31</v>
      </c>
      <c r="C377" s="140" t="s">
        <v>814</v>
      </c>
      <c r="D377" s="149" t="s">
        <v>867</v>
      </c>
      <c r="E377" s="139" t="s">
        <v>758</v>
      </c>
      <c r="F377" s="142"/>
      <c r="G377" s="142"/>
      <c r="H377" s="142"/>
      <c r="I377" s="142"/>
      <c r="J377" s="142"/>
      <c r="K377" s="92"/>
      <c r="L377" s="92"/>
      <c r="M377" s="92"/>
      <c r="N377" s="92"/>
      <c r="O377" s="92"/>
      <c r="P377" s="92"/>
    </row>
    <row r="378" spans="1:16" x14ac:dyDescent="0.2">
      <c r="A378" s="140" t="s">
        <v>182</v>
      </c>
      <c r="B378" s="140" t="s">
        <v>58</v>
      </c>
      <c r="C378" s="140" t="s">
        <v>66</v>
      </c>
      <c r="D378" s="149" t="s">
        <v>585</v>
      </c>
      <c r="E378" s="139" t="s">
        <v>660</v>
      </c>
      <c r="F378" s="142"/>
      <c r="G378" s="142"/>
      <c r="H378" s="142"/>
      <c r="I378" s="142"/>
      <c r="J378" s="142"/>
      <c r="K378" s="92"/>
      <c r="L378" s="92"/>
      <c r="M378" s="92"/>
      <c r="N378" s="92"/>
      <c r="O378" s="92"/>
      <c r="P378" s="92"/>
    </row>
    <row r="379" spans="1:16" x14ac:dyDescent="0.2">
      <c r="A379" s="140" t="s">
        <v>182</v>
      </c>
      <c r="B379" s="140" t="s">
        <v>58</v>
      </c>
      <c r="C379" s="140" t="s">
        <v>66</v>
      </c>
      <c r="D379" s="149" t="s">
        <v>868</v>
      </c>
      <c r="E379" s="139" t="s">
        <v>661</v>
      </c>
      <c r="F379" s="142"/>
      <c r="G379" s="142"/>
      <c r="H379" s="142"/>
      <c r="I379" s="142"/>
      <c r="J379" s="142"/>
      <c r="K379" s="92"/>
      <c r="L379" s="92"/>
      <c r="M379" s="92"/>
      <c r="N379" s="92"/>
      <c r="O379" s="92"/>
      <c r="P379" s="92"/>
    </row>
    <row r="380" spans="1:16" x14ac:dyDescent="0.2">
      <c r="A380" s="140" t="s">
        <v>182</v>
      </c>
      <c r="B380" s="140" t="s">
        <v>58</v>
      </c>
      <c r="C380" s="140" t="s">
        <v>66</v>
      </c>
      <c r="D380" s="149" t="s">
        <v>590</v>
      </c>
      <c r="E380" s="139" t="s">
        <v>662</v>
      </c>
      <c r="F380" s="142"/>
      <c r="G380" s="142"/>
      <c r="H380" s="142"/>
      <c r="I380" s="142"/>
      <c r="J380" s="142"/>
      <c r="K380" s="92"/>
      <c r="L380" s="92"/>
      <c r="M380" s="92"/>
      <c r="N380" s="92"/>
      <c r="O380" s="92"/>
      <c r="P380" s="92"/>
    </row>
    <row r="381" spans="1:16" x14ac:dyDescent="0.2">
      <c r="A381" s="140" t="s">
        <v>182</v>
      </c>
      <c r="B381" s="140" t="s">
        <v>58</v>
      </c>
      <c r="C381" s="140" t="s">
        <v>66</v>
      </c>
      <c r="D381" s="149" t="s">
        <v>598</v>
      </c>
      <c r="E381" s="139" t="s">
        <v>666</v>
      </c>
      <c r="F381" s="142"/>
      <c r="G381" s="142"/>
      <c r="H381" s="142"/>
      <c r="I381" s="142"/>
      <c r="J381" s="142"/>
      <c r="K381" s="92"/>
      <c r="L381" s="92"/>
      <c r="M381" s="92"/>
      <c r="N381" s="92"/>
      <c r="O381" s="92"/>
      <c r="P381" s="92"/>
    </row>
    <row r="382" spans="1:16" x14ac:dyDescent="0.2">
      <c r="A382" s="140" t="s">
        <v>182</v>
      </c>
      <c r="B382" s="140" t="s">
        <v>58</v>
      </c>
      <c r="C382" s="140" t="s">
        <v>66</v>
      </c>
      <c r="D382" s="149" t="s">
        <v>222</v>
      </c>
      <c r="E382" s="139" t="s">
        <v>223</v>
      </c>
      <c r="F382" s="142"/>
      <c r="G382" s="142"/>
      <c r="H382" s="142"/>
      <c r="I382" s="142"/>
      <c r="J382" s="142"/>
      <c r="K382" s="92"/>
      <c r="L382" s="92"/>
      <c r="M382" s="92"/>
      <c r="N382" s="92"/>
      <c r="O382" s="92"/>
      <c r="P382" s="92"/>
    </row>
    <row r="383" spans="1:16" x14ac:dyDescent="0.2">
      <c r="A383" s="140" t="s">
        <v>182</v>
      </c>
      <c r="B383" s="140" t="s">
        <v>58</v>
      </c>
      <c r="C383" s="140" t="s">
        <v>66</v>
      </c>
      <c r="D383" s="149" t="s">
        <v>186</v>
      </c>
      <c r="E383" s="139" t="s">
        <v>663</v>
      </c>
      <c r="F383" s="142"/>
      <c r="G383" s="142"/>
      <c r="H383" s="142"/>
      <c r="I383" s="142"/>
      <c r="J383" s="142"/>
      <c r="K383" s="92"/>
      <c r="L383" s="92"/>
      <c r="M383" s="92"/>
      <c r="N383" s="92"/>
      <c r="O383" s="92"/>
      <c r="P383" s="92"/>
    </row>
    <row r="384" spans="1:16" x14ac:dyDescent="0.2">
      <c r="A384" s="140" t="s">
        <v>182</v>
      </c>
      <c r="B384" s="140" t="s">
        <v>58</v>
      </c>
      <c r="C384" s="140" t="s">
        <v>66</v>
      </c>
      <c r="D384" s="149" t="s">
        <v>224</v>
      </c>
      <c r="E384" s="139" t="s">
        <v>225</v>
      </c>
      <c r="F384" s="142"/>
      <c r="G384" s="142"/>
      <c r="H384" s="142"/>
      <c r="I384" s="142"/>
      <c r="J384" s="142"/>
      <c r="K384" s="92"/>
      <c r="L384" s="92"/>
      <c r="M384" s="92"/>
      <c r="N384" s="92"/>
      <c r="O384" s="92"/>
      <c r="P384" s="92"/>
    </row>
    <row r="385" spans="1:16" x14ac:dyDescent="0.2">
      <c r="A385" s="140" t="s">
        <v>182</v>
      </c>
      <c r="B385" s="140" t="s">
        <v>58</v>
      </c>
      <c r="C385" s="140" t="s">
        <v>66</v>
      </c>
      <c r="D385" s="149" t="s">
        <v>869</v>
      </c>
      <c r="E385" s="139" t="s">
        <v>664</v>
      </c>
      <c r="F385" s="142"/>
      <c r="G385" s="142"/>
      <c r="H385" s="142"/>
      <c r="I385" s="142"/>
      <c r="J385" s="142"/>
      <c r="K385" s="92"/>
      <c r="L385" s="92"/>
      <c r="M385" s="92"/>
      <c r="N385" s="92"/>
      <c r="O385" s="92"/>
      <c r="P385" s="92"/>
    </row>
    <row r="386" spans="1:16" x14ac:dyDescent="0.2">
      <c r="A386" s="140" t="s">
        <v>182</v>
      </c>
      <c r="B386" s="140" t="s">
        <v>58</v>
      </c>
      <c r="C386" s="140" t="s">
        <v>66</v>
      </c>
      <c r="D386" s="149" t="s">
        <v>166</v>
      </c>
      <c r="E386" s="139" t="s">
        <v>167</v>
      </c>
      <c r="F386" s="142"/>
      <c r="G386" s="142"/>
      <c r="H386" s="142"/>
      <c r="I386" s="142"/>
      <c r="J386" s="142"/>
      <c r="K386" s="92"/>
      <c r="L386" s="92"/>
      <c r="M386" s="92"/>
      <c r="N386" s="92"/>
      <c r="O386" s="92"/>
      <c r="P386" s="92"/>
    </row>
    <row r="387" spans="1:16" x14ac:dyDescent="0.2">
      <c r="A387" s="140" t="s">
        <v>182</v>
      </c>
      <c r="B387" s="140" t="s">
        <v>58</v>
      </c>
      <c r="C387" s="140" t="s">
        <v>66</v>
      </c>
      <c r="D387" s="149" t="s">
        <v>870</v>
      </c>
      <c r="E387" s="139" t="s">
        <v>665</v>
      </c>
      <c r="F387" s="142"/>
      <c r="G387" s="142"/>
      <c r="H387" s="142"/>
      <c r="I387" s="142"/>
      <c r="J387" s="142"/>
      <c r="K387" s="92"/>
      <c r="L387" s="92"/>
      <c r="M387" s="92"/>
      <c r="N387" s="92"/>
      <c r="O387" s="92"/>
      <c r="P387" s="92"/>
    </row>
    <row r="388" spans="1:16" x14ac:dyDescent="0.2">
      <c r="A388" s="140" t="s">
        <v>182</v>
      </c>
      <c r="B388" s="140" t="s">
        <v>58</v>
      </c>
      <c r="C388" s="140" t="s">
        <v>66</v>
      </c>
      <c r="D388" s="149" t="s">
        <v>871</v>
      </c>
      <c r="E388" s="139" t="s">
        <v>667</v>
      </c>
      <c r="F388" s="142"/>
      <c r="G388" s="142"/>
      <c r="H388" s="142"/>
      <c r="I388" s="142"/>
      <c r="J388" s="142"/>
      <c r="K388" s="92"/>
      <c r="L388" s="92"/>
      <c r="M388" s="92"/>
      <c r="N388" s="92"/>
      <c r="O388" s="92"/>
      <c r="P388" s="92"/>
    </row>
    <row r="389" spans="1:16" x14ac:dyDescent="0.2">
      <c r="A389" s="140" t="s">
        <v>182</v>
      </c>
      <c r="B389" s="140" t="s">
        <v>58</v>
      </c>
      <c r="C389" s="140" t="s">
        <v>66</v>
      </c>
      <c r="D389" s="149" t="s">
        <v>67</v>
      </c>
      <c r="E389" s="139" t="s">
        <v>68</v>
      </c>
      <c r="F389" s="142"/>
      <c r="G389" s="142"/>
      <c r="H389" s="142"/>
      <c r="I389" s="142"/>
      <c r="J389" s="142"/>
      <c r="K389" s="92"/>
      <c r="L389" s="92"/>
      <c r="M389" s="92"/>
      <c r="N389" s="92"/>
      <c r="O389" s="92"/>
      <c r="P389" s="92"/>
    </row>
    <row r="390" spans="1:16" x14ac:dyDescent="0.2">
      <c r="A390" s="140" t="s">
        <v>182</v>
      </c>
      <c r="B390" s="140" t="s">
        <v>58</v>
      </c>
      <c r="C390" s="140" t="s">
        <v>66</v>
      </c>
      <c r="D390" s="149" t="s">
        <v>872</v>
      </c>
      <c r="E390" s="139" t="s">
        <v>668</v>
      </c>
      <c r="F390" s="142"/>
      <c r="G390" s="142"/>
      <c r="H390" s="142"/>
      <c r="I390" s="142"/>
      <c r="J390" s="142"/>
      <c r="K390" s="92"/>
      <c r="L390" s="92"/>
      <c r="M390" s="92"/>
      <c r="N390" s="92"/>
      <c r="O390" s="92"/>
      <c r="P390" s="92"/>
    </row>
    <row r="391" spans="1:16" x14ac:dyDescent="0.2">
      <c r="A391" s="140" t="s">
        <v>182</v>
      </c>
      <c r="B391" s="140" t="s">
        <v>58</v>
      </c>
      <c r="C391" s="140" t="s">
        <v>66</v>
      </c>
      <c r="D391" s="149" t="s">
        <v>873</v>
      </c>
      <c r="E391" s="139" t="s">
        <v>669</v>
      </c>
      <c r="F391" s="142"/>
      <c r="G391" s="142"/>
      <c r="H391" s="142"/>
      <c r="I391" s="142"/>
      <c r="J391" s="142"/>
      <c r="K391" s="92"/>
      <c r="L391" s="92"/>
      <c r="M391" s="92"/>
      <c r="N391" s="92"/>
      <c r="O391" s="92"/>
      <c r="P391" s="92"/>
    </row>
    <row r="392" spans="1:16" x14ac:dyDescent="0.2">
      <c r="A392" s="140" t="s">
        <v>182</v>
      </c>
      <c r="B392" s="140" t="s">
        <v>58</v>
      </c>
      <c r="C392" s="140" t="s">
        <v>66</v>
      </c>
      <c r="D392" s="149" t="s">
        <v>226</v>
      </c>
      <c r="E392" s="139" t="s">
        <v>227</v>
      </c>
      <c r="F392" s="142"/>
      <c r="G392" s="142"/>
      <c r="H392" s="142"/>
      <c r="I392" s="142"/>
      <c r="J392" s="142"/>
      <c r="K392" s="92"/>
      <c r="L392" s="92"/>
      <c r="M392" s="92"/>
      <c r="N392" s="92"/>
      <c r="O392" s="92"/>
      <c r="P392" s="92"/>
    </row>
    <row r="393" spans="1:16" x14ac:dyDescent="0.2">
      <c r="A393" s="140" t="s">
        <v>182</v>
      </c>
      <c r="B393" s="140" t="s">
        <v>58</v>
      </c>
      <c r="C393" s="140" t="s">
        <v>66</v>
      </c>
      <c r="D393" s="149" t="s">
        <v>874</v>
      </c>
      <c r="E393" s="139" t="s">
        <v>670</v>
      </c>
      <c r="F393" s="142"/>
      <c r="G393" s="142"/>
      <c r="H393" s="142"/>
      <c r="I393" s="142"/>
      <c r="J393" s="142"/>
      <c r="K393" s="92"/>
      <c r="L393" s="92"/>
      <c r="M393" s="92"/>
      <c r="N393" s="92"/>
      <c r="O393" s="92"/>
      <c r="P393" s="92"/>
    </row>
    <row r="394" spans="1:16" x14ac:dyDescent="0.2">
      <c r="A394" s="140" t="s">
        <v>182</v>
      </c>
      <c r="B394" s="140" t="s">
        <v>58</v>
      </c>
      <c r="C394" s="140" t="s">
        <v>66</v>
      </c>
      <c r="D394" s="149" t="s">
        <v>607</v>
      </c>
      <c r="E394" s="139" t="s">
        <v>81</v>
      </c>
      <c r="F394" s="142"/>
      <c r="G394" s="142"/>
      <c r="H394" s="142"/>
      <c r="I394" s="142"/>
      <c r="J394" s="142"/>
      <c r="K394" s="92"/>
      <c r="L394" s="92"/>
      <c r="M394" s="92"/>
      <c r="N394" s="92"/>
      <c r="O394" s="92"/>
      <c r="P394" s="92"/>
    </row>
    <row r="395" spans="1:16" x14ac:dyDescent="0.2">
      <c r="A395" s="140" t="s">
        <v>182</v>
      </c>
      <c r="B395" s="140" t="s">
        <v>58</v>
      </c>
      <c r="C395" s="140" t="s">
        <v>66</v>
      </c>
      <c r="D395" s="149" t="s">
        <v>609</v>
      </c>
      <c r="E395" s="139" t="s">
        <v>671</v>
      </c>
      <c r="F395" s="142"/>
      <c r="G395" s="142"/>
      <c r="H395" s="142"/>
      <c r="I395" s="142"/>
      <c r="J395" s="142"/>
      <c r="K395" s="92"/>
      <c r="L395" s="92"/>
      <c r="M395" s="92"/>
      <c r="N395" s="92"/>
      <c r="O395" s="92"/>
      <c r="P395" s="92"/>
    </row>
    <row r="396" spans="1:16" x14ac:dyDescent="0.2">
      <c r="A396" s="140" t="s">
        <v>182</v>
      </c>
      <c r="B396" s="140" t="s">
        <v>58</v>
      </c>
      <c r="C396" s="140" t="s">
        <v>66</v>
      </c>
      <c r="D396" s="149" t="s">
        <v>875</v>
      </c>
      <c r="E396" s="139" t="s">
        <v>173</v>
      </c>
      <c r="F396" s="142"/>
      <c r="G396" s="142"/>
      <c r="H396" s="142"/>
      <c r="I396" s="142"/>
      <c r="J396" s="142"/>
      <c r="K396" s="92"/>
      <c r="L396" s="92"/>
      <c r="M396" s="92"/>
      <c r="N396" s="92"/>
      <c r="O396" s="92"/>
      <c r="P396" s="92"/>
    </row>
    <row r="397" spans="1:16" x14ac:dyDescent="0.2">
      <c r="A397" s="140" t="s">
        <v>182</v>
      </c>
      <c r="B397" s="140" t="s">
        <v>58</v>
      </c>
      <c r="C397" s="140" t="s">
        <v>66</v>
      </c>
      <c r="D397" s="149" t="s">
        <v>876</v>
      </c>
      <c r="E397" s="139" t="s">
        <v>672</v>
      </c>
      <c r="F397" s="142"/>
      <c r="G397" s="142"/>
      <c r="H397" s="142"/>
      <c r="I397" s="142"/>
      <c r="J397" s="142"/>
      <c r="K397" s="92"/>
      <c r="L397" s="92"/>
      <c r="M397" s="92"/>
      <c r="N397" s="92"/>
      <c r="O397" s="92"/>
      <c r="P397" s="92"/>
    </row>
    <row r="398" spans="1:16" x14ac:dyDescent="0.2">
      <c r="A398" s="140" t="s">
        <v>182</v>
      </c>
      <c r="B398" s="140" t="s">
        <v>58</v>
      </c>
      <c r="C398" s="140" t="s">
        <v>66</v>
      </c>
      <c r="D398" s="149" t="s">
        <v>136</v>
      </c>
      <c r="E398" s="139" t="s">
        <v>137</v>
      </c>
      <c r="F398" s="142"/>
      <c r="G398" s="142"/>
      <c r="H398" s="142"/>
      <c r="I398" s="142"/>
      <c r="J398" s="142"/>
      <c r="K398" s="92"/>
      <c r="L398" s="92"/>
      <c r="M398" s="92"/>
      <c r="N398" s="92"/>
      <c r="O398" s="92"/>
      <c r="P398" s="92"/>
    </row>
    <row r="399" spans="1:16" x14ac:dyDescent="0.2">
      <c r="A399" s="140" t="s">
        <v>182</v>
      </c>
      <c r="B399" s="140" t="s">
        <v>58</v>
      </c>
      <c r="C399" s="140" t="s">
        <v>66</v>
      </c>
      <c r="D399" s="149" t="s">
        <v>615</v>
      </c>
      <c r="E399" s="139" t="s">
        <v>675</v>
      </c>
      <c r="F399" s="142"/>
      <c r="G399" s="142"/>
      <c r="H399" s="142"/>
      <c r="I399" s="142"/>
      <c r="J399" s="142"/>
      <c r="K399" s="92"/>
      <c r="L399" s="92"/>
      <c r="M399" s="92"/>
      <c r="N399" s="92"/>
      <c r="O399" s="92"/>
      <c r="P399" s="92"/>
    </row>
    <row r="400" spans="1:16" x14ac:dyDescent="0.2">
      <c r="A400" s="140" t="s">
        <v>182</v>
      </c>
      <c r="B400" s="140" t="s">
        <v>58</v>
      </c>
      <c r="C400" s="140" t="s">
        <v>66</v>
      </c>
      <c r="D400" s="149" t="s">
        <v>877</v>
      </c>
      <c r="E400" s="139" t="s">
        <v>181</v>
      </c>
      <c r="F400" s="142"/>
      <c r="G400" s="142"/>
      <c r="H400" s="142"/>
      <c r="I400" s="142"/>
      <c r="J400" s="142"/>
      <c r="K400" s="92"/>
      <c r="L400" s="92"/>
      <c r="M400" s="92"/>
      <c r="N400" s="92"/>
      <c r="O400" s="92"/>
      <c r="P400" s="92"/>
    </row>
    <row r="401" spans="1:16" x14ac:dyDescent="0.2">
      <c r="A401" s="140" t="s">
        <v>182</v>
      </c>
      <c r="B401" s="140" t="s">
        <v>58</v>
      </c>
      <c r="C401" s="140" t="s">
        <v>66</v>
      </c>
      <c r="D401" s="149" t="s">
        <v>612</v>
      </c>
      <c r="E401" s="139" t="s">
        <v>673</v>
      </c>
      <c r="F401" s="142"/>
      <c r="G401" s="142"/>
      <c r="H401" s="142"/>
      <c r="I401" s="142"/>
      <c r="J401" s="142"/>
      <c r="K401" s="92"/>
      <c r="L401" s="92"/>
      <c r="M401" s="92"/>
      <c r="N401" s="92"/>
      <c r="O401" s="92"/>
      <c r="P401" s="92"/>
    </row>
    <row r="402" spans="1:16" x14ac:dyDescent="0.2">
      <c r="A402" s="140" t="s">
        <v>182</v>
      </c>
      <c r="B402" s="140" t="s">
        <v>58</v>
      </c>
      <c r="C402" s="140" t="s">
        <v>59</v>
      </c>
      <c r="D402" s="149" t="s">
        <v>60</v>
      </c>
      <c r="E402" s="139" t="s">
        <v>61</v>
      </c>
      <c r="F402" s="142"/>
      <c r="G402" s="142"/>
      <c r="H402" s="142"/>
      <c r="I402" s="142"/>
      <c r="J402" s="142"/>
      <c r="K402" s="92"/>
      <c r="L402" s="92"/>
      <c r="M402" s="92"/>
      <c r="N402" s="92"/>
      <c r="O402" s="92"/>
      <c r="P402" s="92"/>
    </row>
    <row r="403" spans="1:16" x14ac:dyDescent="0.2">
      <c r="A403" s="140" t="s">
        <v>182</v>
      </c>
      <c r="B403" s="140" t="s">
        <v>58</v>
      </c>
      <c r="C403" s="140" t="s">
        <v>59</v>
      </c>
      <c r="D403" s="149" t="s">
        <v>826</v>
      </c>
      <c r="E403" s="139" t="s">
        <v>716</v>
      </c>
      <c r="F403" s="142"/>
      <c r="G403" s="142"/>
      <c r="H403" s="142"/>
      <c r="I403" s="142"/>
      <c r="J403" s="142"/>
      <c r="K403" s="92"/>
      <c r="L403" s="92"/>
      <c r="M403" s="92"/>
      <c r="N403" s="92"/>
      <c r="O403" s="92"/>
      <c r="P403" s="92"/>
    </row>
    <row r="404" spans="1:16" x14ac:dyDescent="0.2">
      <c r="A404" s="140" t="s">
        <v>182</v>
      </c>
      <c r="B404" s="140" t="s">
        <v>58</v>
      </c>
      <c r="C404" s="140" t="s">
        <v>59</v>
      </c>
      <c r="D404" s="149" t="s">
        <v>59</v>
      </c>
      <c r="E404" s="139" t="s">
        <v>717</v>
      </c>
      <c r="F404" s="142"/>
      <c r="G404" s="142"/>
      <c r="H404" s="142"/>
      <c r="I404" s="142"/>
      <c r="J404" s="142"/>
      <c r="K404" s="92"/>
      <c r="L404" s="92"/>
      <c r="M404" s="92"/>
      <c r="N404" s="92"/>
      <c r="O404" s="92"/>
      <c r="P404" s="92"/>
    </row>
    <row r="405" spans="1:16" x14ac:dyDescent="0.2">
      <c r="A405" s="140" t="s">
        <v>182</v>
      </c>
      <c r="B405" s="140" t="s">
        <v>58</v>
      </c>
      <c r="C405" s="140" t="s">
        <v>59</v>
      </c>
      <c r="D405" s="149" t="s">
        <v>228</v>
      </c>
      <c r="E405" s="139" t="s">
        <v>131</v>
      </c>
      <c r="F405" s="142"/>
      <c r="G405" s="142"/>
      <c r="H405" s="142"/>
      <c r="I405" s="142"/>
      <c r="J405" s="142"/>
      <c r="K405" s="92"/>
      <c r="L405" s="92"/>
      <c r="M405" s="92"/>
      <c r="N405" s="92"/>
      <c r="O405" s="92"/>
      <c r="P405" s="92"/>
    </row>
    <row r="406" spans="1:16" x14ac:dyDescent="0.2">
      <c r="A406" s="140" t="s">
        <v>182</v>
      </c>
      <c r="B406" s="140" t="s">
        <v>23</v>
      </c>
      <c r="C406" s="140" t="s">
        <v>24</v>
      </c>
      <c r="D406" s="149" t="s">
        <v>25</v>
      </c>
      <c r="E406" s="139" t="s">
        <v>26</v>
      </c>
      <c r="F406" s="142"/>
      <c r="G406" s="142"/>
      <c r="H406" s="142"/>
      <c r="I406" s="142"/>
      <c r="J406" s="142"/>
      <c r="K406" s="92"/>
      <c r="L406" s="92"/>
      <c r="M406" s="92"/>
      <c r="N406" s="92"/>
      <c r="O406" s="92"/>
      <c r="P406" s="92"/>
    </row>
    <row r="407" spans="1:16" x14ac:dyDescent="0.2">
      <c r="A407" s="140" t="s">
        <v>182</v>
      </c>
      <c r="B407" s="140" t="s">
        <v>23</v>
      </c>
      <c r="C407" s="140" t="s">
        <v>24</v>
      </c>
      <c r="D407" s="149" t="s">
        <v>47</v>
      </c>
      <c r="E407" s="139" t="s">
        <v>48</v>
      </c>
      <c r="F407" s="142"/>
      <c r="G407" s="142"/>
      <c r="H407" s="142"/>
      <c r="I407" s="142"/>
      <c r="J407" s="142"/>
      <c r="K407" s="92"/>
      <c r="L407" s="92"/>
      <c r="M407" s="92"/>
      <c r="N407" s="92"/>
      <c r="O407" s="92"/>
      <c r="P407" s="92"/>
    </row>
    <row r="408" spans="1:16" x14ac:dyDescent="0.2">
      <c r="A408" s="140" t="s">
        <v>182</v>
      </c>
      <c r="B408" s="140" t="s">
        <v>23</v>
      </c>
      <c r="C408" s="140" t="s">
        <v>24</v>
      </c>
      <c r="D408" s="149" t="s">
        <v>51</v>
      </c>
      <c r="E408" s="139" t="s">
        <v>52</v>
      </c>
      <c r="F408" s="142"/>
      <c r="G408" s="142"/>
      <c r="H408" s="142"/>
      <c r="I408" s="142"/>
      <c r="J408" s="142"/>
      <c r="K408" s="92"/>
      <c r="L408" s="92"/>
      <c r="M408" s="92"/>
      <c r="N408" s="92"/>
      <c r="O408" s="92"/>
      <c r="P408" s="92"/>
    </row>
    <row r="409" spans="1:16" x14ac:dyDescent="0.2">
      <c r="A409" s="140" t="s">
        <v>182</v>
      </c>
      <c r="B409" s="140" t="s">
        <v>23</v>
      </c>
      <c r="C409" s="140" t="s">
        <v>24</v>
      </c>
      <c r="D409" s="149" t="s">
        <v>168</v>
      </c>
      <c r="E409" s="139" t="s">
        <v>169</v>
      </c>
      <c r="F409" s="142"/>
      <c r="G409" s="142"/>
      <c r="H409" s="142"/>
      <c r="I409" s="142"/>
      <c r="J409" s="142"/>
      <c r="K409" s="92"/>
      <c r="L409" s="92"/>
      <c r="M409" s="92"/>
      <c r="N409" s="92"/>
      <c r="O409" s="92"/>
      <c r="P409" s="92"/>
    </row>
    <row r="410" spans="1:16" x14ac:dyDescent="0.2">
      <c r="A410" s="140" t="s">
        <v>182</v>
      </c>
      <c r="B410" s="140" t="s">
        <v>23</v>
      </c>
      <c r="C410" s="140" t="s">
        <v>24</v>
      </c>
      <c r="D410" s="149" t="s">
        <v>170</v>
      </c>
      <c r="E410" s="139" t="s">
        <v>171</v>
      </c>
      <c r="F410" s="142"/>
      <c r="G410" s="142"/>
      <c r="H410" s="142"/>
      <c r="I410" s="142"/>
      <c r="J410" s="142"/>
      <c r="K410" s="92"/>
      <c r="L410" s="92"/>
      <c r="M410" s="92"/>
      <c r="N410" s="92"/>
      <c r="O410" s="92"/>
      <c r="P410" s="92"/>
    </row>
    <row r="411" spans="1:16" x14ac:dyDescent="0.2">
      <c r="A411" s="140" t="s">
        <v>182</v>
      </c>
      <c r="B411" s="140" t="s">
        <v>23</v>
      </c>
      <c r="C411" s="140" t="s">
        <v>24</v>
      </c>
      <c r="D411" s="149" t="s">
        <v>413</v>
      </c>
      <c r="E411" s="139" t="s">
        <v>732</v>
      </c>
      <c r="F411" s="142"/>
      <c r="G411" s="142"/>
      <c r="H411" s="142"/>
      <c r="I411" s="142"/>
      <c r="J411" s="142"/>
      <c r="K411" s="92"/>
      <c r="L411" s="92"/>
      <c r="M411" s="92"/>
      <c r="N411" s="92"/>
      <c r="O411" s="92"/>
      <c r="P411" s="92"/>
    </row>
    <row r="412" spans="1:16" x14ac:dyDescent="0.2">
      <c r="A412" s="140" t="s">
        <v>182</v>
      </c>
      <c r="B412" s="140" t="s">
        <v>23</v>
      </c>
      <c r="C412" s="140" t="s">
        <v>24</v>
      </c>
      <c r="D412" s="149" t="s">
        <v>82</v>
      </c>
      <c r="E412" s="139" t="s">
        <v>83</v>
      </c>
      <c r="F412" s="142"/>
      <c r="G412" s="142"/>
      <c r="H412" s="142"/>
      <c r="I412" s="142"/>
      <c r="J412" s="142"/>
      <c r="K412" s="92"/>
      <c r="L412" s="92"/>
      <c r="M412" s="92"/>
      <c r="N412" s="92"/>
      <c r="O412" s="92"/>
      <c r="P412" s="92"/>
    </row>
    <row r="413" spans="1:16" x14ac:dyDescent="0.2">
      <c r="A413" s="140" t="s">
        <v>182</v>
      </c>
      <c r="B413" s="140" t="s">
        <v>23</v>
      </c>
      <c r="C413" s="140" t="s">
        <v>24</v>
      </c>
      <c r="D413" s="149" t="s">
        <v>84</v>
      </c>
      <c r="E413" s="139" t="s">
        <v>85</v>
      </c>
      <c r="F413" s="142"/>
      <c r="G413" s="142"/>
      <c r="H413" s="142"/>
      <c r="I413" s="142"/>
      <c r="J413" s="142"/>
      <c r="K413" s="92"/>
      <c r="L413" s="92"/>
      <c r="M413" s="92"/>
      <c r="N413" s="92"/>
      <c r="O413" s="92"/>
      <c r="P413" s="92"/>
    </row>
    <row r="414" spans="1:16" x14ac:dyDescent="0.2">
      <c r="A414" s="140" t="s">
        <v>182</v>
      </c>
      <c r="B414" s="140" t="s">
        <v>23</v>
      </c>
      <c r="C414" s="140" t="s">
        <v>24</v>
      </c>
      <c r="D414" s="149" t="s">
        <v>89</v>
      </c>
      <c r="E414" s="139" t="s">
        <v>90</v>
      </c>
      <c r="F414" s="142"/>
      <c r="G414" s="142"/>
      <c r="H414" s="142"/>
      <c r="I414" s="142"/>
      <c r="J414" s="142"/>
      <c r="K414" s="92"/>
      <c r="L414" s="92"/>
      <c r="M414" s="92"/>
      <c r="N414" s="92"/>
      <c r="O414" s="92"/>
      <c r="P414" s="92"/>
    </row>
    <row r="415" spans="1:16" x14ac:dyDescent="0.2">
      <c r="A415" s="140" t="s">
        <v>182</v>
      </c>
      <c r="B415" s="140" t="s">
        <v>23</v>
      </c>
      <c r="C415" s="140" t="s">
        <v>24</v>
      </c>
      <c r="D415" s="149" t="s">
        <v>176</v>
      </c>
      <c r="E415" s="139" t="s">
        <v>177</v>
      </c>
      <c r="F415" s="142"/>
      <c r="G415" s="142"/>
      <c r="H415" s="142"/>
      <c r="I415" s="142"/>
      <c r="J415" s="142"/>
      <c r="K415" s="92"/>
      <c r="L415" s="92"/>
      <c r="M415" s="92"/>
      <c r="N415" s="92"/>
      <c r="O415" s="92"/>
      <c r="P415" s="92"/>
    </row>
    <row r="416" spans="1:16" x14ac:dyDescent="0.2">
      <c r="A416" s="140" t="s">
        <v>182</v>
      </c>
      <c r="B416" s="140" t="s">
        <v>23</v>
      </c>
      <c r="C416" s="140" t="s">
        <v>24</v>
      </c>
      <c r="D416" s="149" t="s">
        <v>93</v>
      </c>
      <c r="E416" s="139" t="s">
        <v>94</v>
      </c>
      <c r="F416" s="142"/>
      <c r="G416" s="142"/>
      <c r="H416" s="142"/>
      <c r="I416" s="142"/>
      <c r="J416" s="142"/>
      <c r="K416" s="92"/>
      <c r="L416" s="92"/>
      <c r="M416" s="92"/>
      <c r="N416" s="92"/>
      <c r="O416" s="92"/>
      <c r="P416" s="92"/>
    </row>
    <row r="417" spans="1:16" x14ac:dyDescent="0.2">
      <c r="A417" s="140" t="s">
        <v>182</v>
      </c>
      <c r="B417" s="140" t="s">
        <v>23</v>
      </c>
      <c r="C417" s="140" t="s">
        <v>24</v>
      </c>
      <c r="D417" s="149" t="s">
        <v>102</v>
      </c>
      <c r="E417" s="139" t="s">
        <v>103</v>
      </c>
      <c r="F417" s="142"/>
      <c r="G417" s="142"/>
      <c r="H417" s="142"/>
      <c r="I417" s="142"/>
      <c r="J417" s="142"/>
      <c r="K417" s="92"/>
      <c r="L417" s="92"/>
      <c r="M417" s="92"/>
      <c r="N417" s="92"/>
      <c r="O417" s="92"/>
      <c r="P417" s="92"/>
    </row>
    <row r="418" spans="1:16" x14ac:dyDescent="0.2">
      <c r="A418" s="140" t="s">
        <v>182</v>
      </c>
      <c r="B418" s="140" t="s">
        <v>23</v>
      </c>
      <c r="C418" s="140" t="s">
        <v>24</v>
      </c>
      <c r="D418" s="149" t="s">
        <v>107</v>
      </c>
      <c r="E418" s="139" t="s">
        <v>108</v>
      </c>
      <c r="F418" s="142"/>
      <c r="G418" s="142"/>
      <c r="H418" s="142"/>
      <c r="I418" s="142"/>
      <c r="J418" s="142"/>
      <c r="K418" s="92"/>
      <c r="L418" s="92"/>
      <c r="M418" s="92"/>
      <c r="N418" s="92"/>
      <c r="O418" s="92"/>
      <c r="P418" s="92"/>
    </row>
    <row r="419" spans="1:16" x14ac:dyDescent="0.2">
      <c r="A419" s="140" t="s">
        <v>182</v>
      </c>
      <c r="B419" s="140" t="s">
        <v>23</v>
      </c>
      <c r="C419" s="140" t="s">
        <v>104</v>
      </c>
      <c r="D419" s="149" t="s">
        <v>105</v>
      </c>
      <c r="E419" s="139" t="s">
        <v>106</v>
      </c>
      <c r="F419" s="142"/>
      <c r="G419" s="142"/>
      <c r="H419" s="142"/>
      <c r="I419" s="142"/>
      <c r="J419" s="142"/>
      <c r="K419" s="92"/>
      <c r="L419" s="92"/>
      <c r="M419" s="92"/>
      <c r="N419" s="92"/>
      <c r="O419" s="92"/>
      <c r="P419" s="92"/>
    </row>
    <row r="420" spans="1:16" x14ac:dyDescent="0.2">
      <c r="A420" s="140" t="s">
        <v>182</v>
      </c>
      <c r="B420" s="140" t="s">
        <v>23</v>
      </c>
      <c r="C420" s="140" t="s">
        <v>104</v>
      </c>
      <c r="D420" s="149" t="s">
        <v>140</v>
      </c>
      <c r="E420" s="139" t="s">
        <v>141</v>
      </c>
      <c r="F420" s="142"/>
      <c r="G420" s="142"/>
      <c r="H420" s="142"/>
      <c r="I420" s="142"/>
      <c r="J420" s="142"/>
      <c r="K420" s="92"/>
      <c r="L420" s="92"/>
      <c r="M420" s="92"/>
      <c r="N420" s="92"/>
      <c r="O420" s="92"/>
      <c r="P420" s="92"/>
    </row>
    <row r="421" spans="1:16" x14ac:dyDescent="0.2">
      <c r="A421" s="140" t="s">
        <v>182</v>
      </c>
      <c r="B421" s="140" t="s">
        <v>23</v>
      </c>
      <c r="C421" s="140" t="s">
        <v>38</v>
      </c>
      <c r="D421" s="149" t="s">
        <v>39</v>
      </c>
      <c r="E421" s="139" t="s">
        <v>40</v>
      </c>
      <c r="F421" s="142"/>
      <c r="G421" s="142"/>
      <c r="H421" s="142"/>
      <c r="I421" s="142"/>
      <c r="J421" s="142"/>
      <c r="K421" s="92"/>
      <c r="L421" s="92"/>
      <c r="M421" s="92"/>
      <c r="N421" s="92"/>
      <c r="O421" s="92"/>
      <c r="P421" s="92"/>
    </row>
    <row r="422" spans="1:16" x14ac:dyDescent="0.2">
      <c r="A422" s="140" t="s">
        <v>182</v>
      </c>
      <c r="B422" s="140" t="s">
        <v>23</v>
      </c>
      <c r="C422" s="140" t="s">
        <v>38</v>
      </c>
      <c r="D422" s="149" t="s">
        <v>53</v>
      </c>
      <c r="E422" s="139" t="s">
        <v>54</v>
      </c>
      <c r="F422" s="142"/>
      <c r="G422" s="142"/>
      <c r="H422" s="142"/>
      <c r="I422" s="142"/>
      <c r="J422" s="142"/>
      <c r="K422" s="92"/>
      <c r="L422" s="92"/>
      <c r="M422" s="92"/>
      <c r="N422" s="92"/>
      <c r="O422" s="92"/>
      <c r="P422" s="92"/>
    </row>
    <row r="423" spans="1:16" x14ac:dyDescent="0.2">
      <c r="A423" s="140" t="s">
        <v>182</v>
      </c>
      <c r="B423" s="140" t="s">
        <v>23</v>
      </c>
      <c r="C423" s="140" t="s">
        <v>38</v>
      </c>
      <c r="D423" s="149" t="s">
        <v>174</v>
      </c>
      <c r="E423" s="139" t="s">
        <v>175</v>
      </c>
      <c r="F423" s="142"/>
      <c r="G423" s="142"/>
      <c r="H423" s="142"/>
      <c r="I423" s="142"/>
      <c r="J423" s="142"/>
      <c r="K423" s="92"/>
      <c r="L423" s="92"/>
      <c r="M423" s="92"/>
      <c r="N423" s="92"/>
      <c r="O423" s="92"/>
      <c r="P423" s="92"/>
    </row>
    <row r="424" spans="1:16" x14ac:dyDescent="0.2">
      <c r="A424" s="140" t="s">
        <v>182</v>
      </c>
      <c r="B424" s="140" t="s">
        <v>23</v>
      </c>
      <c r="C424" s="140" t="s">
        <v>38</v>
      </c>
      <c r="D424" s="149" t="s">
        <v>91</v>
      </c>
      <c r="E424" s="139" t="s">
        <v>92</v>
      </c>
      <c r="F424" s="142"/>
      <c r="G424" s="142"/>
      <c r="H424" s="142"/>
      <c r="I424" s="142"/>
      <c r="J424" s="142"/>
      <c r="K424" s="92"/>
      <c r="L424" s="92"/>
      <c r="M424" s="92"/>
      <c r="N424" s="92"/>
      <c r="O424" s="92"/>
      <c r="P424" s="92"/>
    </row>
    <row r="425" spans="1:16" x14ac:dyDescent="0.2">
      <c r="A425" s="140" t="s">
        <v>182</v>
      </c>
      <c r="B425" s="140" t="s">
        <v>23</v>
      </c>
      <c r="C425" s="140" t="s">
        <v>38</v>
      </c>
      <c r="D425" s="149" t="s">
        <v>95</v>
      </c>
      <c r="E425" s="139" t="s">
        <v>96</v>
      </c>
      <c r="F425" s="142"/>
      <c r="G425" s="142"/>
      <c r="H425" s="142"/>
      <c r="I425" s="142"/>
      <c r="J425" s="142"/>
      <c r="K425" s="92"/>
      <c r="L425" s="92"/>
      <c r="M425" s="92"/>
      <c r="N425" s="92"/>
      <c r="O425" s="92"/>
      <c r="P425" s="92"/>
    </row>
    <row r="426" spans="1:16" x14ac:dyDescent="0.2">
      <c r="A426" s="140" t="s">
        <v>182</v>
      </c>
      <c r="B426" s="140" t="s">
        <v>23</v>
      </c>
      <c r="C426" s="140" t="s">
        <v>38</v>
      </c>
      <c r="D426" s="149" t="s">
        <v>825</v>
      </c>
      <c r="E426" s="139" t="s">
        <v>179</v>
      </c>
      <c r="F426" s="142"/>
      <c r="G426" s="142"/>
      <c r="H426" s="142"/>
      <c r="I426" s="142"/>
      <c r="J426" s="142"/>
      <c r="K426" s="92"/>
      <c r="L426" s="92"/>
      <c r="M426" s="92"/>
      <c r="N426" s="92"/>
      <c r="O426" s="92"/>
      <c r="P426" s="92"/>
    </row>
    <row r="427" spans="1:16" x14ac:dyDescent="0.2">
      <c r="A427" s="140" t="s">
        <v>182</v>
      </c>
      <c r="B427" s="140" t="s">
        <v>23</v>
      </c>
      <c r="C427" s="140" t="s">
        <v>38</v>
      </c>
      <c r="D427" s="149" t="s">
        <v>134</v>
      </c>
      <c r="E427" s="139" t="s">
        <v>135</v>
      </c>
      <c r="F427" s="142"/>
      <c r="G427" s="142"/>
      <c r="H427" s="142"/>
      <c r="I427" s="142"/>
      <c r="J427" s="142"/>
      <c r="K427" s="92"/>
      <c r="L427" s="92"/>
      <c r="M427" s="92"/>
      <c r="N427" s="92"/>
      <c r="O427" s="92"/>
      <c r="P427" s="92"/>
    </row>
    <row r="428" spans="1:16" x14ac:dyDescent="0.2">
      <c r="A428" s="140" t="s">
        <v>182</v>
      </c>
      <c r="B428" s="140" t="s">
        <v>23</v>
      </c>
      <c r="C428" s="140" t="s">
        <v>38</v>
      </c>
      <c r="D428" s="149" t="s">
        <v>138</v>
      </c>
      <c r="E428" s="139" t="s">
        <v>139</v>
      </c>
      <c r="F428" s="142"/>
      <c r="G428" s="142"/>
      <c r="H428" s="142"/>
      <c r="I428" s="142"/>
      <c r="J428" s="142"/>
      <c r="K428" s="92"/>
      <c r="L428" s="92"/>
      <c r="M428" s="92"/>
      <c r="N428" s="92"/>
      <c r="O428" s="92"/>
      <c r="P428" s="92"/>
    </row>
    <row r="429" spans="1:16" x14ac:dyDescent="0.2">
      <c r="A429" s="140" t="s">
        <v>182</v>
      </c>
      <c r="B429" s="140" t="s">
        <v>27</v>
      </c>
      <c r="C429" s="140" t="s">
        <v>66</v>
      </c>
      <c r="D429" s="149" t="s">
        <v>614</v>
      </c>
      <c r="E429" s="139" t="s">
        <v>674</v>
      </c>
      <c r="F429" s="142"/>
      <c r="G429" s="142"/>
      <c r="H429" s="142"/>
      <c r="I429" s="142"/>
      <c r="J429" s="142"/>
      <c r="K429" s="92"/>
      <c r="L429" s="92"/>
      <c r="M429" s="92"/>
      <c r="N429" s="92"/>
      <c r="O429" s="92"/>
      <c r="P429" s="92"/>
    </row>
    <row r="430" spans="1:16" x14ac:dyDescent="0.2">
      <c r="A430" s="140" t="s">
        <v>182</v>
      </c>
      <c r="B430" s="140" t="s">
        <v>27</v>
      </c>
      <c r="C430" s="140" t="s">
        <v>813</v>
      </c>
      <c r="D430" s="149" t="s">
        <v>218</v>
      </c>
      <c r="E430" s="139" t="s">
        <v>219</v>
      </c>
      <c r="F430" s="142"/>
      <c r="G430" s="142"/>
      <c r="H430" s="142"/>
      <c r="I430" s="142"/>
      <c r="J430" s="142"/>
      <c r="K430" s="92"/>
      <c r="L430" s="92"/>
      <c r="M430" s="92"/>
      <c r="N430" s="92"/>
      <c r="O430" s="92"/>
      <c r="P430" s="92"/>
    </row>
    <row r="431" spans="1:16" x14ac:dyDescent="0.2">
      <c r="A431" s="140" t="s">
        <v>182</v>
      </c>
      <c r="B431" s="140" t="s">
        <v>27</v>
      </c>
      <c r="C431" s="140" t="s">
        <v>28</v>
      </c>
      <c r="D431" s="149" t="s">
        <v>817</v>
      </c>
      <c r="E431" s="139" t="s">
        <v>734</v>
      </c>
      <c r="F431" s="142"/>
      <c r="G431" s="142"/>
      <c r="H431" s="142"/>
      <c r="I431" s="142"/>
      <c r="J431" s="142"/>
      <c r="K431" s="92"/>
      <c r="L431" s="92"/>
      <c r="M431" s="92"/>
      <c r="N431" s="92"/>
      <c r="O431" s="92"/>
      <c r="P431" s="92"/>
    </row>
    <row r="432" spans="1:16" x14ac:dyDescent="0.2">
      <c r="A432" s="140" t="s">
        <v>182</v>
      </c>
      <c r="B432" s="140" t="s">
        <v>27</v>
      </c>
      <c r="C432" s="140" t="s">
        <v>28</v>
      </c>
      <c r="D432" s="149" t="s">
        <v>356</v>
      </c>
      <c r="E432" s="139" t="s">
        <v>735</v>
      </c>
      <c r="F432" s="142"/>
      <c r="G432" s="142"/>
      <c r="H432" s="142"/>
      <c r="I432" s="142"/>
      <c r="J432" s="142"/>
      <c r="K432" s="92"/>
      <c r="L432" s="92"/>
      <c r="M432" s="92"/>
      <c r="N432" s="92"/>
      <c r="O432" s="92"/>
      <c r="P432" s="92"/>
    </row>
    <row r="433" spans="1:16" x14ac:dyDescent="0.2">
      <c r="A433" s="140" t="s">
        <v>182</v>
      </c>
      <c r="B433" s="140" t="s">
        <v>27</v>
      </c>
      <c r="C433" s="140" t="s">
        <v>28</v>
      </c>
      <c r="D433" s="149" t="s">
        <v>358</v>
      </c>
      <c r="E433" s="139" t="s">
        <v>736</v>
      </c>
      <c r="F433" s="142"/>
      <c r="G433" s="142"/>
      <c r="H433" s="142"/>
      <c r="I433" s="142"/>
      <c r="J433" s="142"/>
      <c r="K433" s="92"/>
      <c r="L433" s="92"/>
      <c r="M433" s="92"/>
      <c r="N433" s="92"/>
      <c r="O433" s="92"/>
      <c r="P433" s="92"/>
    </row>
    <row r="434" spans="1:16" x14ac:dyDescent="0.2">
      <c r="A434" s="140" t="s">
        <v>182</v>
      </c>
      <c r="B434" s="140" t="s">
        <v>27</v>
      </c>
      <c r="C434" s="140" t="s">
        <v>28</v>
      </c>
      <c r="D434" s="149" t="s">
        <v>29</v>
      </c>
      <c r="E434" s="139" t="s">
        <v>30</v>
      </c>
      <c r="F434" s="142"/>
      <c r="G434" s="142"/>
      <c r="H434" s="142"/>
      <c r="I434" s="142"/>
      <c r="J434" s="142"/>
      <c r="K434" s="92"/>
      <c r="L434" s="92"/>
      <c r="M434" s="92"/>
      <c r="N434" s="92"/>
      <c r="O434" s="92"/>
      <c r="P434" s="92"/>
    </row>
    <row r="435" spans="1:16" x14ac:dyDescent="0.2">
      <c r="A435" s="140" t="s">
        <v>182</v>
      </c>
      <c r="B435" s="140" t="s">
        <v>27</v>
      </c>
      <c r="C435" s="140" t="s">
        <v>28</v>
      </c>
      <c r="D435" s="149" t="s">
        <v>361</v>
      </c>
      <c r="E435" s="139" t="s">
        <v>737</v>
      </c>
      <c r="F435" s="142"/>
      <c r="G435" s="142"/>
      <c r="H435" s="142"/>
      <c r="I435" s="142"/>
      <c r="J435" s="142"/>
      <c r="K435" s="92"/>
      <c r="L435" s="92"/>
      <c r="M435" s="92"/>
      <c r="N435" s="92"/>
      <c r="O435" s="92"/>
      <c r="P435" s="92"/>
    </row>
    <row r="436" spans="1:16" x14ac:dyDescent="0.2">
      <c r="A436" s="140" t="s">
        <v>182</v>
      </c>
      <c r="B436" s="140" t="s">
        <v>27</v>
      </c>
      <c r="C436" s="140" t="s">
        <v>28</v>
      </c>
      <c r="D436" s="149" t="s">
        <v>363</v>
      </c>
      <c r="E436" s="139" t="s">
        <v>738</v>
      </c>
      <c r="F436" s="142"/>
      <c r="G436" s="142"/>
      <c r="H436" s="142"/>
      <c r="I436" s="142"/>
      <c r="J436" s="142"/>
      <c r="K436" s="92"/>
      <c r="L436" s="92"/>
      <c r="M436" s="92"/>
      <c r="N436" s="92"/>
      <c r="O436" s="92"/>
      <c r="P436" s="92"/>
    </row>
    <row r="437" spans="1:16" x14ac:dyDescent="0.2">
      <c r="A437" s="140" t="s">
        <v>182</v>
      </c>
      <c r="B437" s="140" t="s">
        <v>27</v>
      </c>
      <c r="C437" s="140" t="s">
        <v>28</v>
      </c>
      <c r="D437" s="149" t="s">
        <v>816</v>
      </c>
      <c r="E437" s="139" t="s">
        <v>739</v>
      </c>
      <c r="F437" s="142"/>
      <c r="G437" s="142"/>
      <c r="H437" s="142"/>
      <c r="I437" s="142"/>
      <c r="J437" s="142"/>
      <c r="K437" s="92"/>
      <c r="L437" s="92"/>
      <c r="M437" s="92"/>
      <c r="N437" s="92"/>
      <c r="O437" s="92"/>
      <c r="P437" s="92"/>
    </row>
    <row r="438" spans="1:16" x14ac:dyDescent="0.2">
      <c r="A438" s="140" t="s">
        <v>182</v>
      </c>
      <c r="B438" s="140" t="s">
        <v>27</v>
      </c>
      <c r="C438" s="140" t="s">
        <v>28</v>
      </c>
      <c r="D438" s="149" t="s">
        <v>824</v>
      </c>
      <c r="E438" s="139" t="s">
        <v>740</v>
      </c>
      <c r="F438" s="142"/>
      <c r="G438" s="142"/>
      <c r="H438" s="142"/>
      <c r="I438" s="142"/>
      <c r="J438" s="142"/>
      <c r="K438" s="92"/>
      <c r="L438" s="92"/>
      <c r="M438" s="92"/>
      <c r="N438" s="92"/>
      <c r="O438" s="92"/>
      <c r="P438" s="92"/>
    </row>
    <row r="439" spans="1:16" x14ac:dyDescent="0.2">
      <c r="A439" s="140" t="s">
        <v>182</v>
      </c>
      <c r="B439" s="140" t="s">
        <v>27</v>
      </c>
      <c r="C439" s="140" t="s">
        <v>28</v>
      </c>
      <c r="D439" s="149" t="s">
        <v>367</v>
      </c>
      <c r="E439" s="139" t="s">
        <v>741</v>
      </c>
      <c r="F439" s="142"/>
      <c r="G439" s="142"/>
      <c r="H439" s="142"/>
      <c r="I439" s="142"/>
      <c r="J439" s="142"/>
      <c r="K439" s="92"/>
      <c r="L439" s="92"/>
      <c r="M439" s="92"/>
      <c r="N439" s="92"/>
      <c r="O439" s="92"/>
      <c r="P439" s="92"/>
    </row>
    <row r="440" spans="1:16" x14ac:dyDescent="0.2">
      <c r="A440" s="140" t="s">
        <v>182</v>
      </c>
      <c r="B440" s="140" t="s">
        <v>27</v>
      </c>
      <c r="C440" s="140" t="s">
        <v>28</v>
      </c>
      <c r="D440" s="149" t="s">
        <v>232</v>
      </c>
      <c r="E440" s="139" t="s">
        <v>233</v>
      </c>
      <c r="F440" s="142"/>
      <c r="G440" s="142"/>
      <c r="H440" s="142"/>
      <c r="I440" s="142"/>
      <c r="J440" s="142"/>
      <c r="K440" s="92"/>
      <c r="L440" s="92"/>
      <c r="M440" s="92"/>
      <c r="N440" s="92"/>
      <c r="O440" s="92"/>
      <c r="P440" s="92"/>
    </row>
    <row r="441" spans="1:16" x14ac:dyDescent="0.2">
      <c r="A441" s="140" t="s">
        <v>182</v>
      </c>
      <c r="B441" s="140" t="s">
        <v>27</v>
      </c>
      <c r="C441" s="140" t="s">
        <v>28</v>
      </c>
      <c r="D441" s="149" t="s">
        <v>818</v>
      </c>
      <c r="E441" s="139" t="s">
        <v>742</v>
      </c>
      <c r="F441" s="142"/>
      <c r="G441" s="142"/>
      <c r="H441" s="142"/>
      <c r="I441" s="142"/>
      <c r="J441" s="142"/>
      <c r="K441" s="92"/>
      <c r="L441" s="92"/>
      <c r="M441" s="92"/>
      <c r="N441" s="92"/>
      <c r="O441" s="92"/>
      <c r="P441" s="92"/>
    </row>
    <row r="442" spans="1:16" x14ac:dyDescent="0.2">
      <c r="A442" s="140" t="s">
        <v>182</v>
      </c>
      <c r="B442" s="140" t="s">
        <v>27</v>
      </c>
      <c r="C442" s="140" t="s">
        <v>28</v>
      </c>
      <c r="D442" s="149" t="s">
        <v>819</v>
      </c>
      <c r="E442" s="139" t="s">
        <v>743</v>
      </c>
      <c r="F442" s="142"/>
      <c r="G442" s="142"/>
      <c r="H442" s="142"/>
      <c r="I442" s="142"/>
      <c r="J442" s="142"/>
      <c r="K442" s="92"/>
      <c r="L442" s="92"/>
      <c r="M442" s="92"/>
      <c r="N442" s="92"/>
      <c r="O442" s="92"/>
      <c r="P442" s="92"/>
    </row>
    <row r="443" spans="1:16" x14ac:dyDescent="0.2">
      <c r="A443" s="140" t="s">
        <v>182</v>
      </c>
      <c r="B443" s="140" t="s">
        <v>27</v>
      </c>
      <c r="C443" s="140" t="s">
        <v>28</v>
      </c>
      <c r="D443" s="149" t="s">
        <v>820</v>
      </c>
      <c r="E443" s="139" t="s">
        <v>744</v>
      </c>
      <c r="F443" s="142"/>
      <c r="G443" s="142"/>
      <c r="H443" s="142"/>
      <c r="I443" s="142"/>
      <c r="J443" s="142"/>
      <c r="K443" s="92"/>
      <c r="L443" s="92"/>
      <c r="M443" s="92"/>
      <c r="N443" s="92"/>
      <c r="O443" s="92"/>
      <c r="P443" s="92"/>
    </row>
    <row r="444" spans="1:16" x14ac:dyDescent="0.2">
      <c r="A444" s="140" t="s">
        <v>182</v>
      </c>
      <c r="B444" s="140" t="s">
        <v>27</v>
      </c>
      <c r="C444" s="140" t="s">
        <v>28</v>
      </c>
      <c r="D444" s="149" t="s">
        <v>378</v>
      </c>
      <c r="E444" s="139" t="s">
        <v>745</v>
      </c>
      <c r="F444" s="142"/>
      <c r="G444" s="142"/>
      <c r="H444" s="142"/>
      <c r="I444" s="142"/>
      <c r="J444" s="142"/>
      <c r="K444" s="92"/>
      <c r="L444" s="92"/>
      <c r="M444" s="92"/>
      <c r="N444" s="92"/>
      <c r="O444" s="92"/>
      <c r="P444" s="92"/>
    </row>
    <row r="445" spans="1:16" x14ac:dyDescent="0.2">
      <c r="A445" s="140" t="s">
        <v>182</v>
      </c>
      <c r="B445" s="140" t="s">
        <v>27</v>
      </c>
      <c r="C445" s="140" t="s">
        <v>28</v>
      </c>
      <c r="D445" s="149" t="s">
        <v>381</v>
      </c>
      <c r="E445" s="139" t="s">
        <v>97</v>
      </c>
      <c r="F445" s="142"/>
      <c r="G445" s="142"/>
      <c r="H445" s="142"/>
      <c r="I445" s="142"/>
      <c r="J445" s="142"/>
      <c r="K445" s="92"/>
      <c r="L445" s="92"/>
      <c r="M445" s="92"/>
      <c r="N445" s="92"/>
      <c r="O445" s="92"/>
      <c r="P445" s="92"/>
    </row>
    <row r="446" spans="1:16" x14ac:dyDescent="0.2">
      <c r="A446" s="140" t="s">
        <v>182</v>
      </c>
      <c r="B446" s="140" t="s">
        <v>27</v>
      </c>
      <c r="C446" s="140" t="s">
        <v>28</v>
      </c>
      <c r="D446" s="149" t="s">
        <v>109</v>
      </c>
      <c r="E446" s="139" t="s">
        <v>110</v>
      </c>
      <c r="F446" s="142"/>
      <c r="G446" s="142"/>
      <c r="H446" s="142"/>
      <c r="I446" s="142"/>
      <c r="J446" s="142"/>
      <c r="K446" s="92"/>
      <c r="L446" s="92"/>
      <c r="M446" s="92"/>
      <c r="N446" s="92"/>
      <c r="O446" s="92"/>
      <c r="P446" s="92"/>
    </row>
    <row r="447" spans="1:16" x14ac:dyDescent="0.2">
      <c r="A447" s="140" t="s">
        <v>182</v>
      </c>
      <c r="B447" s="140" t="s">
        <v>27</v>
      </c>
      <c r="C447" s="140" t="s">
        <v>28</v>
      </c>
      <c r="D447" s="149" t="s">
        <v>386</v>
      </c>
      <c r="E447" s="139" t="s">
        <v>746</v>
      </c>
      <c r="F447" s="142"/>
      <c r="G447" s="142"/>
      <c r="H447" s="142"/>
      <c r="I447" s="142"/>
      <c r="J447" s="142"/>
      <c r="K447" s="92"/>
      <c r="L447" s="92"/>
      <c r="M447" s="92"/>
      <c r="N447" s="92"/>
      <c r="O447" s="92"/>
      <c r="P447" s="92"/>
    </row>
    <row r="448" spans="1:16" x14ac:dyDescent="0.2">
      <c r="A448" s="140" t="s">
        <v>182</v>
      </c>
      <c r="B448" s="140" t="s">
        <v>27</v>
      </c>
      <c r="C448" s="140" t="s">
        <v>28</v>
      </c>
      <c r="D448" s="149" t="s">
        <v>821</v>
      </c>
      <c r="E448" s="139" t="s">
        <v>747</v>
      </c>
      <c r="F448" s="142"/>
      <c r="G448" s="142"/>
      <c r="H448" s="142"/>
      <c r="I448" s="142"/>
      <c r="J448" s="142"/>
      <c r="K448" s="92"/>
      <c r="L448" s="92"/>
      <c r="M448" s="92"/>
      <c r="N448" s="92"/>
      <c r="O448" s="92"/>
      <c r="P448" s="92"/>
    </row>
    <row r="449" spans="1:16" x14ac:dyDescent="0.2">
      <c r="A449" s="140" t="s">
        <v>182</v>
      </c>
      <c r="B449" s="140" t="s">
        <v>27</v>
      </c>
      <c r="C449" s="140" t="s">
        <v>28</v>
      </c>
      <c r="D449" s="149" t="s">
        <v>391</v>
      </c>
      <c r="E449" s="139" t="s">
        <v>748</v>
      </c>
      <c r="F449" s="142"/>
      <c r="G449" s="142"/>
      <c r="H449" s="142"/>
      <c r="I449" s="142"/>
      <c r="J449" s="142"/>
      <c r="K449" s="92"/>
      <c r="L449" s="92"/>
      <c r="M449" s="92"/>
      <c r="N449" s="92"/>
      <c r="O449" s="92"/>
      <c r="P449" s="92"/>
    </row>
    <row r="450" spans="1:16" x14ac:dyDescent="0.2">
      <c r="A450" s="140" t="s">
        <v>182</v>
      </c>
      <c r="B450" s="140" t="s">
        <v>27</v>
      </c>
      <c r="C450" s="140" t="s">
        <v>28</v>
      </c>
      <c r="D450" s="149" t="s">
        <v>822</v>
      </c>
      <c r="E450" s="139" t="s">
        <v>749</v>
      </c>
      <c r="F450" s="142"/>
      <c r="G450" s="142"/>
      <c r="H450" s="142"/>
      <c r="I450" s="142"/>
      <c r="J450" s="142"/>
      <c r="K450" s="92"/>
      <c r="L450" s="92"/>
      <c r="M450" s="92"/>
      <c r="N450" s="92"/>
      <c r="O450" s="92"/>
      <c r="P450" s="92"/>
    </row>
    <row r="451" spans="1:16" x14ac:dyDescent="0.2">
      <c r="A451" s="140" t="s">
        <v>182</v>
      </c>
      <c r="B451" s="140" t="s">
        <v>27</v>
      </c>
      <c r="C451" s="140" t="s">
        <v>28</v>
      </c>
      <c r="D451" s="149" t="s">
        <v>28</v>
      </c>
      <c r="E451" s="139" t="s">
        <v>130</v>
      </c>
      <c r="F451" s="142"/>
      <c r="G451" s="142"/>
      <c r="H451" s="142"/>
      <c r="I451" s="142"/>
      <c r="J451" s="142"/>
      <c r="K451" s="92"/>
      <c r="L451" s="92"/>
      <c r="M451" s="92"/>
      <c r="N451" s="92"/>
      <c r="O451" s="92"/>
      <c r="P451" s="92"/>
    </row>
    <row r="452" spans="1:16" x14ac:dyDescent="0.2">
      <c r="A452" s="140" t="s">
        <v>182</v>
      </c>
      <c r="B452" s="140" t="s">
        <v>27</v>
      </c>
      <c r="C452" s="140" t="s">
        <v>28</v>
      </c>
      <c r="D452" s="149" t="s">
        <v>397</v>
      </c>
      <c r="E452" s="139" t="s">
        <v>750</v>
      </c>
      <c r="F452" s="142"/>
      <c r="G452" s="142"/>
      <c r="H452" s="142"/>
      <c r="I452" s="142"/>
      <c r="J452" s="142"/>
      <c r="K452" s="92"/>
      <c r="L452" s="92"/>
      <c r="M452" s="92"/>
      <c r="N452" s="92"/>
      <c r="O452" s="92"/>
      <c r="P452" s="92"/>
    </row>
    <row r="453" spans="1:16" x14ac:dyDescent="0.2">
      <c r="A453" s="140" t="s">
        <v>182</v>
      </c>
      <c r="B453" s="140" t="s">
        <v>27</v>
      </c>
      <c r="C453" s="140" t="s">
        <v>28</v>
      </c>
      <c r="D453" s="149" t="s">
        <v>400</v>
      </c>
      <c r="E453" s="139" t="s">
        <v>751</v>
      </c>
      <c r="F453" s="142"/>
      <c r="G453" s="142"/>
      <c r="H453" s="142"/>
      <c r="I453" s="142"/>
      <c r="J453" s="142"/>
      <c r="K453" s="92"/>
      <c r="L453" s="92"/>
      <c r="M453" s="92"/>
      <c r="N453" s="92"/>
      <c r="O453" s="92"/>
      <c r="P453" s="92"/>
    </row>
    <row r="454" spans="1:16" x14ac:dyDescent="0.2">
      <c r="A454" s="140" t="s">
        <v>182</v>
      </c>
      <c r="B454" s="140" t="s">
        <v>27</v>
      </c>
      <c r="C454" s="140" t="s">
        <v>28</v>
      </c>
      <c r="D454" s="149" t="s">
        <v>142</v>
      </c>
      <c r="E454" s="139" t="s">
        <v>143</v>
      </c>
      <c r="F454" s="142"/>
      <c r="G454" s="142"/>
      <c r="H454" s="142"/>
      <c r="I454" s="142"/>
      <c r="J454" s="142"/>
      <c r="K454" s="92"/>
      <c r="L454" s="92"/>
      <c r="M454" s="92"/>
      <c r="N454" s="92"/>
      <c r="O454" s="92"/>
      <c r="P454" s="92"/>
    </row>
    <row r="455" spans="1:16" x14ac:dyDescent="0.2">
      <c r="A455" s="140" t="s">
        <v>182</v>
      </c>
      <c r="B455" s="140" t="s">
        <v>27</v>
      </c>
      <c r="C455" s="140" t="s">
        <v>28</v>
      </c>
      <c r="D455" s="149" t="s">
        <v>404</v>
      </c>
      <c r="E455" s="139" t="s">
        <v>752</v>
      </c>
      <c r="F455" s="142"/>
      <c r="G455" s="142"/>
      <c r="H455" s="142"/>
      <c r="I455" s="142"/>
      <c r="J455" s="142"/>
      <c r="K455" s="92"/>
      <c r="L455" s="92"/>
      <c r="M455" s="92"/>
      <c r="N455" s="92"/>
      <c r="O455" s="92"/>
      <c r="P455" s="92"/>
    </row>
    <row r="456" spans="1:16" x14ac:dyDescent="0.2">
      <c r="A456" s="140" t="s">
        <v>229</v>
      </c>
      <c r="B456" s="140" t="s">
        <v>71</v>
      </c>
      <c r="C456" s="140" t="s">
        <v>66</v>
      </c>
      <c r="D456" s="149" t="s">
        <v>564</v>
      </c>
      <c r="E456" s="139" t="s">
        <v>653</v>
      </c>
      <c r="F456" s="142"/>
      <c r="G456" s="142"/>
      <c r="H456" s="142"/>
      <c r="I456" s="142"/>
      <c r="J456" s="142"/>
      <c r="K456" s="92"/>
      <c r="L456" s="92"/>
      <c r="M456" s="92"/>
      <c r="N456" s="92"/>
      <c r="O456" s="92"/>
      <c r="P456" s="92"/>
    </row>
    <row r="457" spans="1:16" x14ac:dyDescent="0.2">
      <c r="A457" s="140" t="s">
        <v>229</v>
      </c>
      <c r="B457" s="140" t="s">
        <v>71</v>
      </c>
      <c r="C457" s="140" t="s">
        <v>66</v>
      </c>
      <c r="D457" s="149" t="s">
        <v>568</v>
      </c>
      <c r="E457" s="139" t="s">
        <v>654</v>
      </c>
      <c r="F457" s="142"/>
      <c r="G457" s="142"/>
      <c r="H457" s="142"/>
      <c r="I457" s="142"/>
      <c r="J457" s="142"/>
      <c r="K457" s="92"/>
      <c r="L457" s="92"/>
      <c r="M457" s="92"/>
      <c r="N457" s="92"/>
      <c r="O457" s="92"/>
      <c r="P457" s="92"/>
    </row>
    <row r="458" spans="1:16" x14ac:dyDescent="0.2">
      <c r="A458" s="140" t="s">
        <v>229</v>
      </c>
      <c r="B458" s="140" t="s">
        <v>71</v>
      </c>
      <c r="C458" s="140" t="s">
        <v>66</v>
      </c>
      <c r="D458" s="149" t="s">
        <v>183</v>
      </c>
      <c r="E458" s="139" t="s">
        <v>184</v>
      </c>
      <c r="F458" s="142"/>
      <c r="G458" s="142"/>
      <c r="H458" s="142"/>
      <c r="I458" s="142"/>
      <c r="J458" s="142"/>
      <c r="K458" s="92"/>
      <c r="L458" s="92"/>
      <c r="M458" s="92"/>
      <c r="N458" s="92"/>
      <c r="O458" s="92"/>
      <c r="P458" s="92"/>
    </row>
    <row r="459" spans="1:16" x14ac:dyDescent="0.2">
      <c r="A459" s="140" t="s">
        <v>229</v>
      </c>
      <c r="B459" s="140" t="s">
        <v>71</v>
      </c>
      <c r="C459" s="140" t="s">
        <v>66</v>
      </c>
      <c r="D459" s="149" t="s">
        <v>185</v>
      </c>
      <c r="E459" s="139" t="s">
        <v>72</v>
      </c>
      <c r="F459" s="142"/>
      <c r="G459" s="142"/>
      <c r="H459" s="142"/>
      <c r="I459" s="142"/>
      <c r="J459" s="142"/>
      <c r="K459" s="92"/>
      <c r="L459" s="92"/>
      <c r="M459" s="92"/>
      <c r="N459" s="92"/>
      <c r="O459" s="92"/>
      <c r="P459" s="92"/>
    </row>
    <row r="460" spans="1:16" x14ac:dyDescent="0.2">
      <c r="A460" s="140" t="s">
        <v>229</v>
      </c>
      <c r="B460" s="140" t="s">
        <v>71</v>
      </c>
      <c r="C460" s="140" t="s">
        <v>66</v>
      </c>
      <c r="D460" s="149" t="s">
        <v>572</v>
      </c>
      <c r="E460" s="139" t="s">
        <v>655</v>
      </c>
      <c r="F460" s="142"/>
      <c r="G460" s="142"/>
      <c r="H460" s="142"/>
      <c r="I460" s="142"/>
      <c r="J460" s="142"/>
      <c r="K460" s="92"/>
      <c r="L460" s="92"/>
      <c r="M460" s="92"/>
      <c r="N460" s="92"/>
      <c r="O460" s="92"/>
      <c r="P460" s="92"/>
    </row>
    <row r="461" spans="1:16" x14ac:dyDescent="0.2">
      <c r="A461" s="140" t="s">
        <v>229</v>
      </c>
      <c r="B461" s="140" t="s">
        <v>71</v>
      </c>
      <c r="C461" s="140" t="s">
        <v>66</v>
      </c>
      <c r="D461" s="149" t="s">
        <v>230</v>
      </c>
      <c r="E461" s="139" t="s">
        <v>231</v>
      </c>
      <c r="F461" s="142"/>
      <c r="G461" s="142"/>
      <c r="H461" s="142"/>
      <c r="I461" s="142"/>
      <c r="J461" s="142"/>
      <c r="K461" s="92"/>
      <c r="L461" s="92"/>
      <c r="M461" s="92"/>
      <c r="N461" s="92"/>
      <c r="O461" s="92"/>
      <c r="P461" s="92"/>
    </row>
    <row r="462" spans="1:16" x14ac:dyDescent="0.2">
      <c r="A462" s="140" t="s">
        <v>229</v>
      </c>
      <c r="B462" s="140" t="s">
        <v>71</v>
      </c>
      <c r="C462" s="140" t="s">
        <v>66</v>
      </c>
      <c r="D462" s="149" t="s">
        <v>575</v>
      </c>
      <c r="E462" s="139" t="s">
        <v>656</v>
      </c>
      <c r="F462" s="142"/>
      <c r="G462" s="142"/>
      <c r="H462" s="142"/>
      <c r="I462" s="142"/>
      <c r="J462" s="142"/>
      <c r="K462" s="92"/>
      <c r="L462" s="92"/>
      <c r="M462" s="92"/>
      <c r="N462" s="92"/>
      <c r="O462" s="92"/>
      <c r="P462" s="92"/>
    </row>
    <row r="463" spans="1:16" x14ac:dyDescent="0.2">
      <c r="A463" s="140" t="s">
        <v>229</v>
      </c>
      <c r="B463" s="140" t="s">
        <v>71</v>
      </c>
      <c r="C463" s="140" t="s">
        <v>66</v>
      </c>
      <c r="D463" s="149" t="s">
        <v>577</v>
      </c>
      <c r="E463" s="139" t="s">
        <v>657</v>
      </c>
      <c r="F463" s="142"/>
      <c r="G463" s="142"/>
      <c r="H463" s="142"/>
      <c r="I463" s="142"/>
      <c r="J463" s="142"/>
      <c r="K463" s="92"/>
      <c r="L463" s="92"/>
      <c r="M463" s="92"/>
      <c r="N463" s="92"/>
      <c r="O463" s="92"/>
      <c r="P463" s="92"/>
    </row>
    <row r="464" spans="1:16" x14ac:dyDescent="0.2">
      <c r="A464" s="140" t="s">
        <v>229</v>
      </c>
      <c r="B464" s="140" t="s">
        <v>71</v>
      </c>
      <c r="C464" s="140" t="s">
        <v>66</v>
      </c>
      <c r="D464" s="149" t="s">
        <v>579</v>
      </c>
      <c r="E464" s="139" t="s">
        <v>658</v>
      </c>
      <c r="F464" s="142"/>
      <c r="G464" s="142"/>
      <c r="H464" s="142"/>
      <c r="I464" s="142"/>
      <c r="J464" s="142"/>
      <c r="K464" s="92"/>
      <c r="L464" s="92"/>
      <c r="M464" s="92"/>
      <c r="N464" s="92"/>
      <c r="O464" s="92"/>
      <c r="P464" s="92"/>
    </row>
    <row r="465" spans="1:16" x14ac:dyDescent="0.2">
      <c r="A465" s="140" t="s">
        <v>229</v>
      </c>
      <c r="B465" s="140" t="s">
        <v>71</v>
      </c>
      <c r="C465" s="140" t="s">
        <v>66</v>
      </c>
      <c r="D465" s="149" t="s">
        <v>581</v>
      </c>
      <c r="E465" s="139" t="s">
        <v>659</v>
      </c>
      <c r="F465" s="142"/>
      <c r="G465" s="142"/>
      <c r="H465" s="142"/>
      <c r="I465" s="142"/>
      <c r="J465" s="142"/>
      <c r="K465" s="92"/>
      <c r="L465" s="92"/>
      <c r="M465" s="92"/>
      <c r="N465" s="92"/>
      <c r="O465" s="92"/>
      <c r="P465" s="92"/>
    </row>
    <row r="466" spans="1:16" x14ac:dyDescent="0.2">
      <c r="A466" s="140" t="s">
        <v>229</v>
      </c>
      <c r="B466" s="140" t="s">
        <v>20</v>
      </c>
      <c r="C466" s="140" t="s">
        <v>66</v>
      </c>
      <c r="D466" s="149" t="s">
        <v>21</v>
      </c>
      <c r="E466" s="139" t="s">
        <v>22</v>
      </c>
      <c r="F466" s="142"/>
      <c r="G466" s="142"/>
      <c r="H466" s="142"/>
      <c r="I466" s="142"/>
      <c r="J466" s="142"/>
      <c r="K466" s="92"/>
      <c r="L466" s="92"/>
      <c r="M466" s="92"/>
      <c r="N466" s="92"/>
      <c r="O466" s="92"/>
      <c r="P466" s="92"/>
    </row>
    <row r="467" spans="1:16" x14ac:dyDescent="0.2">
      <c r="A467" s="140" t="s">
        <v>229</v>
      </c>
      <c r="B467" s="140" t="s">
        <v>20</v>
      </c>
      <c r="C467" s="140" t="s">
        <v>34</v>
      </c>
      <c r="D467" s="149" t="s">
        <v>35</v>
      </c>
      <c r="E467" s="139" t="s">
        <v>36</v>
      </c>
      <c r="F467" s="142"/>
      <c r="G467" s="142"/>
      <c r="H467" s="142"/>
      <c r="I467" s="142"/>
      <c r="J467" s="142"/>
      <c r="K467" s="92"/>
      <c r="L467" s="92"/>
      <c r="M467" s="92"/>
      <c r="N467" s="92"/>
      <c r="O467" s="92"/>
      <c r="P467" s="92"/>
    </row>
    <row r="468" spans="1:16" x14ac:dyDescent="0.2">
      <c r="A468" s="140" t="s">
        <v>229</v>
      </c>
      <c r="B468" s="140" t="s">
        <v>20</v>
      </c>
      <c r="C468" s="140" t="s">
        <v>34</v>
      </c>
      <c r="D468" s="149" t="s">
        <v>164</v>
      </c>
      <c r="E468" s="139" t="s">
        <v>165</v>
      </c>
      <c r="F468" s="142"/>
      <c r="G468" s="142"/>
      <c r="H468" s="142"/>
      <c r="I468" s="142"/>
      <c r="J468" s="142"/>
      <c r="K468" s="92"/>
      <c r="L468" s="92"/>
      <c r="M468" s="92"/>
      <c r="N468" s="92"/>
      <c r="O468" s="92"/>
      <c r="P468" s="92"/>
    </row>
    <row r="469" spans="1:16" x14ac:dyDescent="0.2">
      <c r="A469" s="140" t="s">
        <v>229</v>
      </c>
      <c r="B469" s="140" t="s">
        <v>20</v>
      </c>
      <c r="C469" s="140" t="s">
        <v>34</v>
      </c>
      <c r="D469" s="149" t="s">
        <v>49</v>
      </c>
      <c r="E469" s="139" t="s">
        <v>50</v>
      </c>
      <c r="F469" s="142"/>
      <c r="G469" s="142"/>
      <c r="H469" s="142"/>
      <c r="I469" s="142"/>
      <c r="J469" s="142"/>
      <c r="K469" s="92"/>
      <c r="L469" s="92"/>
      <c r="M469" s="92"/>
      <c r="N469" s="92"/>
      <c r="O469" s="92"/>
      <c r="P469" s="92"/>
    </row>
    <row r="470" spans="1:16" x14ac:dyDescent="0.2">
      <c r="A470" s="140" t="s">
        <v>229</v>
      </c>
      <c r="B470" s="140" t="s">
        <v>20</v>
      </c>
      <c r="C470" s="140" t="s">
        <v>34</v>
      </c>
      <c r="D470" s="149" t="s">
        <v>62</v>
      </c>
      <c r="E470" s="139" t="s">
        <v>63</v>
      </c>
      <c r="F470" s="142"/>
      <c r="G470" s="142"/>
      <c r="H470" s="142"/>
      <c r="I470" s="142"/>
      <c r="J470" s="142"/>
      <c r="K470" s="92"/>
      <c r="L470" s="92"/>
      <c r="M470" s="92"/>
      <c r="N470" s="92"/>
      <c r="O470" s="92"/>
      <c r="P470" s="92"/>
    </row>
    <row r="471" spans="1:16" x14ac:dyDescent="0.2">
      <c r="A471" s="140" t="s">
        <v>229</v>
      </c>
      <c r="B471" s="140" t="s">
        <v>20</v>
      </c>
      <c r="C471" s="140" t="s">
        <v>34</v>
      </c>
      <c r="D471" s="149" t="s">
        <v>441</v>
      </c>
      <c r="E471" s="139" t="s">
        <v>729</v>
      </c>
      <c r="F471" s="142"/>
      <c r="G471" s="142"/>
      <c r="H471" s="142"/>
      <c r="I471" s="142"/>
      <c r="J471" s="142"/>
      <c r="K471" s="92"/>
      <c r="L471" s="92"/>
      <c r="M471" s="92"/>
      <c r="N471" s="92"/>
      <c r="O471" s="92"/>
      <c r="P471" s="92"/>
    </row>
    <row r="472" spans="1:16" x14ac:dyDescent="0.2">
      <c r="A472" s="140" t="s">
        <v>229</v>
      </c>
      <c r="B472" s="140" t="s">
        <v>20</v>
      </c>
      <c r="C472" s="140" t="s">
        <v>34</v>
      </c>
      <c r="D472" s="149" t="s">
        <v>113</v>
      </c>
      <c r="E472" s="139" t="s">
        <v>114</v>
      </c>
      <c r="F472" s="142"/>
      <c r="G472" s="142"/>
      <c r="H472" s="142"/>
      <c r="I472" s="142"/>
      <c r="J472" s="142"/>
      <c r="K472" s="92"/>
      <c r="L472" s="92"/>
      <c r="M472" s="92"/>
      <c r="N472" s="92"/>
      <c r="O472" s="92"/>
      <c r="P472" s="92"/>
    </row>
    <row r="473" spans="1:16" x14ac:dyDescent="0.2">
      <c r="A473" s="140" t="s">
        <v>229</v>
      </c>
      <c r="B473" s="140" t="s">
        <v>20</v>
      </c>
      <c r="C473" s="140" t="s">
        <v>34</v>
      </c>
      <c r="D473" s="149" t="s">
        <v>144</v>
      </c>
      <c r="E473" s="139" t="s">
        <v>145</v>
      </c>
      <c r="F473" s="142"/>
      <c r="G473" s="142"/>
      <c r="H473" s="142"/>
      <c r="I473" s="142"/>
      <c r="J473" s="142"/>
      <c r="K473" s="92"/>
      <c r="L473" s="92"/>
      <c r="M473" s="92"/>
      <c r="N473" s="92"/>
      <c r="O473" s="92"/>
      <c r="P473" s="92"/>
    </row>
    <row r="474" spans="1:16" x14ac:dyDescent="0.2">
      <c r="A474" s="140" t="s">
        <v>229</v>
      </c>
      <c r="B474" s="140" t="s">
        <v>20</v>
      </c>
      <c r="C474" s="140" t="s">
        <v>34</v>
      </c>
      <c r="D474" s="149" t="s">
        <v>827</v>
      </c>
      <c r="E474" s="139" t="s">
        <v>151</v>
      </c>
      <c r="F474" s="142"/>
      <c r="G474" s="142"/>
      <c r="H474" s="142"/>
      <c r="I474" s="142"/>
      <c r="J474" s="142"/>
      <c r="K474" s="92"/>
      <c r="L474" s="92"/>
      <c r="M474" s="92"/>
      <c r="N474" s="92"/>
      <c r="O474" s="92"/>
      <c r="P474" s="92"/>
    </row>
    <row r="475" spans="1:16" x14ac:dyDescent="0.2">
      <c r="A475" s="140" t="s">
        <v>229</v>
      </c>
      <c r="B475" s="140" t="s">
        <v>20</v>
      </c>
      <c r="C475" s="140" t="s">
        <v>37</v>
      </c>
      <c r="D475" s="149" t="s">
        <v>828</v>
      </c>
      <c r="E475" s="139" t="s">
        <v>163</v>
      </c>
      <c r="F475" s="142"/>
      <c r="G475" s="142"/>
      <c r="H475" s="142"/>
      <c r="I475" s="142"/>
      <c r="J475" s="142"/>
      <c r="K475" s="92"/>
      <c r="L475" s="92"/>
      <c r="M475" s="92"/>
      <c r="N475" s="92"/>
      <c r="O475" s="92"/>
      <c r="P475" s="92"/>
    </row>
    <row r="476" spans="1:16" x14ac:dyDescent="0.2">
      <c r="A476" s="140" t="s">
        <v>229</v>
      </c>
      <c r="B476" s="140" t="s">
        <v>20</v>
      </c>
      <c r="C476" s="140" t="s">
        <v>37</v>
      </c>
      <c r="D476" s="149" t="s">
        <v>37</v>
      </c>
      <c r="E476" s="139" t="s">
        <v>77</v>
      </c>
      <c r="F476" s="142"/>
      <c r="G476" s="142"/>
      <c r="H476" s="142"/>
      <c r="I476" s="142"/>
      <c r="J476" s="142"/>
      <c r="K476" s="92"/>
      <c r="L476" s="92"/>
      <c r="M476" s="92"/>
      <c r="N476" s="92"/>
      <c r="O476" s="92"/>
      <c r="P476" s="92"/>
    </row>
    <row r="477" spans="1:16" x14ac:dyDescent="0.2">
      <c r="A477" s="140" t="s">
        <v>229</v>
      </c>
      <c r="B477" s="140" t="s">
        <v>20</v>
      </c>
      <c r="C477" s="140" t="s">
        <v>37</v>
      </c>
      <c r="D477" s="149" t="s">
        <v>76</v>
      </c>
      <c r="E477" s="139" t="s">
        <v>77</v>
      </c>
      <c r="F477" s="142"/>
      <c r="G477" s="142"/>
      <c r="H477" s="142"/>
      <c r="I477" s="142"/>
      <c r="J477" s="142"/>
      <c r="K477" s="92"/>
      <c r="L477" s="92"/>
      <c r="M477" s="92"/>
      <c r="N477" s="92"/>
      <c r="O477" s="92"/>
      <c r="P477" s="92"/>
    </row>
    <row r="478" spans="1:16" x14ac:dyDescent="0.2">
      <c r="A478" s="140" t="s">
        <v>229</v>
      </c>
      <c r="B478" s="140" t="s">
        <v>20</v>
      </c>
      <c r="C478" s="140" t="s">
        <v>37</v>
      </c>
      <c r="D478" s="149" t="s">
        <v>829</v>
      </c>
      <c r="E478" s="139" t="s">
        <v>122</v>
      </c>
      <c r="F478" s="142"/>
      <c r="G478" s="142"/>
      <c r="H478" s="142"/>
      <c r="I478" s="142"/>
      <c r="J478" s="142"/>
      <c r="K478" s="92"/>
      <c r="L478" s="92"/>
      <c r="M478" s="92"/>
      <c r="N478" s="92"/>
      <c r="O478" s="92"/>
      <c r="P478" s="92"/>
    </row>
    <row r="479" spans="1:16" x14ac:dyDescent="0.2">
      <c r="A479" s="140" t="s">
        <v>229</v>
      </c>
      <c r="B479" s="140" t="s">
        <v>20</v>
      </c>
      <c r="C479" s="140" t="s">
        <v>37</v>
      </c>
      <c r="D479" s="149" t="s">
        <v>152</v>
      </c>
      <c r="E479" s="139" t="s">
        <v>153</v>
      </c>
      <c r="F479" s="142"/>
      <c r="G479" s="142"/>
      <c r="H479" s="142"/>
      <c r="I479" s="142"/>
      <c r="J479" s="142"/>
      <c r="K479" s="92"/>
      <c r="L479" s="92"/>
      <c r="M479" s="92"/>
      <c r="N479" s="92"/>
      <c r="O479" s="92"/>
      <c r="P479" s="92"/>
    </row>
    <row r="480" spans="1:16" x14ac:dyDescent="0.2">
      <c r="A480" s="140" t="s">
        <v>229</v>
      </c>
      <c r="B480" s="140" t="s">
        <v>155</v>
      </c>
      <c r="C480" s="140" t="s">
        <v>66</v>
      </c>
      <c r="D480" s="149" t="s">
        <v>186</v>
      </c>
      <c r="E480" s="139" t="s">
        <v>187</v>
      </c>
      <c r="F480" s="142"/>
      <c r="G480" s="142"/>
      <c r="H480" s="142"/>
      <c r="I480" s="142"/>
      <c r="J480" s="142"/>
      <c r="K480" s="92"/>
      <c r="L480" s="92"/>
      <c r="M480" s="92"/>
      <c r="N480" s="92"/>
      <c r="O480" s="92"/>
      <c r="P480" s="92"/>
    </row>
    <row r="481" spans="1:16" x14ac:dyDescent="0.2">
      <c r="A481" s="140" t="s">
        <v>229</v>
      </c>
      <c r="B481" s="140" t="s">
        <v>155</v>
      </c>
      <c r="C481" s="140" t="s">
        <v>66</v>
      </c>
      <c r="D481" s="149" t="s">
        <v>159</v>
      </c>
      <c r="E481" s="139" t="s">
        <v>160</v>
      </c>
      <c r="F481" s="142"/>
      <c r="G481" s="142"/>
      <c r="H481" s="142"/>
      <c r="I481" s="142"/>
      <c r="J481" s="142"/>
      <c r="K481" s="92"/>
      <c r="L481" s="92"/>
      <c r="M481" s="92"/>
      <c r="N481" s="92"/>
      <c r="O481" s="92"/>
      <c r="P481" s="92"/>
    </row>
    <row r="482" spans="1:16" x14ac:dyDescent="0.2">
      <c r="A482" s="140" t="s">
        <v>229</v>
      </c>
      <c r="B482" s="140" t="s">
        <v>155</v>
      </c>
      <c r="C482" s="140" t="s">
        <v>66</v>
      </c>
      <c r="D482" s="149" t="s">
        <v>188</v>
      </c>
      <c r="E482" s="139" t="s">
        <v>189</v>
      </c>
      <c r="F482" s="142"/>
      <c r="G482" s="142"/>
      <c r="H482" s="142"/>
      <c r="I482" s="142"/>
      <c r="J482" s="142"/>
      <c r="K482" s="92"/>
      <c r="L482" s="92"/>
      <c r="M482" s="92"/>
      <c r="N482" s="92"/>
      <c r="O482" s="92"/>
      <c r="P482" s="92"/>
    </row>
    <row r="483" spans="1:16" x14ac:dyDescent="0.2">
      <c r="A483" s="140" t="s">
        <v>229</v>
      </c>
      <c r="B483" s="140" t="s">
        <v>155</v>
      </c>
      <c r="C483" s="140" t="s">
        <v>66</v>
      </c>
      <c r="D483" s="149" t="s">
        <v>190</v>
      </c>
      <c r="E483" s="139" t="s">
        <v>191</v>
      </c>
      <c r="F483" s="142"/>
      <c r="G483" s="142"/>
      <c r="H483" s="142"/>
      <c r="I483" s="142"/>
      <c r="J483" s="142"/>
      <c r="K483" s="92"/>
      <c r="L483" s="92"/>
      <c r="M483" s="92"/>
      <c r="N483" s="92"/>
      <c r="O483" s="92"/>
      <c r="P483" s="92"/>
    </row>
    <row r="484" spans="1:16" x14ac:dyDescent="0.2">
      <c r="A484" s="140" t="s">
        <v>229</v>
      </c>
      <c r="B484" s="140" t="s">
        <v>155</v>
      </c>
      <c r="C484" s="140" t="s">
        <v>66</v>
      </c>
      <c r="D484" s="149" t="s">
        <v>192</v>
      </c>
      <c r="E484" s="139" t="s">
        <v>193</v>
      </c>
      <c r="F484" s="142"/>
      <c r="G484" s="142"/>
      <c r="H484" s="142"/>
      <c r="I484" s="142"/>
      <c r="J484" s="142"/>
      <c r="K484" s="92"/>
      <c r="L484" s="92"/>
      <c r="M484" s="92"/>
      <c r="N484" s="92"/>
      <c r="O484" s="92"/>
      <c r="P484" s="92"/>
    </row>
    <row r="485" spans="1:16" ht="12" customHeight="1" x14ac:dyDescent="0.2">
      <c r="A485" s="140" t="s">
        <v>229</v>
      </c>
      <c r="B485" s="140" t="s">
        <v>155</v>
      </c>
      <c r="C485" s="140" t="s">
        <v>66</v>
      </c>
      <c r="D485" s="149" t="s">
        <v>194</v>
      </c>
      <c r="E485" s="139" t="s">
        <v>195</v>
      </c>
      <c r="F485" s="142"/>
      <c r="G485" s="142"/>
      <c r="H485" s="142"/>
      <c r="I485" s="142"/>
      <c r="J485" s="142"/>
      <c r="K485" s="92"/>
      <c r="L485" s="92"/>
      <c r="M485" s="92"/>
      <c r="N485" s="92"/>
      <c r="O485" s="92"/>
      <c r="P485" s="92"/>
    </row>
    <row r="486" spans="1:16" x14ac:dyDescent="0.2">
      <c r="A486" s="140" t="s">
        <v>229</v>
      </c>
      <c r="B486" s="140" t="s">
        <v>155</v>
      </c>
      <c r="C486" s="140" t="s">
        <v>66</v>
      </c>
      <c r="D486" s="149" t="s">
        <v>156</v>
      </c>
      <c r="E486" s="139" t="s">
        <v>157</v>
      </c>
      <c r="F486" s="142"/>
      <c r="G486" s="142"/>
      <c r="H486" s="142"/>
      <c r="I486" s="142"/>
      <c r="J486" s="142"/>
      <c r="K486" s="92"/>
      <c r="L486" s="92"/>
      <c r="M486" s="92"/>
      <c r="N486" s="92"/>
      <c r="O486" s="92"/>
      <c r="P486" s="92"/>
    </row>
    <row r="487" spans="1:16" x14ac:dyDescent="0.2">
      <c r="A487" s="140" t="s">
        <v>229</v>
      </c>
      <c r="B487" s="140" t="s">
        <v>155</v>
      </c>
      <c r="C487" s="140" t="s">
        <v>66</v>
      </c>
      <c r="D487" s="149" t="s">
        <v>196</v>
      </c>
      <c r="E487" s="139" t="s">
        <v>197</v>
      </c>
      <c r="F487" s="142"/>
      <c r="G487" s="142"/>
      <c r="H487" s="142"/>
      <c r="I487" s="142"/>
      <c r="J487" s="142"/>
      <c r="K487" s="92"/>
      <c r="L487" s="92"/>
      <c r="M487" s="92"/>
      <c r="N487" s="92"/>
      <c r="O487" s="92"/>
      <c r="P487" s="92"/>
    </row>
    <row r="488" spans="1:16" x14ac:dyDescent="0.2">
      <c r="A488" s="140" t="s">
        <v>229</v>
      </c>
      <c r="B488" s="140" t="s">
        <v>44</v>
      </c>
      <c r="C488" s="140" t="s">
        <v>812</v>
      </c>
      <c r="D488" s="149" t="s">
        <v>517</v>
      </c>
      <c r="E488" s="139" t="s">
        <v>676</v>
      </c>
      <c r="F488" s="142"/>
      <c r="G488" s="142"/>
      <c r="H488" s="142"/>
      <c r="I488" s="142"/>
      <c r="J488" s="142"/>
      <c r="K488" s="92"/>
      <c r="L488" s="92"/>
      <c r="M488" s="92"/>
      <c r="N488" s="92"/>
      <c r="O488" s="92"/>
      <c r="P488" s="92"/>
    </row>
    <row r="489" spans="1:16" x14ac:dyDescent="0.2">
      <c r="A489" s="140" t="s">
        <v>229</v>
      </c>
      <c r="B489" s="140" t="s">
        <v>44</v>
      </c>
      <c r="C489" s="140" t="s">
        <v>812</v>
      </c>
      <c r="D489" s="149" t="s">
        <v>830</v>
      </c>
      <c r="E489" s="139" t="s">
        <v>677</v>
      </c>
      <c r="F489" s="142"/>
      <c r="G489" s="142"/>
      <c r="H489" s="142"/>
      <c r="I489" s="142"/>
      <c r="J489" s="142"/>
      <c r="K489" s="92"/>
      <c r="L489" s="92"/>
      <c r="M489" s="92"/>
      <c r="N489" s="92"/>
      <c r="O489" s="92"/>
      <c r="P489" s="92"/>
    </row>
    <row r="490" spans="1:16" x14ac:dyDescent="0.2">
      <c r="A490" s="140" t="s">
        <v>229</v>
      </c>
      <c r="B490" s="140" t="s">
        <v>44</v>
      </c>
      <c r="C490" s="140" t="s">
        <v>812</v>
      </c>
      <c r="D490" s="149" t="s">
        <v>831</v>
      </c>
      <c r="E490" s="139" t="s">
        <v>678</v>
      </c>
      <c r="F490" s="142"/>
      <c r="G490" s="142"/>
      <c r="H490" s="142"/>
      <c r="I490" s="142"/>
      <c r="J490" s="142"/>
      <c r="K490" s="92"/>
      <c r="L490" s="92"/>
      <c r="M490" s="92"/>
      <c r="N490" s="92"/>
      <c r="O490" s="92"/>
      <c r="P490" s="92"/>
    </row>
    <row r="491" spans="1:16" x14ac:dyDescent="0.2">
      <c r="A491" s="140" t="s">
        <v>229</v>
      </c>
      <c r="B491" s="140" t="s">
        <v>44</v>
      </c>
      <c r="C491" s="140" t="s">
        <v>812</v>
      </c>
      <c r="D491" s="149" t="s">
        <v>204</v>
      </c>
      <c r="E491" s="139" t="s">
        <v>205</v>
      </c>
      <c r="F491" s="142"/>
      <c r="G491" s="142"/>
      <c r="H491" s="142"/>
      <c r="I491" s="142"/>
      <c r="J491" s="142"/>
      <c r="K491" s="92"/>
      <c r="L491" s="92"/>
      <c r="M491" s="92"/>
      <c r="N491" s="92"/>
      <c r="O491" s="92"/>
      <c r="P491" s="92"/>
    </row>
    <row r="492" spans="1:16" x14ac:dyDescent="0.2">
      <c r="A492" s="140" t="s">
        <v>229</v>
      </c>
      <c r="B492" s="140" t="s">
        <v>44</v>
      </c>
      <c r="C492" s="140" t="s">
        <v>812</v>
      </c>
      <c r="D492" s="149" t="s">
        <v>198</v>
      </c>
      <c r="E492" s="139" t="s">
        <v>199</v>
      </c>
      <c r="F492" s="142"/>
      <c r="G492" s="142"/>
      <c r="H492" s="142"/>
      <c r="I492" s="142"/>
      <c r="J492" s="142"/>
      <c r="K492" s="92"/>
      <c r="L492" s="92"/>
      <c r="M492" s="92"/>
      <c r="N492" s="92"/>
      <c r="O492" s="92"/>
      <c r="P492" s="92"/>
    </row>
    <row r="493" spans="1:16" x14ac:dyDescent="0.2">
      <c r="A493" s="140" t="s">
        <v>229</v>
      </c>
      <c r="B493" s="140" t="s">
        <v>44</v>
      </c>
      <c r="C493" s="140" t="s">
        <v>812</v>
      </c>
      <c r="D493" s="149" t="s">
        <v>200</v>
      </c>
      <c r="E493" s="139" t="s">
        <v>201</v>
      </c>
      <c r="F493" s="142"/>
      <c r="G493" s="142"/>
      <c r="H493" s="142"/>
      <c r="I493" s="142"/>
      <c r="J493" s="142"/>
      <c r="K493" s="92"/>
      <c r="L493" s="92"/>
      <c r="M493" s="92"/>
      <c r="N493" s="92"/>
      <c r="O493" s="92"/>
      <c r="P493" s="92"/>
    </row>
    <row r="494" spans="1:16" x14ac:dyDescent="0.2">
      <c r="A494" s="140" t="s">
        <v>229</v>
      </c>
      <c r="B494" s="140" t="s">
        <v>44</v>
      </c>
      <c r="C494" s="140" t="s">
        <v>812</v>
      </c>
      <c r="D494" s="149" t="s">
        <v>832</v>
      </c>
      <c r="E494" s="139" t="s">
        <v>679</v>
      </c>
      <c r="F494" s="142"/>
      <c r="G494" s="142"/>
      <c r="H494" s="142"/>
      <c r="I494" s="142"/>
      <c r="J494" s="142"/>
      <c r="K494" s="92"/>
      <c r="L494" s="92"/>
      <c r="M494" s="92"/>
      <c r="N494" s="92"/>
      <c r="O494" s="92"/>
      <c r="P494" s="92"/>
    </row>
    <row r="495" spans="1:16" x14ac:dyDescent="0.2">
      <c r="A495" s="140" t="s">
        <v>229</v>
      </c>
      <c r="B495" s="140" t="s">
        <v>44</v>
      </c>
      <c r="C495" s="140" t="s">
        <v>812</v>
      </c>
      <c r="D495" s="149" t="s">
        <v>45</v>
      </c>
      <c r="E495" s="139" t="s">
        <v>46</v>
      </c>
      <c r="F495" s="142"/>
      <c r="G495" s="142"/>
      <c r="H495" s="142"/>
      <c r="I495" s="142"/>
      <c r="J495" s="142"/>
      <c r="K495" s="92"/>
      <c r="L495" s="92"/>
      <c r="M495" s="92"/>
      <c r="N495" s="92"/>
      <c r="O495" s="92"/>
      <c r="P495" s="92"/>
    </row>
    <row r="496" spans="1:16" x14ac:dyDescent="0.2">
      <c r="A496" s="140" t="s">
        <v>229</v>
      </c>
      <c r="B496" s="140" t="s">
        <v>44</v>
      </c>
      <c r="C496" s="140" t="s">
        <v>812</v>
      </c>
      <c r="D496" s="149" t="s">
        <v>526</v>
      </c>
      <c r="E496" s="139" t="s">
        <v>680</v>
      </c>
      <c r="F496" s="142"/>
      <c r="G496" s="142"/>
      <c r="H496" s="142"/>
      <c r="I496" s="142"/>
      <c r="J496" s="142"/>
      <c r="K496" s="92"/>
      <c r="L496" s="92"/>
      <c r="M496" s="92"/>
      <c r="N496" s="92"/>
      <c r="O496" s="92"/>
      <c r="P496" s="92"/>
    </row>
    <row r="497" spans="1:16" ht="12" customHeight="1" x14ac:dyDescent="0.2">
      <c r="A497" s="140" t="s">
        <v>229</v>
      </c>
      <c r="B497" s="140" t="s">
        <v>44</v>
      </c>
      <c r="C497" s="140" t="s">
        <v>812</v>
      </c>
      <c r="D497" s="149" t="s">
        <v>833</v>
      </c>
      <c r="E497" s="139" t="s">
        <v>681</v>
      </c>
      <c r="F497" s="142"/>
      <c r="G497" s="142"/>
      <c r="H497" s="142"/>
      <c r="I497" s="142"/>
      <c r="J497" s="142"/>
      <c r="K497" s="92"/>
      <c r="L497" s="92"/>
      <c r="M497" s="92"/>
      <c r="N497" s="92"/>
      <c r="O497" s="92"/>
      <c r="P497" s="92"/>
    </row>
    <row r="498" spans="1:16" x14ac:dyDescent="0.2">
      <c r="A498" s="140" t="s">
        <v>229</v>
      </c>
      <c r="B498" s="140" t="s">
        <v>44</v>
      </c>
      <c r="C498" s="140" t="s">
        <v>812</v>
      </c>
      <c r="D498" s="149" t="s">
        <v>834</v>
      </c>
      <c r="E498" s="139" t="s">
        <v>682</v>
      </c>
      <c r="F498" s="142"/>
      <c r="G498" s="142"/>
      <c r="H498" s="142"/>
      <c r="I498" s="142"/>
      <c r="J498" s="142"/>
      <c r="K498" s="92"/>
      <c r="L498" s="92"/>
      <c r="M498" s="92"/>
      <c r="N498" s="92"/>
      <c r="O498" s="92"/>
      <c r="P498" s="92"/>
    </row>
    <row r="499" spans="1:16" ht="15" customHeight="1" x14ac:dyDescent="0.2">
      <c r="A499" s="140" t="s">
        <v>229</v>
      </c>
      <c r="B499" s="140" t="s">
        <v>44</v>
      </c>
      <c r="C499" s="140" t="s">
        <v>812</v>
      </c>
      <c r="D499" s="149" t="s">
        <v>835</v>
      </c>
      <c r="E499" s="139" t="s">
        <v>683</v>
      </c>
      <c r="F499" s="142"/>
      <c r="G499" s="142"/>
      <c r="H499" s="142"/>
      <c r="I499" s="142"/>
      <c r="J499" s="142"/>
      <c r="K499" s="92"/>
      <c r="L499" s="92"/>
      <c r="M499" s="92"/>
      <c r="N499" s="92"/>
      <c r="O499" s="92"/>
      <c r="P499" s="92"/>
    </row>
    <row r="500" spans="1:16" x14ac:dyDescent="0.2">
      <c r="A500" s="140" t="s">
        <v>229</v>
      </c>
      <c r="B500" s="140" t="s">
        <v>44</v>
      </c>
      <c r="C500" s="140" t="s">
        <v>812</v>
      </c>
      <c r="D500" s="149" t="s">
        <v>836</v>
      </c>
      <c r="E500" s="139" t="s">
        <v>684</v>
      </c>
      <c r="F500" s="142"/>
      <c r="G500" s="142"/>
      <c r="H500" s="142"/>
      <c r="I500" s="142"/>
      <c r="J500" s="142"/>
      <c r="K500" s="92"/>
      <c r="L500" s="92"/>
      <c r="M500" s="92"/>
      <c r="N500" s="92"/>
      <c r="O500" s="92"/>
      <c r="P500" s="92"/>
    </row>
    <row r="501" spans="1:16" x14ac:dyDescent="0.2">
      <c r="A501" s="140" t="s">
        <v>229</v>
      </c>
      <c r="B501" s="140" t="s">
        <v>44</v>
      </c>
      <c r="C501" s="140" t="s">
        <v>812</v>
      </c>
      <c r="D501" s="149" t="s">
        <v>837</v>
      </c>
      <c r="E501" s="139" t="s">
        <v>685</v>
      </c>
      <c r="F501" s="142"/>
      <c r="G501" s="142"/>
      <c r="H501" s="142"/>
      <c r="I501" s="142"/>
      <c r="J501" s="142"/>
      <c r="K501" s="92"/>
      <c r="L501" s="92"/>
      <c r="M501" s="92"/>
      <c r="N501" s="92"/>
      <c r="O501" s="92"/>
      <c r="P501" s="92"/>
    </row>
    <row r="502" spans="1:16" x14ac:dyDescent="0.2">
      <c r="A502" s="140" t="s">
        <v>229</v>
      </c>
      <c r="B502" s="140" t="s">
        <v>44</v>
      </c>
      <c r="C502" s="140" t="s">
        <v>812</v>
      </c>
      <c r="D502" s="149" t="s">
        <v>838</v>
      </c>
      <c r="E502" s="139" t="s">
        <v>686</v>
      </c>
      <c r="F502" s="142"/>
      <c r="G502" s="142"/>
      <c r="H502" s="142"/>
      <c r="I502" s="142"/>
      <c r="J502" s="142"/>
      <c r="K502" s="92"/>
      <c r="L502" s="92"/>
      <c r="M502" s="92"/>
      <c r="N502" s="92"/>
      <c r="O502" s="92"/>
      <c r="P502" s="92"/>
    </row>
    <row r="503" spans="1:16" x14ac:dyDescent="0.2">
      <c r="A503" s="140" t="s">
        <v>229</v>
      </c>
      <c r="B503" s="140" t="s">
        <v>44</v>
      </c>
      <c r="C503" s="140" t="s">
        <v>812</v>
      </c>
      <c r="D503" s="149" t="s">
        <v>534</v>
      </c>
      <c r="E503" s="139" t="s">
        <v>687</v>
      </c>
      <c r="F503" s="142"/>
      <c r="G503" s="142"/>
      <c r="H503" s="142"/>
      <c r="I503" s="142"/>
      <c r="J503" s="142"/>
      <c r="K503" s="92"/>
      <c r="L503" s="92"/>
      <c r="M503" s="92"/>
      <c r="N503" s="92"/>
      <c r="O503" s="92"/>
      <c r="P503" s="92"/>
    </row>
    <row r="504" spans="1:16" x14ac:dyDescent="0.2">
      <c r="A504" s="140" t="s">
        <v>229</v>
      </c>
      <c r="B504" s="140" t="s">
        <v>44</v>
      </c>
      <c r="C504" s="140" t="s">
        <v>812</v>
      </c>
      <c r="D504" s="149" t="s">
        <v>100</v>
      </c>
      <c r="E504" s="139" t="s">
        <v>101</v>
      </c>
      <c r="F504" s="142"/>
      <c r="G504" s="142"/>
      <c r="H504" s="142"/>
      <c r="I504" s="142"/>
      <c r="J504" s="142"/>
      <c r="K504" s="92"/>
      <c r="L504" s="92"/>
      <c r="M504" s="92"/>
      <c r="N504" s="92"/>
      <c r="O504" s="92"/>
      <c r="P504" s="92"/>
    </row>
    <row r="505" spans="1:16" x14ac:dyDescent="0.2">
      <c r="A505" s="140" t="s">
        <v>229</v>
      </c>
      <c r="B505" s="140" t="s">
        <v>44</v>
      </c>
      <c r="C505" s="140" t="s">
        <v>812</v>
      </c>
      <c r="D505" s="149" t="s">
        <v>202</v>
      </c>
      <c r="E505" s="139" t="s">
        <v>203</v>
      </c>
      <c r="F505" s="142"/>
      <c r="G505" s="142"/>
      <c r="H505" s="142"/>
      <c r="I505" s="142"/>
      <c r="J505" s="142"/>
      <c r="K505" s="92"/>
      <c r="L505" s="92"/>
      <c r="M505" s="92"/>
      <c r="N505" s="92"/>
      <c r="O505" s="92"/>
      <c r="P505" s="92"/>
    </row>
    <row r="506" spans="1:16" x14ac:dyDescent="0.2">
      <c r="A506" s="140" t="s">
        <v>229</v>
      </c>
      <c r="B506" s="140" t="s">
        <v>44</v>
      </c>
      <c r="C506" s="140" t="s">
        <v>812</v>
      </c>
      <c r="D506" s="149" t="s">
        <v>538</v>
      </c>
      <c r="E506" s="139" t="s">
        <v>115</v>
      </c>
      <c r="F506" s="142"/>
      <c r="G506" s="142"/>
      <c r="H506" s="142"/>
      <c r="I506" s="142"/>
      <c r="J506" s="142"/>
      <c r="K506" s="92"/>
      <c r="L506" s="92"/>
      <c r="M506" s="92"/>
      <c r="N506" s="92"/>
      <c r="O506" s="92"/>
      <c r="P506" s="92"/>
    </row>
    <row r="507" spans="1:16" x14ac:dyDescent="0.2">
      <c r="A507" s="140" t="s">
        <v>229</v>
      </c>
      <c r="B507" s="140" t="s">
        <v>44</v>
      </c>
      <c r="C507" s="140" t="s">
        <v>812</v>
      </c>
      <c r="D507" s="149" t="s">
        <v>539</v>
      </c>
      <c r="E507" s="139" t="s">
        <v>688</v>
      </c>
      <c r="F507" s="142"/>
      <c r="G507" s="142"/>
      <c r="H507" s="142"/>
      <c r="I507" s="142"/>
      <c r="J507" s="142"/>
      <c r="K507" s="92"/>
      <c r="L507" s="92"/>
      <c r="M507" s="92"/>
      <c r="N507" s="92"/>
      <c r="O507" s="92"/>
      <c r="P507" s="92"/>
    </row>
    <row r="508" spans="1:16" x14ac:dyDescent="0.2">
      <c r="A508" s="140" t="s">
        <v>229</v>
      </c>
      <c r="B508" s="140" t="s">
        <v>44</v>
      </c>
      <c r="C508" s="140" t="s">
        <v>812</v>
      </c>
      <c r="D508" s="149" t="s">
        <v>541</v>
      </c>
      <c r="E508" s="139" t="s">
        <v>689</v>
      </c>
      <c r="F508" s="142"/>
      <c r="G508" s="142"/>
      <c r="H508" s="142"/>
      <c r="I508" s="142"/>
      <c r="J508" s="142"/>
      <c r="K508" s="92"/>
      <c r="L508" s="92"/>
      <c r="M508" s="92"/>
      <c r="N508" s="92"/>
      <c r="O508" s="92"/>
      <c r="P508" s="92"/>
    </row>
    <row r="509" spans="1:16" x14ac:dyDescent="0.2">
      <c r="A509" s="140" t="s">
        <v>229</v>
      </c>
      <c r="B509" s="140" t="s">
        <v>44</v>
      </c>
      <c r="C509" s="140" t="s">
        <v>812</v>
      </c>
      <c r="D509" s="149" t="s">
        <v>543</v>
      </c>
      <c r="E509" s="139" t="s">
        <v>690</v>
      </c>
      <c r="F509" s="142"/>
      <c r="G509" s="142"/>
      <c r="H509" s="142"/>
      <c r="I509" s="142"/>
      <c r="J509" s="142"/>
      <c r="K509" s="92"/>
      <c r="L509" s="92"/>
      <c r="M509" s="92"/>
      <c r="N509" s="92"/>
      <c r="O509" s="92"/>
      <c r="P509" s="92"/>
    </row>
    <row r="510" spans="1:16" x14ac:dyDescent="0.2">
      <c r="A510" s="140" t="s">
        <v>229</v>
      </c>
      <c r="B510" s="140" t="s">
        <v>44</v>
      </c>
      <c r="C510" s="140" t="s">
        <v>812</v>
      </c>
      <c r="D510" s="149" t="s">
        <v>545</v>
      </c>
      <c r="E510" s="139" t="s">
        <v>691</v>
      </c>
      <c r="F510" s="142"/>
      <c r="G510" s="142"/>
      <c r="H510" s="142"/>
      <c r="I510" s="142"/>
      <c r="J510" s="142"/>
      <c r="K510" s="92"/>
      <c r="L510" s="92"/>
      <c r="M510" s="92"/>
      <c r="N510" s="92"/>
      <c r="O510" s="92"/>
      <c r="P510" s="92"/>
    </row>
    <row r="511" spans="1:16" x14ac:dyDescent="0.2">
      <c r="A511" s="140" t="s">
        <v>229</v>
      </c>
      <c r="B511" s="140" t="s">
        <v>44</v>
      </c>
      <c r="C511" s="140" t="s">
        <v>812</v>
      </c>
      <c r="D511" s="149" t="s">
        <v>839</v>
      </c>
      <c r="E511" s="139" t="s">
        <v>692</v>
      </c>
      <c r="F511" s="142"/>
      <c r="G511" s="142"/>
      <c r="H511" s="142"/>
      <c r="I511" s="142"/>
      <c r="J511" s="142"/>
      <c r="K511" s="92"/>
      <c r="L511" s="92"/>
      <c r="M511" s="92"/>
      <c r="N511" s="92"/>
      <c r="O511" s="92"/>
      <c r="P511" s="92"/>
    </row>
    <row r="512" spans="1:16" x14ac:dyDescent="0.2">
      <c r="A512" s="140" t="s">
        <v>229</v>
      </c>
      <c r="B512" s="140" t="s">
        <v>44</v>
      </c>
      <c r="C512" s="140" t="s">
        <v>812</v>
      </c>
      <c r="D512" s="149" t="s">
        <v>146</v>
      </c>
      <c r="E512" s="139" t="s">
        <v>147</v>
      </c>
      <c r="F512" s="142"/>
      <c r="G512" s="142"/>
      <c r="H512" s="142"/>
      <c r="I512" s="142"/>
      <c r="J512" s="142"/>
      <c r="K512" s="92"/>
      <c r="L512" s="92"/>
      <c r="M512" s="92"/>
      <c r="N512" s="92"/>
      <c r="O512" s="92"/>
      <c r="P512" s="92"/>
    </row>
    <row r="513" spans="1:16" x14ac:dyDescent="0.2">
      <c r="A513" s="140" t="s">
        <v>229</v>
      </c>
      <c r="B513" s="140" t="s">
        <v>44</v>
      </c>
      <c r="C513" s="140" t="s">
        <v>69</v>
      </c>
      <c r="D513" s="149" t="s">
        <v>470</v>
      </c>
      <c r="E513" s="139" t="s">
        <v>718</v>
      </c>
      <c r="F513" s="142"/>
      <c r="G513" s="142"/>
      <c r="H513" s="142"/>
      <c r="I513" s="142"/>
      <c r="J513" s="142"/>
      <c r="K513" s="92"/>
      <c r="L513" s="92"/>
      <c r="M513" s="92"/>
      <c r="N513" s="92"/>
      <c r="O513" s="92"/>
      <c r="P513" s="92"/>
    </row>
    <row r="514" spans="1:16" x14ac:dyDescent="0.2">
      <c r="A514" s="140" t="s">
        <v>229</v>
      </c>
      <c r="B514" s="140" t="s">
        <v>44</v>
      </c>
      <c r="C514" s="140" t="s">
        <v>69</v>
      </c>
      <c r="D514" s="149" t="s">
        <v>69</v>
      </c>
      <c r="E514" s="139" t="s">
        <v>70</v>
      </c>
      <c r="F514" s="142"/>
      <c r="G514" s="142"/>
      <c r="H514" s="142"/>
      <c r="I514" s="142"/>
      <c r="J514" s="142"/>
      <c r="K514" s="92"/>
      <c r="L514" s="92"/>
      <c r="M514" s="92"/>
      <c r="N514" s="92"/>
      <c r="O514" s="92"/>
      <c r="P514" s="92"/>
    </row>
    <row r="515" spans="1:16" x14ac:dyDescent="0.2">
      <c r="A515" s="140" t="s">
        <v>229</v>
      </c>
      <c r="B515" s="140" t="s">
        <v>73</v>
      </c>
      <c r="C515" s="140" t="s">
        <v>74</v>
      </c>
      <c r="D515" s="149" t="s">
        <v>454</v>
      </c>
      <c r="E515" s="139" t="s">
        <v>724</v>
      </c>
      <c r="F515" s="142"/>
      <c r="G515" s="142"/>
      <c r="H515" s="142"/>
      <c r="I515" s="142"/>
      <c r="J515" s="142"/>
      <c r="K515" s="92"/>
      <c r="L515" s="92"/>
      <c r="M515" s="92"/>
      <c r="N515" s="92"/>
      <c r="O515" s="92"/>
      <c r="P515" s="92"/>
    </row>
    <row r="516" spans="1:16" x14ac:dyDescent="0.2">
      <c r="A516" s="140" t="s">
        <v>229</v>
      </c>
      <c r="B516" s="140" t="s">
        <v>73</v>
      </c>
      <c r="C516" s="140" t="s">
        <v>74</v>
      </c>
      <c r="D516" s="149" t="s">
        <v>206</v>
      </c>
      <c r="E516" s="139" t="s">
        <v>207</v>
      </c>
      <c r="F516" s="142"/>
      <c r="G516" s="142"/>
      <c r="H516" s="142"/>
      <c r="I516" s="142"/>
      <c r="J516" s="142"/>
      <c r="K516" s="92"/>
      <c r="L516" s="92"/>
      <c r="M516" s="92"/>
      <c r="N516" s="92"/>
      <c r="O516" s="92"/>
      <c r="P516" s="92"/>
    </row>
    <row r="517" spans="1:16" x14ac:dyDescent="0.2">
      <c r="A517" s="140" t="s">
        <v>229</v>
      </c>
      <c r="B517" s="140" t="s">
        <v>73</v>
      </c>
      <c r="C517" s="140" t="s">
        <v>74</v>
      </c>
      <c r="D517" s="149" t="s">
        <v>459</v>
      </c>
      <c r="E517" s="139" t="s">
        <v>725</v>
      </c>
      <c r="F517" s="142"/>
      <c r="G517" s="142"/>
      <c r="H517" s="142"/>
      <c r="I517" s="142"/>
      <c r="J517" s="142"/>
      <c r="K517" s="92"/>
      <c r="L517" s="92"/>
      <c r="M517" s="92"/>
      <c r="N517" s="92"/>
      <c r="O517" s="92"/>
      <c r="P517" s="92"/>
    </row>
    <row r="518" spans="1:16" x14ac:dyDescent="0.2">
      <c r="A518" s="140" t="s">
        <v>229</v>
      </c>
      <c r="B518" s="140" t="s">
        <v>73</v>
      </c>
      <c r="C518" s="140" t="s">
        <v>74</v>
      </c>
      <c r="D518" s="149" t="s">
        <v>208</v>
      </c>
      <c r="E518" s="139" t="s">
        <v>209</v>
      </c>
      <c r="F518" s="142"/>
      <c r="G518" s="142"/>
      <c r="H518" s="142"/>
      <c r="I518" s="142"/>
      <c r="J518" s="142"/>
      <c r="K518" s="92"/>
      <c r="L518" s="92"/>
      <c r="M518" s="92"/>
      <c r="N518" s="92"/>
      <c r="O518" s="92"/>
      <c r="P518" s="92"/>
    </row>
    <row r="519" spans="1:16" x14ac:dyDescent="0.2">
      <c r="A519" s="140" t="s">
        <v>229</v>
      </c>
      <c r="B519" s="140" t="s">
        <v>73</v>
      </c>
      <c r="C519" s="140" t="s">
        <v>74</v>
      </c>
      <c r="D519" s="149" t="s">
        <v>210</v>
      </c>
      <c r="E519" s="139" t="s">
        <v>211</v>
      </c>
      <c r="F519" s="142"/>
      <c r="G519" s="142"/>
      <c r="H519" s="142"/>
      <c r="I519" s="142"/>
      <c r="J519" s="142"/>
      <c r="K519" s="92"/>
      <c r="L519" s="92"/>
      <c r="M519" s="92"/>
      <c r="N519" s="92"/>
      <c r="O519" s="92"/>
      <c r="P519" s="92"/>
    </row>
    <row r="520" spans="1:16" x14ac:dyDescent="0.2">
      <c r="A520" s="140" t="s">
        <v>229</v>
      </c>
      <c r="B520" s="140" t="s">
        <v>73</v>
      </c>
      <c r="C520" s="140" t="s">
        <v>74</v>
      </c>
      <c r="D520" s="149" t="s">
        <v>212</v>
      </c>
      <c r="E520" s="139" t="s">
        <v>213</v>
      </c>
      <c r="F520" s="142"/>
      <c r="G520" s="142"/>
      <c r="H520" s="142"/>
      <c r="I520" s="142"/>
      <c r="J520" s="142"/>
      <c r="K520" s="92"/>
      <c r="L520" s="92"/>
      <c r="M520" s="92"/>
      <c r="N520" s="92"/>
      <c r="O520" s="92"/>
      <c r="P520" s="92"/>
    </row>
    <row r="521" spans="1:16" x14ac:dyDescent="0.2">
      <c r="A521" s="140" t="s">
        <v>229</v>
      </c>
      <c r="B521" s="140" t="s">
        <v>73</v>
      </c>
      <c r="C521" s="140" t="s">
        <v>74</v>
      </c>
      <c r="D521" s="149" t="s">
        <v>74</v>
      </c>
      <c r="E521" s="139" t="s">
        <v>75</v>
      </c>
      <c r="F521" s="142"/>
      <c r="G521" s="142"/>
      <c r="H521" s="142"/>
      <c r="I521" s="142"/>
      <c r="J521" s="142"/>
      <c r="K521" s="92"/>
      <c r="L521" s="92"/>
      <c r="M521" s="92"/>
      <c r="N521" s="92"/>
      <c r="O521" s="92"/>
      <c r="P521" s="92"/>
    </row>
    <row r="522" spans="1:16" ht="12" customHeight="1" x14ac:dyDescent="0.25">
      <c r="A522" s="151" t="s">
        <v>229</v>
      </c>
      <c r="B522" s="151" t="s">
        <v>73</v>
      </c>
      <c r="C522" s="151" t="s">
        <v>74</v>
      </c>
      <c r="D522" s="151" t="s">
        <v>450</v>
      </c>
      <c r="E522" s="151" t="s">
        <v>126</v>
      </c>
      <c r="F522" s="151"/>
      <c r="G522" s="151"/>
      <c r="H522" s="151"/>
      <c r="I522" s="151"/>
      <c r="J522" s="151"/>
      <c r="K522" s="151"/>
      <c r="L522" s="151"/>
      <c r="M522" s="151"/>
      <c r="N522" s="151"/>
      <c r="O522" s="151"/>
      <c r="P522" s="151"/>
    </row>
    <row r="523" spans="1:16" x14ac:dyDescent="0.2">
      <c r="A523" s="140" t="s">
        <v>229</v>
      </c>
      <c r="B523" s="140" t="s">
        <v>73</v>
      </c>
      <c r="C523" s="140" t="s">
        <v>74</v>
      </c>
      <c r="D523" s="149" t="s">
        <v>464</v>
      </c>
      <c r="E523" s="139" t="s">
        <v>726</v>
      </c>
      <c r="F523" s="142"/>
      <c r="G523" s="142"/>
      <c r="H523" s="142"/>
      <c r="I523" s="142"/>
      <c r="J523" s="142"/>
      <c r="K523" s="92"/>
      <c r="L523" s="92"/>
      <c r="M523" s="92"/>
      <c r="N523" s="92"/>
      <c r="O523" s="92"/>
      <c r="P523" s="92"/>
    </row>
    <row r="524" spans="1:16" x14ac:dyDescent="0.2">
      <c r="A524" s="140" t="s">
        <v>229</v>
      </c>
      <c r="B524" s="140" t="s">
        <v>73</v>
      </c>
      <c r="C524" s="140" t="s">
        <v>74</v>
      </c>
      <c r="D524" s="149" t="s">
        <v>214</v>
      </c>
      <c r="E524" s="139" t="s">
        <v>215</v>
      </c>
      <c r="F524" s="142"/>
      <c r="G524" s="142"/>
      <c r="H524" s="142"/>
      <c r="I524" s="142"/>
      <c r="J524" s="142"/>
      <c r="K524" s="92"/>
      <c r="L524" s="92"/>
      <c r="M524" s="92"/>
      <c r="N524" s="92"/>
      <c r="O524" s="92"/>
      <c r="P524" s="92"/>
    </row>
    <row r="525" spans="1:16" x14ac:dyDescent="0.2">
      <c r="A525" s="140" t="s">
        <v>229</v>
      </c>
      <c r="B525" s="140" t="s">
        <v>73</v>
      </c>
      <c r="C525" s="140" t="s">
        <v>74</v>
      </c>
      <c r="D525" s="149" t="s">
        <v>466</v>
      </c>
      <c r="E525" s="139" t="s">
        <v>727</v>
      </c>
      <c r="F525" s="142"/>
      <c r="G525" s="142"/>
      <c r="H525" s="142"/>
      <c r="I525" s="142"/>
      <c r="J525" s="142"/>
      <c r="K525" s="92"/>
      <c r="L525" s="92"/>
      <c r="M525" s="92"/>
      <c r="N525" s="92"/>
      <c r="O525" s="92"/>
      <c r="P525" s="92"/>
    </row>
    <row r="526" spans="1:16" x14ac:dyDescent="0.2">
      <c r="A526" s="140" t="s">
        <v>229</v>
      </c>
      <c r="B526" s="140" t="s">
        <v>73</v>
      </c>
      <c r="C526" s="140" t="s">
        <v>74</v>
      </c>
      <c r="D526" s="149" t="s">
        <v>125</v>
      </c>
      <c r="E526" s="139" t="s">
        <v>126</v>
      </c>
      <c r="F526" s="142"/>
      <c r="G526" s="142"/>
      <c r="H526" s="142"/>
      <c r="I526" s="142"/>
      <c r="J526" s="142"/>
      <c r="K526" s="92"/>
      <c r="L526" s="92"/>
      <c r="M526" s="92"/>
      <c r="N526" s="92"/>
      <c r="O526" s="92"/>
      <c r="P526" s="92"/>
    </row>
    <row r="527" spans="1:16" x14ac:dyDescent="0.2">
      <c r="A527" s="140" t="s">
        <v>229</v>
      </c>
      <c r="B527" s="140" t="s">
        <v>73</v>
      </c>
      <c r="C527" s="140" t="s">
        <v>74</v>
      </c>
      <c r="D527" s="149" t="s">
        <v>840</v>
      </c>
      <c r="E527" s="139" t="s">
        <v>728</v>
      </c>
      <c r="F527" s="142"/>
      <c r="G527" s="142"/>
      <c r="H527" s="142"/>
      <c r="I527" s="142"/>
      <c r="J527" s="142"/>
      <c r="K527" s="92"/>
      <c r="L527" s="92"/>
      <c r="M527" s="92"/>
      <c r="N527" s="92"/>
      <c r="O527" s="92"/>
      <c r="P527" s="92"/>
    </row>
    <row r="528" spans="1:16" x14ac:dyDescent="0.2">
      <c r="A528" s="140" t="s">
        <v>229</v>
      </c>
      <c r="B528" s="140" t="s">
        <v>73</v>
      </c>
      <c r="C528" s="140" t="s">
        <v>116</v>
      </c>
      <c r="D528" s="149" t="s">
        <v>117</v>
      </c>
      <c r="E528" s="139" t="s">
        <v>118</v>
      </c>
      <c r="F528" s="142"/>
      <c r="G528" s="142"/>
      <c r="H528" s="142"/>
      <c r="I528" s="142"/>
      <c r="J528" s="142"/>
      <c r="K528" s="92"/>
      <c r="L528" s="92"/>
      <c r="M528" s="92"/>
      <c r="N528" s="92"/>
      <c r="O528" s="92"/>
      <c r="P528" s="92"/>
    </row>
    <row r="529" spans="1:16" x14ac:dyDescent="0.2">
      <c r="A529" s="140" t="s">
        <v>229</v>
      </c>
      <c r="B529" s="140" t="s">
        <v>73</v>
      </c>
      <c r="C529" s="140" t="s">
        <v>116</v>
      </c>
      <c r="D529" s="149" t="s">
        <v>216</v>
      </c>
      <c r="E529" s="139" t="s">
        <v>217</v>
      </c>
      <c r="F529" s="142"/>
      <c r="G529" s="142"/>
      <c r="H529" s="142"/>
      <c r="I529" s="142"/>
      <c r="J529" s="142"/>
      <c r="K529" s="92"/>
      <c r="L529" s="92"/>
      <c r="M529" s="92"/>
      <c r="N529" s="92"/>
      <c r="O529" s="92"/>
      <c r="P529" s="92"/>
    </row>
    <row r="530" spans="1:16" x14ac:dyDescent="0.2">
      <c r="A530" s="140" t="s">
        <v>229</v>
      </c>
      <c r="B530" s="140" t="s">
        <v>73</v>
      </c>
      <c r="C530" s="140" t="s">
        <v>116</v>
      </c>
      <c r="D530" s="149" t="s">
        <v>841</v>
      </c>
      <c r="E530" s="139" t="s">
        <v>753</v>
      </c>
      <c r="F530" s="142"/>
      <c r="G530" s="142"/>
      <c r="H530" s="142"/>
      <c r="I530" s="142"/>
      <c r="J530" s="142"/>
      <c r="K530" s="92"/>
      <c r="L530" s="92"/>
      <c r="M530" s="92"/>
      <c r="N530" s="92"/>
      <c r="O530" s="92"/>
      <c r="P530" s="92"/>
    </row>
    <row r="531" spans="1:16" x14ac:dyDescent="0.2">
      <c r="A531" s="140" t="s">
        <v>229</v>
      </c>
      <c r="B531" s="140" t="s">
        <v>73</v>
      </c>
      <c r="C531" s="140" t="s">
        <v>119</v>
      </c>
      <c r="D531" s="149" t="s">
        <v>119</v>
      </c>
      <c r="E531" s="139" t="s">
        <v>120</v>
      </c>
      <c r="F531" s="142"/>
      <c r="G531" s="142"/>
      <c r="H531" s="142"/>
      <c r="I531" s="142"/>
      <c r="J531" s="142"/>
      <c r="K531" s="92"/>
      <c r="L531" s="92"/>
      <c r="M531" s="92"/>
      <c r="N531" s="92"/>
      <c r="O531" s="92"/>
      <c r="P531" s="92"/>
    </row>
    <row r="532" spans="1:16" x14ac:dyDescent="0.2">
      <c r="A532" s="140" t="s">
        <v>229</v>
      </c>
      <c r="B532" s="140" t="s">
        <v>73</v>
      </c>
      <c r="C532" s="140" t="s">
        <v>119</v>
      </c>
      <c r="D532" s="149" t="s">
        <v>148</v>
      </c>
      <c r="E532" s="139" t="s">
        <v>149</v>
      </c>
      <c r="F532" s="142"/>
      <c r="G532" s="142"/>
      <c r="H532" s="142"/>
      <c r="I532" s="142"/>
      <c r="J532" s="142"/>
      <c r="K532" s="92"/>
      <c r="L532" s="92"/>
      <c r="M532" s="92"/>
      <c r="N532" s="92"/>
      <c r="O532" s="92"/>
      <c r="P532" s="92"/>
    </row>
    <row r="533" spans="1:16" x14ac:dyDescent="0.2">
      <c r="A533" s="140" t="s">
        <v>229</v>
      </c>
      <c r="B533" s="140" t="s">
        <v>41</v>
      </c>
      <c r="C533" s="140" t="s">
        <v>813</v>
      </c>
      <c r="D533" s="149" t="s">
        <v>842</v>
      </c>
      <c r="E533" s="139" t="s">
        <v>698</v>
      </c>
      <c r="F533" s="142"/>
      <c r="G533" s="142"/>
      <c r="H533" s="142"/>
      <c r="I533" s="142"/>
      <c r="J533" s="142"/>
      <c r="K533" s="92"/>
      <c r="L533" s="92"/>
      <c r="M533" s="92"/>
      <c r="N533" s="92"/>
      <c r="O533" s="92"/>
      <c r="P533" s="92"/>
    </row>
    <row r="534" spans="1:16" x14ac:dyDescent="0.2">
      <c r="A534" s="140" t="s">
        <v>229</v>
      </c>
      <c r="B534" s="140" t="s">
        <v>41</v>
      </c>
      <c r="C534" s="140" t="s">
        <v>813</v>
      </c>
      <c r="D534" s="149" t="s">
        <v>843</v>
      </c>
      <c r="E534" s="139" t="s">
        <v>699</v>
      </c>
      <c r="F534" s="142"/>
      <c r="G534" s="142"/>
      <c r="H534" s="142"/>
      <c r="I534" s="142"/>
      <c r="J534" s="142"/>
      <c r="K534" s="92"/>
      <c r="L534" s="92"/>
      <c r="M534" s="92"/>
      <c r="N534" s="92"/>
      <c r="O534" s="92"/>
      <c r="P534" s="92"/>
    </row>
    <row r="535" spans="1:16" x14ac:dyDescent="0.2">
      <c r="A535" s="140" t="s">
        <v>229</v>
      </c>
      <c r="B535" s="140" t="s">
        <v>41</v>
      </c>
      <c r="C535" s="140" t="s">
        <v>813</v>
      </c>
      <c r="D535" s="149" t="s">
        <v>497</v>
      </c>
      <c r="E535" s="139" t="s">
        <v>700</v>
      </c>
      <c r="F535" s="142"/>
      <c r="G535" s="142"/>
      <c r="H535" s="142"/>
      <c r="I535" s="142"/>
      <c r="J535" s="142"/>
      <c r="K535" s="92"/>
      <c r="L535" s="92"/>
      <c r="M535" s="92"/>
      <c r="N535" s="92"/>
      <c r="O535" s="92"/>
      <c r="P535" s="92"/>
    </row>
    <row r="536" spans="1:16" x14ac:dyDescent="0.2">
      <c r="A536" s="140" t="s">
        <v>229</v>
      </c>
      <c r="B536" s="140" t="s">
        <v>41</v>
      </c>
      <c r="C536" s="140" t="s">
        <v>813</v>
      </c>
      <c r="D536" s="149" t="s">
        <v>42</v>
      </c>
      <c r="E536" s="139" t="s">
        <v>43</v>
      </c>
      <c r="F536" s="142"/>
      <c r="G536" s="142"/>
      <c r="H536" s="142"/>
      <c r="I536" s="142"/>
      <c r="J536" s="142"/>
      <c r="K536" s="92"/>
      <c r="L536" s="92"/>
      <c r="M536" s="92"/>
      <c r="N536" s="92"/>
      <c r="O536" s="92"/>
      <c r="P536" s="92"/>
    </row>
    <row r="537" spans="1:16" x14ac:dyDescent="0.2">
      <c r="A537" s="140" t="s">
        <v>229</v>
      </c>
      <c r="B537" s="140" t="s">
        <v>41</v>
      </c>
      <c r="C537" s="140" t="s">
        <v>813</v>
      </c>
      <c r="D537" s="149" t="s">
        <v>844</v>
      </c>
      <c r="E537" s="139" t="s">
        <v>701</v>
      </c>
      <c r="F537" s="142"/>
      <c r="G537" s="142"/>
      <c r="H537" s="142"/>
      <c r="I537" s="142"/>
      <c r="J537" s="142"/>
      <c r="K537" s="92"/>
      <c r="L537" s="92"/>
      <c r="M537" s="92"/>
      <c r="N537" s="92"/>
      <c r="O537" s="92"/>
      <c r="P537" s="92"/>
    </row>
    <row r="538" spans="1:16" x14ac:dyDescent="0.2">
      <c r="A538" s="140" t="s">
        <v>229</v>
      </c>
      <c r="B538" s="140" t="s">
        <v>41</v>
      </c>
      <c r="C538" s="140" t="s">
        <v>813</v>
      </c>
      <c r="D538" s="149" t="s">
        <v>845</v>
      </c>
      <c r="E538" s="139" t="s">
        <v>702</v>
      </c>
      <c r="F538" s="142"/>
      <c r="G538" s="142"/>
      <c r="H538" s="142"/>
      <c r="I538" s="142"/>
      <c r="J538" s="142"/>
      <c r="K538" s="92"/>
      <c r="L538" s="92"/>
      <c r="M538" s="92"/>
      <c r="N538" s="92"/>
      <c r="O538" s="92"/>
      <c r="P538" s="92"/>
    </row>
    <row r="539" spans="1:16" x14ac:dyDescent="0.2">
      <c r="A539" s="140" t="s">
        <v>229</v>
      </c>
      <c r="B539" s="140" t="s">
        <v>41</v>
      </c>
      <c r="C539" s="140" t="s">
        <v>813</v>
      </c>
      <c r="D539" s="149" t="s">
        <v>846</v>
      </c>
      <c r="E539" s="139" t="s">
        <v>703</v>
      </c>
      <c r="F539" s="142"/>
      <c r="G539" s="142"/>
      <c r="H539" s="142"/>
      <c r="I539" s="142"/>
      <c r="J539" s="142"/>
      <c r="K539" s="92"/>
      <c r="L539" s="92"/>
      <c r="M539" s="92"/>
      <c r="N539" s="92"/>
      <c r="O539" s="92"/>
      <c r="P539" s="92"/>
    </row>
    <row r="540" spans="1:16" x14ac:dyDescent="0.2">
      <c r="A540" s="140" t="s">
        <v>229</v>
      </c>
      <c r="B540" s="140" t="s">
        <v>41</v>
      </c>
      <c r="C540" s="140" t="s">
        <v>813</v>
      </c>
      <c r="D540" s="149" t="s">
        <v>64</v>
      </c>
      <c r="E540" s="139" t="s">
        <v>65</v>
      </c>
      <c r="F540" s="142"/>
      <c r="G540" s="142"/>
      <c r="H540" s="142"/>
      <c r="I540" s="142"/>
      <c r="J540" s="142"/>
      <c r="K540" s="92"/>
      <c r="L540" s="92"/>
      <c r="M540" s="92"/>
      <c r="N540" s="92"/>
      <c r="O540" s="92"/>
      <c r="P540" s="92"/>
    </row>
    <row r="541" spans="1:16" x14ac:dyDescent="0.2">
      <c r="A541" s="140" t="s">
        <v>229</v>
      </c>
      <c r="B541" s="140" t="s">
        <v>41</v>
      </c>
      <c r="C541" s="140" t="s">
        <v>813</v>
      </c>
      <c r="D541" s="149" t="s">
        <v>847</v>
      </c>
      <c r="E541" s="139" t="s">
        <v>704</v>
      </c>
      <c r="F541" s="142"/>
      <c r="G541" s="142"/>
      <c r="H541" s="142"/>
      <c r="I541" s="142"/>
      <c r="J541" s="142"/>
      <c r="K541" s="92"/>
      <c r="L541" s="92"/>
      <c r="M541" s="92"/>
      <c r="N541" s="92"/>
      <c r="O541" s="92"/>
      <c r="P541" s="92"/>
    </row>
    <row r="542" spans="1:16" x14ac:dyDescent="0.2">
      <c r="A542" s="140" t="s">
        <v>229</v>
      </c>
      <c r="B542" s="140" t="s">
        <v>41</v>
      </c>
      <c r="C542" s="140" t="s">
        <v>813</v>
      </c>
      <c r="D542" s="149" t="s">
        <v>504</v>
      </c>
      <c r="E542" s="139" t="s">
        <v>705</v>
      </c>
      <c r="F542" s="142"/>
      <c r="G542" s="142"/>
      <c r="H542" s="142"/>
      <c r="I542" s="142"/>
      <c r="J542" s="142"/>
      <c r="K542" s="92"/>
      <c r="L542" s="92"/>
      <c r="M542" s="92"/>
      <c r="N542" s="92"/>
      <c r="O542" s="92"/>
      <c r="P542" s="92"/>
    </row>
    <row r="543" spans="1:16" x14ac:dyDescent="0.2">
      <c r="A543" s="140" t="s">
        <v>229</v>
      </c>
      <c r="B543" s="140" t="s">
        <v>41</v>
      </c>
      <c r="C543" s="140" t="s">
        <v>813</v>
      </c>
      <c r="D543" s="149" t="s">
        <v>848</v>
      </c>
      <c r="E543" s="139" t="s">
        <v>706</v>
      </c>
      <c r="F543" s="142"/>
      <c r="G543" s="142"/>
      <c r="H543" s="142"/>
      <c r="I543" s="142"/>
      <c r="J543" s="142"/>
      <c r="K543" s="92"/>
      <c r="L543" s="92"/>
      <c r="M543" s="92"/>
      <c r="N543" s="92"/>
      <c r="O543" s="92"/>
      <c r="P543" s="92"/>
    </row>
    <row r="544" spans="1:16" x14ac:dyDescent="0.2">
      <c r="A544" s="140" t="s">
        <v>229</v>
      </c>
      <c r="B544" s="140" t="s">
        <v>41</v>
      </c>
      <c r="C544" s="140" t="s">
        <v>813</v>
      </c>
      <c r="D544" s="149" t="s">
        <v>849</v>
      </c>
      <c r="E544" s="139" t="s">
        <v>707</v>
      </c>
      <c r="F544" s="142"/>
      <c r="G544" s="142"/>
      <c r="H544" s="142"/>
      <c r="I544" s="142"/>
      <c r="J544" s="142"/>
      <c r="K544" s="92"/>
      <c r="L544" s="92"/>
      <c r="M544" s="92"/>
      <c r="N544" s="92"/>
      <c r="O544" s="92"/>
      <c r="P544" s="92"/>
    </row>
    <row r="545" spans="1:16" x14ac:dyDescent="0.2">
      <c r="A545" s="140" t="s">
        <v>229</v>
      </c>
      <c r="B545" s="140" t="s">
        <v>41</v>
      </c>
      <c r="C545" s="140" t="s">
        <v>813</v>
      </c>
      <c r="D545" s="149" t="s">
        <v>850</v>
      </c>
      <c r="E545" s="139" t="s">
        <v>708</v>
      </c>
      <c r="F545" s="142"/>
      <c r="G545" s="142"/>
      <c r="H545" s="142"/>
      <c r="I545" s="142"/>
      <c r="J545" s="142"/>
      <c r="K545" s="92"/>
      <c r="L545" s="92"/>
      <c r="M545" s="92"/>
      <c r="N545" s="92"/>
      <c r="O545" s="92"/>
      <c r="P545" s="92"/>
    </row>
    <row r="546" spans="1:16" x14ac:dyDescent="0.2">
      <c r="A546" s="140" t="s">
        <v>229</v>
      </c>
      <c r="B546" s="140" t="s">
        <v>41</v>
      </c>
      <c r="C546" s="140" t="s">
        <v>813</v>
      </c>
      <c r="D546" s="149" t="s">
        <v>851</v>
      </c>
      <c r="E546" s="139" t="s">
        <v>709</v>
      </c>
      <c r="F546" s="142"/>
      <c r="G546" s="142"/>
      <c r="H546" s="142"/>
      <c r="I546" s="142"/>
      <c r="J546" s="142"/>
      <c r="K546" s="92"/>
      <c r="L546" s="92"/>
      <c r="M546" s="92"/>
      <c r="N546" s="92"/>
      <c r="O546" s="92"/>
      <c r="P546" s="92"/>
    </row>
    <row r="547" spans="1:16" x14ac:dyDescent="0.2">
      <c r="A547" s="140" t="s">
        <v>229</v>
      </c>
      <c r="B547" s="140" t="s">
        <v>55</v>
      </c>
      <c r="C547" s="140" t="s">
        <v>220</v>
      </c>
      <c r="D547" s="149" t="s">
        <v>220</v>
      </c>
      <c r="E547" s="139" t="s">
        <v>221</v>
      </c>
      <c r="F547" s="142"/>
      <c r="G547" s="142"/>
      <c r="H547" s="142"/>
      <c r="I547" s="142"/>
      <c r="J547" s="142"/>
      <c r="K547" s="92"/>
      <c r="L547" s="92"/>
      <c r="M547" s="92"/>
      <c r="N547" s="92"/>
      <c r="O547" s="92"/>
      <c r="P547" s="92"/>
    </row>
    <row r="548" spans="1:16" x14ac:dyDescent="0.2">
      <c r="A548" s="140" t="s">
        <v>229</v>
      </c>
      <c r="B548" s="140" t="s">
        <v>55</v>
      </c>
      <c r="C548" s="140" t="s">
        <v>220</v>
      </c>
      <c r="D548" s="149" t="s">
        <v>852</v>
      </c>
      <c r="E548" s="139" t="s">
        <v>696</v>
      </c>
      <c r="F548" s="142"/>
      <c r="G548" s="142"/>
      <c r="H548" s="142"/>
      <c r="I548" s="142"/>
      <c r="J548" s="142"/>
      <c r="K548" s="92"/>
      <c r="L548" s="92"/>
      <c r="M548" s="92"/>
      <c r="N548" s="92"/>
      <c r="O548" s="92"/>
      <c r="P548" s="92"/>
    </row>
    <row r="549" spans="1:16" x14ac:dyDescent="0.2">
      <c r="A549" s="140" t="s">
        <v>229</v>
      </c>
      <c r="B549" s="140" t="s">
        <v>55</v>
      </c>
      <c r="C549" s="140" t="s">
        <v>220</v>
      </c>
      <c r="D549" s="149" t="s">
        <v>515</v>
      </c>
      <c r="E549" s="139" t="s">
        <v>697</v>
      </c>
      <c r="F549" s="142"/>
      <c r="G549" s="142"/>
      <c r="H549" s="142"/>
      <c r="I549" s="142"/>
      <c r="J549" s="142"/>
      <c r="K549" s="92"/>
      <c r="L549" s="92"/>
      <c r="M549" s="92"/>
      <c r="N549" s="92"/>
      <c r="O549" s="92"/>
      <c r="P549" s="92"/>
    </row>
    <row r="550" spans="1:16" x14ac:dyDescent="0.2">
      <c r="A550" s="140" t="s">
        <v>229</v>
      </c>
      <c r="B550" s="140" t="s">
        <v>55</v>
      </c>
      <c r="C550" s="140" t="s">
        <v>56</v>
      </c>
      <c r="D550" s="149" t="s">
        <v>488</v>
      </c>
      <c r="E550" s="139" t="s">
        <v>711</v>
      </c>
      <c r="F550" s="142"/>
      <c r="G550" s="142"/>
      <c r="H550" s="142"/>
      <c r="I550" s="142"/>
      <c r="J550" s="142"/>
      <c r="K550" s="92"/>
      <c r="L550" s="92"/>
      <c r="M550" s="92"/>
      <c r="N550" s="92"/>
      <c r="O550" s="92"/>
      <c r="P550" s="92"/>
    </row>
    <row r="551" spans="1:16" x14ac:dyDescent="0.2">
      <c r="A551" s="140" t="s">
        <v>229</v>
      </c>
      <c r="B551" s="140" t="s">
        <v>55</v>
      </c>
      <c r="C551" s="140" t="s">
        <v>56</v>
      </c>
      <c r="D551" s="149" t="s">
        <v>56</v>
      </c>
      <c r="E551" s="139" t="s">
        <v>57</v>
      </c>
      <c r="F551" s="142"/>
      <c r="G551" s="142"/>
      <c r="H551" s="142"/>
      <c r="I551" s="142"/>
      <c r="J551" s="142"/>
      <c r="K551" s="92"/>
      <c r="L551" s="92"/>
      <c r="M551" s="92"/>
      <c r="N551" s="92"/>
      <c r="O551" s="92"/>
      <c r="P551" s="92"/>
    </row>
    <row r="552" spans="1:16" x14ac:dyDescent="0.2">
      <c r="A552" s="140" t="s">
        <v>229</v>
      </c>
      <c r="B552" s="140" t="s">
        <v>55</v>
      </c>
      <c r="C552" s="140" t="s">
        <v>86</v>
      </c>
      <c r="D552" s="149" t="s">
        <v>445</v>
      </c>
      <c r="E552" s="139" t="s">
        <v>719</v>
      </c>
      <c r="F552" s="142"/>
      <c r="G552" s="142"/>
      <c r="H552" s="142"/>
      <c r="I552" s="142"/>
      <c r="J552" s="142"/>
      <c r="K552" s="92"/>
      <c r="L552" s="92"/>
      <c r="M552" s="92"/>
      <c r="N552" s="92"/>
      <c r="O552" s="92"/>
      <c r="P552" s="92"/>
    </row>
    <row r="553" spans="1:16" x14ac:dyDescent="0.2">
      <c r="A553" s="140" t="s">
        <v>229</v>
      </c>
      <c r="B553" s="140" t="s">
        <v>55</v>
      </c>
      <c r="C553" s="140" t="s">
        <v>86</v>
      </c>
      <c r="D553" s="149" t="s">
        <v>853</v>
      </c>
      <c r="E553" s="139" t="s">
        <v>720</v>
      </c>
      <c r="F553" s="142"/>
      <c r="G553" s="142"/>
      <c r="H553" s="142"/>
      <c r="I553" s="142"/>
      <c r="J553" s="142"/>
      <c r="K553" s="92"/>
      <c r="L553" s="92"/>
      <c r="M553" s="92"/>
      <c r="N553" s="92"/>
      <c r="O553" s="92"/>
      <c r="P553" s="92"/>
    </row>
    <row r="554" spans="1:16" x14ac:dyDescent="0.2">
      <c r="A554" s="140" t="s">
        <v>229</v>
      </c>
      <c r="B554" s="140" t="s">
        <v>55</v>
      </c>
      <c r="C554" s="140" t="s">
        <v>86</v>
      </c>
      <c r="D554" s="149" t="s">
        <v>854</v>
      </c>
      <c r="E554" s="139" t="s">
        <v>721</v>
      </c>
      <c r="F554" s="142"/>
      <c r="G554" s="142"/>
      <c r="H554" s="142"/>
      <c r="I554" s="142"/>
      <c r="J554" s="142"/>
      <c r="K554" s="92"/>
      <c r="L554" s="92"/>
      <c r="M554" s="92"/>
      <c r="N554" s="92"/>
      <c r="O554" s="92"/>
      <c r="P554" s="92"/>
    </row>
    <row r="555" spans="1:16" x14ac:dyDescent="0.2">
      <c r="A555" s="140" t="s">
        <v>229</v>
      </c>
      <c r="B555" s="140" t="s">
        <v>55</v>
      </c>
      <c r="C555" s="140" t="s">
        <v>86</v>
      </c>
      <c r="D555" s="149" t="s">
        <v>855</v>
      </c>
      <c r="E555" s="139" t="s">
        <v>722</v>
      </c>
      <c r="F555" s="142"/>
      <c r="G555" s="142"/>
      <c r="H555" s="142"/>
      <c r="I555" s="142"/>
      <c r="J555" s="142"/>
      <c r="K555" s="92"/>
      <c r="L555" s="92"/>
      <c r="M555" s="92"/>
      <c r="N555" s="92"/>
      <c r="O555" s="92"/>
      <c r="P555" s="92"/>
    </row>
    <row r="556" spans="1:16" x14ac:dyDescent="0.2">
      <c r="A556" s="140" t="s">
        <v>229</v>
      </c>
      <c r="B556" s="140" t="s">
        <v>55</v>
      </c>
      <c r="C556" s="140" t="s">
        <v>86</v>
      </c>
      <c r="D556" s="149" t="s">
        <v>87</v>
      </c>
      <c r="E556" s="139" t="s">
        <v>88</v>
      </c>
      <c r="F556" s="142"/>
      <c r="G556" s="142"/>
      <c r="H556" s="142"/>
      <c r="I556" s="142"/>
      <c r="J556" s="142"/>
      <c r="K556" s="92"/>
      <c r="L556" s="92"/>
      <c r="M556" s="92"/>
      <c r="N556" s="92"/>
      <c r="O556" s="92"/>
      <c r="P556" s="92"/>
    </row>
    <row r="557" spans="1:16" x14ac:dyDescent="0.2">
      <c r="A557" s="140" t="s">
        <v>229</v>
      </c>
      <c r="B557" s="140" t="s">
        <v>55</v>
      </c>
      <c r="C557" s="140" t="s">
        <v>86</v>
      </c>
      <c r="D557" s="149" t="s">
        <v>856</v>
      </c>
      <c r="E557" s="139" t="s">
        <v>723</v>
      </c>
      <c r="F557" s="142"/>
      <c r="G557" s="142"/>
      <c r="H557" s="142"/>
      <c r="I557" s="142"/>
      <c r="J557" s="142"/>
      <c r="K557" s="92"/>
      <c r="L557" s="92"/>
      <c r="M557" s="92"/>
      <c r="N557" s="92"/>
      <c r="O557" s="92"/>
      <c r="P557" s="92"/>
    </row>
    <row r="558" spans="1:16" x14ac:dyDescent="0.2">
      <c r="A558" s="140" t="s">
        <v>229</v>
      </c>
      <c r="B558" s="140" t="s">
        <v>55</v>
      </c>
      <c r="C558" s="140" t="s">
        <v>78</v>
      </c>
      <c r="D558" s="149" t="s">
        <v>326</v>
      </c>
      <c r="E558" s="139" t="s">
        <v>693</v>
      </c>
      <c r="F558" s="142"/>
      <c r="G558" s="142"/>
      <c r="H558" s="142"/>
      <c r="I558" s="142"/>
      <c r="J558" s="142"/>
      <c r="K558" s="92"/>
      <c r="L558" s="92"/>
      <c r="M558" s="92"/>
      <c r="N558" s="92"/>
      <c r="O558" s="92"/>
      <c r="P558" s="92"/>
    </row>
    <row r="559" spans="1:16" x14ac:dyDescent="0.2">
      <c r="A559" s="140" t="s">
        <v>229</v>
      </c>
      <c r="B559" s="140" t="s">
        <v>55</v>
      </c>
      <c r="C559" s="140" t="s">
        <v>78</v>
      </c>
      <c r="D559" s="149" t="s">
        <v>79</v>
      </c>
      <c r="E559" s="139" t="s">
        <v>80</v>
      </c>
      <c r="F559" s="142"/>
      <c r="G559" s="142"/>
      <c r="H559" s="142"/>
      <c r="I559" s="142"/>
      <c r="J559" s="142"/>
      <c r="K559" s="92"/>
      <c r="L559" s="92"/>
      <c r="M559" s="92"/>
      <c r="N559" s="92"/>
      <c r="O559" s="92"/>
      <c r="P559" s="92"/>
    </row>
    <row r="560" spans="1:16" x14ac:dyDescent="0.2">
      <c r="A560" s="140" t="s">
        <v>229</v>
      </c>
      <c r="B560" s="140" t="s">
        <v>55</v>
      </c>
      <c r="C560" s="140" t="s">
        <v>78</v>
      </c>
      <c r="D560" s="149" t="s">
        <v>857</v>
      </c>
      <c r="E560" s="139" t="s">
        <v>694</v>
      </c>
      <c r="F560" s="142"/>
      <c r="G560" s="142"/>
      <c r="H560" s="142"/>
      <c r="I560" s="142"/>
      <c r="J560" s="142"/>
      <c r="K560" s="92"/>
      <c r="L560" s="92"/>
      <c r="M560" s="92"/>
      <c r="N560" s="92"/>
      <c r="O560" s="92"/>
      <c r="P560" s="92"/>
    </row>
    <row r="561" spans="1:16" x14ac:dyDescent="0.2">
      <c r="A561" s="140" t="s">
        <v>229</v>
      </c>
      <c r="B561" s="140" t="s">
        <v>55</v>
      </c>
      <c r="C561" s="140" t="s">
        <v>78</v>
      </c>
      <c r="D561" s="149" t="s">
        <v>98</v>
      </c>
      <c r="E561" s="139" t="s">
        <v>99</v>
      </c>
      <c r="F561" s="142"/>
      <c r="G561" s="142"/>
      <c r="H561" s="142"/>
      <c r="I561" s="142"/>
      <c r="J561" s="142"/>
      <c r="K561" s="92"/>
      <c r="L561" s="92"/>
      <c r="M561" s="92"/>
      <c r="N561" s="92"/>
      <c r="O561" s="92"/>
      <c r="P561" s="92"/>
    </row>
    <row r="562" spans="1:16" x14ac:dyDescent="0.2">
      <c r="A562" s="140" t="s">
        <v>229</v>
      </c>
      <c r="B562" s="140" t="s">
        <v>55</v>
      </c>
      <c r="C562" s="140" t="s">
        <v>78</v>
      </c>
      <c r="D562" s="149" t="s">
        <v>333</v>
      </c>
      <c r="E562" s="139" t="s">
        <v>695</v>
      </c>
      <c r="F562" s="142"/>
      <c r="G562" s="142"/>
      <c r="H562" s="142"/>
      <c r="I562" s="142"/>
      <c r="J562" s="142"/>
      <c r="K562" s="92"/>
      <c r="L562" s="92"/>
      <c r="M562" s="92"/>
      <c r="N562" s="92"/>
      <c r="O562" s="92"/>
      <c r="P562" s="92"/>
    </row>
    <row r="563" spans="1:16" x14ac:dyDescent="0.2">
      <c r="A563" s="140" t="s">
        <v>229</v>
      </c>
      <c r="B563" s="140" t="s">
        <v>31</v>
      </c>
      <c r="C563" s="140" t="s">
        <v>32</v>
      </c>
      <c r="D563" s="149" t="s">
        <v>32</v>
      </c>
      <c r="E563" s="139" t="s">
        <v>33</v>
      </c>
      <c r="F563" s="142"/>
      <c r="G563" s="142"/>
      <c r="H563" s="142"/>
      <c r="I563" s="142"/>
      <c r="J563" s="142"/>
      <c r="K563" s="92"/>
      <c r="L563" s="92"/>
      <c r="M563" s="92"/>
      <c r="N563" s="92"/>
      <c r="O563" s="92"/>
      <c r="P563" s="92"/>
    </row>
    <row r="564" spans="1:16" x14ac:dyDescent="0.2">
      <c r="A564" s="140" t="s">
        <v>229</v>
      </c>
      <c r="B564" s="140" t="s">
        <v>31</v>
      </c>
      <c r="C564" s="140" t="s">
        <v>127</v>
      </c>
      <c r="D564" s="149" t="s">
        <v>858</v>
      </c>
      <c r="E564" s="139" t="s">
        <v>712</v>
      </c>
      <c r="F564" s="142"/>
      <c r="G564" s="142"/>
      <c r="H564" s="142"/>
      <c r="I564" s="142"/>
      <c r="J564" s="142"/>
      <c r="K564" s="92"/>
      <c r="L564" s="92"/>
      <c r="M564" s="92"/>
      <c r="N564" s="92"/>
      <c r="O564" s="92"/>
      <c r="P564" s="92"/>
    </row>
    <row r="565" spans="1:16" x14ac:dyDescent="0.2">
      <c r="A565" s="140" t="s">
        <v>229</v>
      </c>
      <c r="B565" s="140" t="s">
        <v>31</v>
      </c>
      <c r="C565" s="140" t="s">
        <v>127</v>
      </c>
      <c r="D565" s="149" t="s">
        <v>483</v>
      </c>
      <c r="E565" s="139" t="s">
        <v>713</v>
      </c>
      <c r="F565" s="142"/>
      <c r="G565" s="142"/>
      <c r="H565" s="142"/>
      <c r="I565" s="142"/>
      <c r="J565" s="142"/>
      <c r="K565" s="92"/>
      <c r="L565" s="92"/>
      <c r="M565" s="92"/>
      <c r="N565" s="92"/>
      <c r="O565" s="92"/>
      <c r="P565" s="92"/>
    </row>
    <row r="566" spans="1:16" x14ac:dyDescent="0.2">
      <c r="A566" s="140" t="s">
        <v>229</v>
      </c>
      <c r="B566" s="140" t="s">
        <v>31</v>
      </c>
      <c r="C566" s="140" t="s">
        <v>127</v>
      </c>
      <c r="D566" s="149" t="s">
        <v>485</v>
      </c>
      <c r="E566" s="139" t="s">
        <v>714</v>
      </c>
      <c r="F566" s="142"/>
      <c r="G566" s="142"/>
      <c r="H566" s="142"/>
      <c r="I566" s="142"/>
      <c r="J566" s="142"/>
      <c r="K566" s="92"/>
      <c r="L566" s="92"/>
      <c r="M566" s="92"/>
      <c r="N566" s="92"/>
      <c r="O566" s="92"/>
      <c r="P566" s="92"/>
    </row>
    <row r="567" spans="1:16" x14ac:dyDescent="0.2">
      <c r="A567" s="140" t="s">
        <v>229</v>
      </c>
      <c r="B567" s="140" t="s">
        <v>31</v>
      </c>
      <c r="C567" s="140" t="s">
        <v>127</v>
      </c>
      <c r="D567" s="149" t="s">
        <v>859</v>
      </c>
      <c r="E567" s="139" t="s">
        <v>715</v>
      </c>
      <c r="F567" s="142"/>
      <c r="G567" s="142"/>
      <c r="H567" s="142"/>
      <c r="I567" s="142"/>
      <c r="J567" s="142"/>
      <c r="K567" s="92"/>
      <c r="L567" s="92"/>
      <c r="M567" s="92"/>
      <c r="N567" s="92"/>
      <c r="O567" s="92"/>
      <c r="P567" s="92"/>
    </row>
    <row r="568" spans="1:16" x14ac:dyDescent="0.2">
      <c r="A568" s="140" t="s">
        <v>229</v>
      </c>
      <c r="B568" s="140" t="s">
        <v>31</v>
      </c>
      <c r="C568" s="140" t="s">
        <v>127</v>
      </c>
      <c r="D568" s="149" t="s">
        <v>860</v>
      </c>
      <c r="E568" s="139" t="s">
        <v>129</v>
      </c>
      <c r="F568" s="142"/>
      <c r="G568" s="142"/>
      <c r="H568" s="142"/>
      <c r="I568" s="142"/>
      <c r="J568" s="142"/>
      <c r="K568" s="92"/>
      <c r="L568" s="92"/>
      <c r="M568" s="92"/>
      <c r="N568" s="92"/>
      <c r="O568" s="92"/>
      <c r="P568" s="92"/>
    </row>
    <row r="569" spans="1:16" x14ac:dyDescent="0.2">
      <c r="A569" s="140" t="s">
        <v>229</v>
      </c>
      <c r="B569" s="140" t="s">
        <v>31</v>
      </c>
      <c r="C569" s="140" t="s">
        <v>111</v>
      </c>
      <c r="D569" s="149" t="s">
        <v>430</v>
      </c>
      <c r="E569" s="139" t="s">
        <v>730</v>
      </c>
      <c r="F569" s="142"/>
      <c r="G569" s="142"/>
      <c r="H569" s="142"/>
      <c r="I569" s="142"/>
      <c r="J569" s="142"/>
      <c r="K569" s="92"/>
      <c r="L569" s="92"/>
      <c r="M569" s="92"/>
      <c r="N569" s="92"/>
      <c r="O569" s="92"/>
      <c r="P569" s="92"/>
    </row>
    <row r="570" spans="1:16" x14ac:dyDescent="0.2">
      <c r="A570" s="140" t="s">
        <v>229</v>
      </c>
      <c r="B570" s="140" t="s">
        <v>31</v>
      </c>
      <c r="C570" s="140" t="s">
        <v>111</v>
      </c>
      <c r="D570" s="149" t="s">
        <v>433</v>
      </c>
      <c r="E570" s="139" t="s">
        <v>731</v>
      </c>
      <c r="F570" s="142"/>
      <c r="G570" s="142"/>
      <c r="H570" s="142"/>
      <c r="I570" s="142"/>
      <c r="J570" s="142"/>
      <c r="K570" s="92"/>
      <c r="L570" s="92"/>
      <c r="M570" s="92"/>
      <c r="N570" s="92"/>
      <c r="O570" s="92"/>
      <c r="P570" s="92"/>
    </row>
    <row r="571" spans="1:16" x14ac:dyDescent="0.2">
      <c r="A571" s="140" t="s">
        <v>229</v>
      </c>
      <c r="B571" s="140" t="s">
        <v>31</v>
      </c>
      <c r="C571" s="140" t="s">
        <v>111</v>
      </c>
      <c r="D571" s="149" t="s">
        <v>111</v>
      </c>
      <c r="E571" s="139" t="s">
        <v>112</v>
      </c>
      <c r="F571" s="142"/>
      <c r="G571" s="142"/>
      <c r="H571" s="142"/>
      <c r="I571" s="142"/>
      <c r="J571" s="142"/>
      <c r="K571" s="92"/>
      <c r="L571" s="92"/>
      <c r="M571" s="92"/>
      <c r="N571" s="92"/>
      <c r="O571" s="92"/>
      <c r="P571" s="92"/>
    </row>
    <row r="572" spans="1:16" x14ac:dyDescent="0.2">
      <c r="A572" s="140" t="s">
        <v>229</v>
      </c>
      <c r="B572" s="140" t="s">
        <v>31</v>
      </c>
      <c r="C572" s="140" t="s">
        <v>132</v>
      </c>
      <c r="D572" s="149" t="s">
        <v>346</v>
      </c>
      <c r="E572" s="139" t="s">
        <v>733</v>
      </c>
      <c r="F572" s="142"/>
      <c r="G572" s="142"/>
      <c r="H572" s="142"/>
      <c r="I572" s="142"/>
      <c r="J572" s="142"/>
      <c r="K572" s="92"/>
      <c r="L572" s="92"/>
      <c r="M572" s="92"/>
      <c r="N572" s="92"/>
      <c r="O572" s="92"/>
      <c r="P572" s="92"/>
    </row>
    <row r="573" spans="1:16" x14ac:dyDescent="0.2">
      <c r="A573" s="140" t="s">
        <v>229</v>
      </c>
      <c r="B573" s="140" t="s">
        <v>31</v>
      </c>
      <c r="C573" s="140" t="s">
        <v>132</v>
      </c>
      <c r="D573" s="149" t="s">
        <v>132</v>
      </c>
      <c r="E573" s="139" t="s">
        <v>133</v>
      </c>
      <c r="F573" s="142"/>
      <c r="G573" s="142"/>
      <c r="H573" s="142"/>
      <c r="I573" s="142"/>
      <c r="J573" s="142"/>
      <c r="K573" s="92"/>
      <c r="L573" s="92"/>
      <c r="M573" s="92"/>
      <c r="N573" s="92"/>
      <c r="O573" s="92"/>
      <c r="P573" s="92"/>
    </row>
    <row r="574" spans="1:16" x14ac:dyDescent="0.2">
      <c r="A574" s="140" t="s">
        <v>229</v>
      </c>
      <c r="B574" s="140" t="s">
        <v>31</v>
      </c>
      <c r="C574" s="140" t="s">
        <v>814</v>
      </c>
      <c r="D574" s="149" t="s">
        <v>863</v>
      </c>
      <c r="E574" s="139" t="s">
        <v>754</v>
      </c>
      <c r="F574" s="142"/>
      <c r="G574" s="142"/>
      <c r="H574" s="142"/>
      <c r="I574" s="142"/>
      <c r="J574" s="142"/>
      <c r="K574" s="92"/>
      <c r="L574" s="92"/>
      <c r="M574" s="92"/>
      <c r="N574" s="92"/>
      <c r="O574" s="92"/>
      <c r="P574" s="92"/>
    </row>
    <row r="575" spans="1:16" x14ac:dyDescent="0.2">
      <c r="A575" s="140" t="s">
        <v>229</v>
      </c>
      <c r="B575" s="140" t="s">
        <v>31</v>
      </c>
      <c r="C575" s="140" t="s">
        <v>814</v>
      </c>
      <c r="D575" s="149" t="s">
        <v>864</v>
      </c>
      <c r="E575" s="139" t="s">
        <v>755</v>
      </c>
      <c r="F575" s="142"/>
      <c r="G575" s="142"/>
      <c r="H575" s="142"/>
      <c r="I575" s="142"/>
      <c r="J575" s="142"/>
      <c r="K575" s="92"/>
      <c r="L575" s="92"/>
      <c r="M575" s="92"/>
      <c r="N575" s="92"/>
      <c r="O575" s="92"/>
      <c r="P575" s="92"/>
    </row>
    <row r="576" spans="1:16" x14ac:dyDescent="0.2">
      <c r="A576" s="140" t="s">
        <v>229</v>
      </c>
      <c r="B576" s="140" t="s">
        <v>31</v>
      </c>
      <c r="C576" s="140" t="s">
        <v>814</v>
      </c>
      <c r="D576" s="149" t="s">
        <v>865</v>
      </c>
      <c r="E576" s="139" t="s">
        <v>756</v>
      </c>
      <c r="F576" s="142"/>
      <c r="G576" s="142"/>
      <c r="H576" s="142"/>
      <c r="I576" s="142"/>
      <c r="J576" s="142"/>
      <c r="K576" s="92"/>
      <c r="L576" s="92"/>
      <c r="M576" s="92"/>
      <c r="N576" s="92"/>
      <c r="O576" s="92"/>
      <c r="P576" s="92"/>
    </row>
    <row r="577" spans="1:16" x14ac:dyDescent="0.2">
      <c r="A577" s="140" t="s">
        <v>229</v>
      </c>
      <c r="B577" s="140" t="s">
        <v>31</v>
      </c>
      <c r="C577" s="140" t="s">
        <v>814</v>
      </c>
      <c r="D577" s="149" t="s">
        <v>866</v>
      </c>
      <c r="E577" s="139" t="s">
        <v>757</v>
      </c>
      <c r="F577" s="142"/>
      <c r="G577" s="142"/>
      <c r="H577" s="142"/>
      <c r="I577" s="142"/>
      <c r="J577" s="142"/>
      <c r="K577" s="92"/>
      <c r="L577" s="92"/>
      <c r="M577" s="92"/>
      <c r="N577" s="92"/>
      <c r="O577" s="92"/>
      <c r="P577" s="92"/>
    </row>
    <row r="578" spans="1:16" x14ac:dyDescent="0.2">
      <c r="A578" s="140" t="s">
        <v>229</v>
      </c>
      <c r="B578" s="140" t="s">
        <v>31</v>
      </c>
      <c r="C578" s="140" t="s">
        <v>814</v>
      </c>
      <c r="D578" s="149" t="s">
        <v>123</v>
      </c>
      <c r="E578" s="139" t="s">
        <v>124</v>
      </c>
      <c r="F578" s="142"/>
      <c r="G578" s="142"/>
      <c r="H578" s="142"/>
      <c r="I578" s="142"/>
      <c r="J578" s="142"/>
      <c r="K578" s="92"/>
      <c r="L578" s="92"/>
      <c r="M578" s="92"/>
      <c r="N578" s="92"/>
      <c r="O578" s="92"/>
      <c r="P578" s="92"/>
    </row>
    <row r="579" spans="1:16" x14ac:dyDescent="0.2">
      <c r="A579" s="140" t="s">
        <v>229</v>
      </c>
      <c r="B579" s="140" t="s">
        <v>31</v>
      </c>
      <c r="C579" s="140" t="s">
        <v>814</v>
      </c>
      <c r="D579" s="149" t="s">
        <v>867</v>
      </c>
      <c r="E579" s="139" t="s">
        <v>758</v>
      </c>
      <c r="F579" s="142"/>
      <c r="G579" s="142"/>
      <c r="H579" s="142"/>
      <c r="I579" s="142"/>
      <c r="J579" s="142"/>
      <c r="K579" s="92"/>
      <c r="L579" s="92"/>
      <c r="M579" s="92"/>
      <c r="N579" s="92"/>
      <c r="O579" s="92"/>
      <c r="P579" s="92"/>
    </row>
    <row r="580" spans="1:16" x14ac:dyDescent="0.2">
      <c r="A580" s="140" t="s">
        <v>229</v>
      </c>
      <c r="B580" s="140" t="s">
        <v>58</v>
      </c>
      <c r="C580" s="140" t="s">
        <v>66</v>
      </c>
      <c r="D580" s="149" t="s">
        <v>585</v>
      </c>
      <c r="E580" s="139" t="s">
        <v>660</v>
      </c>
      <c r="F580" s="142"/>
      <c r="G580" s="142"/>
      <c r="H580" s="142"/>
      <c r="I580" s="142"/>
      <c r="J580" s="142"/>
      <c r="K580" s="92"/>
      <c r="L580" s="92"/>
      <c r="M580" s="92"/>
      <c r="N580" s="92"/>
      <c r="O580" s="92"/>
      <c r="P580" s="92"/>
    </row>
    <row r="581" spans="1:16" x14ac:dyDescent="0.2">
      <c r="A581" s="140" t="s">
        <v>229</v>
      </c>
      <c r="B581" s="140" t="s">
        <v>58</v>
      </c>
      <c r="C581" s="140" t="s">
        <v>66</v>
      </c>
      <c r="D581" s="149" t="s">
        <v>868</v>
      </c>
      <c r="E581" s="139" t="s">
        <v>661</v>
      </c>
      <c r="F581" s="142"/>
      <c r="G581" s="142"/>
      <c r="H581" s="142"/>
      <c r="I581" s="142"/>
      <c r="J581" s="142"/>
      <c r="K581" s="92"/>
      <c r="L581" s="92"/>
      <c r="M581" s="92"/>
      <c r="N581" s="92"/>
      <c r="O581" s="92"/>
      <c r="P581" s="92"/>
    </row>
    <row r="582" spans="1:16" x14ac:dyDescent="0.2">
      <c r="A582" s="140" t="s">
        <v>229</v>
      </c>
      <c r="B582" s="140" t="s">
        <v>58</v>
      </c>
      <c r="C582" s="140" t="s">
        <v>66</v>
      </c>
      <c r="D582" s="149" t="s">
        <v>590</v>
      </c>
      <c r="E582" s="139" t="s">
        <v>662</v>
      </c>
      <c r="F582" s="142"/>
      <c r="G582" s="142"/>
      <c r="H582" s="142"/>
      <c r="I582" s="142"/>
      <c r="J582" s="142"/>
      <c r="K582" s="92"/>
      <c r="L582" s="92"/>
      <c r="M582" s="92"/>
      <c r="N582" s="92"/>
      <c r="O582" s="92"/>
      <c r="P582" s="92"/>
    </row>
    <row r="583" spans="1:16" x14ac:dyDescent="0.2">
      <c r="A583" s="140" t="s">
        <v>229</v>
      </c>
      <c r="B583" s="140" t="s">
        <v>58</v>
      </c>
      <c r="C583" s="140" t="s">
        <v>66</v>
      </c>
      <c r="D583" s="149" t="s">
        <v>598</v>
      </c>
      <c r="E583" s="139" t="s">
        <v>666</v>
      </c>
      <c r="F583" s="142"/>
      <c r="G583" s="142"/>
      <c r="H583" s="142"/>
      <c r="I583" s="142"/>
      <c r="J583" s="142"/>
      <c r="K583" s="92"/>
      <c r="L583" s="92"/>
      <c r="M583" s="92"/>
      <c r="N583" s="92"/>
      <c r="O583" s="92"/>
      <c r="P583" s="92"/>
    </row>
    <row r="584" spans="1:16" x14ac:dyDescent="0.2">
      <c r="A584" s="140" t="s">
        <v>229</v>
      </c>
      <c r="B584" s="140" t="s">
        <v>58</v>
      </c>
      <c r="C584" s="140" t="s">
        <v>66</v>
      </c>
      <c r="D584" s="149" t="s">
        <v>222</v>
      </c>
      <c r="E584" s="139" t="s">
        <v>223</v>
      </c>
      <c r="F584" s="142"/>
      <c r="G584" s="142"/>
      <c r="H584" s="142"/>
      <c r="I584" s="142"/>
      <c r="J584" s="142"/>
      <c r="K584" s="92"/>
      <c r="L584" s="92"/>
      <c r="M584" s="92"/>
      <c r="N584" s="92"/>
      <c r="O584" s="92"/>
      <c r="P584" s="92"/>
    </row>
    <row r="585" spans="1:16" x14ac:dyDescent="0.2">
      <c r="A585" s="140" t="s">
        <v>229</v>
      </c>
      <c r="B585" s="140" t="s">
        <v>58</v>
      </c>
      <c r="C585" s="140" t="s">
        <v>66</v>
      </c>
      <c r="D585" s="149" t="s">
        <v>186</v>
      </c>
      <c r="E585" s="139" t="s">
        <v>663</v>
      </c>
      <c r="F585" s="142"/>
      <c r="G585" s="142"/>
      <c r="H585" s="142"/>
      <c r="I585" s="142"/>
      <c r="J585" s="142"/>
      <c r="K585" s="92"/>
      <c r="L585" s="92"/>
      <c r="M585" s="92"/>
      <c r="N585" s="92"/>
      <c r="O585" s="92"/>
      <c r="P585" s="92"/>
    </row>
    <row r="586" spans="1:16" x14ac:dyDescent="0.2">
      <c r="A586" s="140" t="s">
        <v>229</v>
      </c>
      <c r="B586" s="140" t="s">
        <v>58</v>
      </c>
      <c r="C586" s="140" t="s">
        <v>66</v>
      </c>
      <c r="D586" s="149" t="s">
        <v>224</v>
      </c>
      <c r="E586" s="139" t="s">
        <v>225</v>
      </c>
      <c r="F586" s="142"/>
      <c r="G586" s="142"/>
      <c r="H586" s="142"/>
      <c r="I586" s="142"/>
      <c r="J586" s="142"/>
      <c r="K586" s="92"/>
      <c r="L586" s="92"/>
      <c r="M586" s="92"/>
      <c r="N586" s="92"/>
      <c r="O586" s="92"/>
      <c r="P586" s="92"/>
    </row>
    <row r="587" spans="1:16" x14ac:dyDescent="0.2">
      <c r="A587" s="140" t="s">
        <v>229</v>
      </c>
      <c r="B587" s="140" t="s">
        <v>58</v>
      </c>
      <c r="C587" s="140" t="s">
        <v>66</v>
      </c>
      <c r="D587" s="149" t="s">
        <v>869</v>
      </c>
      <c r="E587" s="139" t="s">
        <v>664</v>
      </c>
      <c r="F587" s="142"/>
      <c r="G587" s="142"/>
      <c r="H587" s="142"/>
      <c r="I587" s="142"/>
      <c r="J587" s="142"/>
      <c r="K587" s="92"/>
      <c r="L587" s="92"/>
      <c r="M587" s="92"/>
      <c r="N587" s="92"/>
      <c r="O587" s="92"/>
      <c r="P587" s="92"/>
    </row>
    <row r="588" spans="1:16" x14ac:dyDescent="0.2">
      <c r="A588" s="140" t="s">
        <v>229</v>
      </c>
      <c r="B588" s="140" t="s">
        <v>58</v>
      </c>
      <c r="C588" s="140" t="s">
        <v>66</v>
      </c>
      <c r="D588" s="149" t="s">
        <v>166</v>
      </c>
      <c r="E588" s="139" t="s">
        <v>167</v>
      </c>
      <c r="F588" s="142"/>
      <c r="G588" s="142"/>
      <c r="H588" s="142"/>
      <c r="I588" s="142"/>
      <c r="J588" s="142"/>
      <c r="K588" s="92"/>
      <c r="L588" s="92"/>
      <c r="M588" s="92"/>
      <c r="N588" s="92"/>
      <c r="O588" s="92"/>
      <c r="P588" s="92"/>
    </row>
    <row r="589" spans="1:16" x14ac:dyDescent="0.2">
      <c r="A589" s="140" t="s">
        <v>229</v>
      </c>
      <c r="B589" s="140" t="s">
        <v>58</v>
      </c>
      <c r="C589" s="140" t="s">
        <v>66</v>
      </c>
      <c r="D589" s="149" t="s">
        <v>870</v>
      </c>
      <c r="E589" s="139" t="s">
        <v>665</v>
      </c>
      <c r="F589" s="142"/>
      <c r="G589" s="142"/>
      <c r="H589" s="142"/>
      <c r="I589" s="142"/>
      <c r="J589" s="142"/>
      <c r="K589" s="92"/>
      <c r="L589" s="92"/>
      <c r="M589" s="92"/>
      <c r="N589" s="92"/>
      <c r="O589" s="92"/>
      <c r="P589" s="92"/>
    </row>
    <row r="590" spans="1:16" x14ac:dyDescent="0.2">
      <c r="A590" s="140" t="s">
        <v>229</v>
      </c>
      <c r="B590" s="140" t="s">
        <v>58</v>
      </c>
      <c r="C590" s="140" t="s">
        <v>66</v>
      </c>
      <c r="D590" s="149" t="s">
        <v>871</v>
      </c>
      <c r="E590" s="139" t="s">
        <v>667</v>
      </c>
      <c r="F590" s="142"/>
      <c r="G590" s="142"/>
      <c r="H590" s="142"/>
      <c r="I590" s="142"/>
      <c r="J590" s="142"/>
      <c r="K590" s="92"/>
      <c r="L590" s="92"/>
      <c r="M590" s="92"/>
      <c r="N590" s="92"/>
      <c r="O590" s="92"/>
      <c r="P590" s="92"/>
    </row>
    <row r="591" spans="1:16" x14ac:dyDescent="0.2">
      <c r="A591" s="140" t="s">
        <v>229</v>
      </c>
      <c r="B591" s="140" t="s">
        <v>58</v>
      </c>
      <c r="C591" s="140" t="s">
        <v>66</v>
      </c>
      <c r="D591" s="149" t="s">
        <v>67</v>
      </c>
      <c r="E591" s="139" t="s">
        <v>68</v>
      </c>
      <c r="F591" s="142"/>
      <c r="G591" s="142"/>
      <c r="H591" s="142"/>
      <c r="I591" s="142"/>
      <c r="J591" s="142"/>
      <c r="K591" s="92"/>
      <c r="L591" s="92"/>
      <c r="M591" s="92"/>
      <c r="N591" s="92"/>
      <c r="O591" s="92"/>
      <c r="P591" s="92"/>
    </row>
    <row r="592" spans="1:16" x14ac:dyDescent="0.2">
      <c r="A592" s="140" t="s">
        <v>229</v>
      </c>
      <c r="B592" s="140" t="s">
        <v>58</v>
      </c>
      <c r="C592" s="140" t="s">
        <v>66</v>
      </c>
      <c r="D592" s="149" t="s">
        <v>872</v>
      </c>
      <c r="E592" s="139" t="s">
        <v>668</v>
      </c>
      <c r="F592" s="142"/>
      <c r="G592" s="142"/>
      <c r="H592" s="142"/>
      <c r="I592" s="142"/>
      <c r="J592" s="142"/>
      <c r="K592" s="92"/>
      <c r="L592" s="92"/>
      <c r="M592" s="92"/>
      <c r="N592" s="92"/>
      <c r="O592" s="92"/>
      <c r="P592" s="92"/>
    </row>
    <row r="593" spans="1:16" x14ac:dyDescent="0.2">
      <c r="A593" s="140" t="s">
        <v>229</v>
      </c>
      <c r="B593" s="140" t="s">
        <v>58</v>
      </c>
      <c r="C593" s="140" t="s">
        <v>66</v>
      </c>
      <c r="D593" s="149" t="s">
        <v>873</v>
      </c>
      <c r="E593" s="139" t="s">
        <v>669</v>
      </c>
      <c r="F593" s="142"/>
      <c r="G593" s="142"/>
      <c r="H593" s="142"/>
      <c r="I593" s="142"/>
      <c r="J593" s="142"/>
      <c r="K593" s="92"/>
      <c r="L593" s="92"/>
      <c r="M593" s="92"/>
      <c r="N593" s="92"/>
      <c r="O593" s="92"/>
      <c r="P593" s="92"/>
    </row>
    <row r="594" spans="1:16" x14ac:dyDescent="0.2">
      <c r="A594" s="140" t="s">
        <v>229</v>
      </c>
      <c r="B594" s="140" t="s">
        <v>58</v>
      </c>
      <c r="C594" s="140" t="s">
        <v>66</v>
      </c>
      <c r="D594" s="149" t="s">
        <v>226</v>
      </c>
      <c r="E594" s="139" t="s">
        <v>227</v>
      </c>
      <c r="F594" s="142"/>
      <c r="G594" s="142"/>
      <c r="H594" s="142"/>
      <c r="I594" s="142"/>
      <c r="J594" s="142"/>
      <c r="K594" s="92"/>
      <c r="L594" s="92"/>
      <c r="M594" s="92"/>
      <c r="N594" s="92"/>
      <c r="O594" s="92"/>
      <c r="P594" s="92"/>
    </row>
    <row r="595" spans="1:16" x14ac:dyDescent="0.2">
      <c r="A595" s="140" t="s">
        <v>229</v>
      </c>
      <c r="B595" s="140" t="s">
        <v>58</v>
      </c>
      <c r="C595" s="140" t="s">
        <v>66</v>
      </c>
      <c r="D595" s="149" t="s">
        <v>874</v>
      </c>
      <c r="E595" s="139" t="s">
        <v>670</v>
      </c>
      <c r="F595" s="142"/>
      <c r="G595" s="142"/>
      <c r="H595" s="142"/>
      <c r="I595" s="142"/>
      <c r="J595" s="142"/>
      <c r="K595" s="92"/>
      <c r="L595" s="92"/>
      <c r="M595" s="92"/>
      <c r="N595" s="92"/>
      <c r="O595" s="92"/>
      <c r="P595" s="92"/>
    </row>
    <row r="596" spans="1:16" x14ac:dyDescent="0.2">
      <c r="A596" s="140" t="s">
        <v>229</v>
      </c>
      <c r="B596" s="140" t="s">
        <v>58</v>
      </c>
      <c r="C596" s="140" t="s">
        <v>66</v>
      </c>
      <c r="D596" s="149" t="s">
        <v>607</v>
      </c>
      <c r="E596" s="139" t="s">
        <v>81</v>
      </c>
      <c r="F596" s="142"/>
      <c r="G596" s="142"/>
      <c r="H596" s="142"/>
      <c r="I596" s="142"/>
      <c r="J596" s="142"/>
      <c r="K596" s="92"/>
      <c r="L596" s="92"/>
      <c r="M596" s="92"/>
      <c r="N596" s="92"/>
      <c r="O596" s="92"/>
      <c r="P596" s="92"/>
    </row>
    <row r="597" spans="1:16" x14ac:dyDescent="0.2">
      <c r="A597" s="140" t="s">
        <v>229</v>
      </c>
      <c r="B597" s="140" t="s">
        <v>58</v>
      </c>
      <c r="C597" s="140" t="s">
        <v>66</v>
      </c>
      <c r="D597" s="149" t="s">
        <v>609</v>
      </c>
      <c r="E597" s="139" t="s">
        <v>671</v>
      </c>
      <c r="F597" s="142"/>
      <c r="G597" s="142"/>
      <c r="H597" s="142"/>
      <c r="I597" s="142"/>
      <c r="J597" s="142"/>
      <c r="K597" s="92"/>
      <c r="L597" s="92"/>
      <c r="M597" s="92"/>
      <c r="N597" s="92"/>
      <c r="O597" s="92"/>
      <c r="P597" s="92"/>
    </row>
    <row r="598" spans="1:16" x14ac:dyDescent="0.2">
      <c r="A598" s="140" t="s">
        <v>229</v>
      </c>
      <c r="B598" s="140" t="s">
        <v>58</v>
      </c>
      <c r="C598" s="140" t="s">
        <v>66</v>
      </c>
      <c r="D598" s="149" t="s">
        <v>875</v>
      </c>
      <c r="E598" s="139" t="s">
        <v>173</v>
      </c>
      <c r="F598" s="142"/>
      <c r="G598" s="142"/>
      <c r="H598" s="142"/>
      <c r="I598" s="142"/>
      <c r="J598" s="142"/>
      <c r="K598" s="92"/>
      <c r="L598" s="92"/>
      <c r="M598" s="92"/>
      <c r="N598" s="92"/>
      <c r="O598" s="92"/>
      <c r="P598" s="92"/>
    </row>
    <row r="599" spans="1:16" x14ac:dyDescent="0.2">
      <c r="A599" s="140" t="s">
        <v>229</v>
      </c>
      <c r="B599" s="140" t="s">
        <v>58</v>
      </c>
      <c r="C599" s="140" t="s">
        <v>66</v>
      </c>
      <c r="D599" s="149" t="s">
        <v>876</v>
      </c>
      <c r="E599" s="139" t="s">
        <v>672</v>
      </c>
      <c r="F599" s="142"/>
      <c r="G599" s="142"/>
      <c r="H599" s="142"/>
      <c r="I599" s="142"/>
      <c r="J599" s="142"/>
      <c r="K599" s="92"/>
      <c r="L599" s="92"/>
      <c r="M599" s="92"/>
      <c r="N599" s="92"/>
      <c r="O599" s="92"/>
      <c r="P599" s="92"/>
    </row>
    <row r="600" spans="1:16" x14ac:dyDescent="0.2">
      <c r="A600" s="140" t="s">
        <v>229</v>
      </c>
      <c r="B600" s="140" t="s">
        <v>58</v>
      </c>
      <c r="C600" s="140" t="s">
        <v>66</v>
      </c>
      <c r="D600" s="149" t="s">
        <v>136</v>
      </c>
      <c r="E600" s="139" t="s">
        <v>137</v>
      </c>
      <c r="F600" s="142"/>
      <c r="G600" s="142"/>
      <c r="H600" s="142"/>
      <c r="I600" s="142"/>
      <c r="J600" s="142"/>
      <c r="K600" s="92"/>
      <c r="L600" s="92"/>
      <c r="M600" s="92"/>
      <c r="N600" s="92"/>
      <c r="O600" s="92"/>
      <c r="P600" s="92"/>
    </row>
    <row r="601" spans="1:16" x14ac:dyDescent="0.2">
      <c r="A601" s="140" t="s">
        <v>229</v>
      </c>
      <c r="B601" s="140" t="s">
        <v>58</v>
      </c>
      <c r="C601" s="140" t="s">
        <v>66</v>
      </c>
      <c r="D601" s="149" t="s">
        <v>615</v>
      </c>
      <c r="E601" s="139" t="s">
        <v>675</v>
      </c>
      <c r="F601" s="142"/>
      <c r="G601" s="142"/>
      <c r="H601" s="142"/>
      <c r="I601" s="142"/>
      <c r="J601" s="142"/>
      <c r="K601" s="92"/>
      <c r="L601" s="92"/>
      <c r="M601" s="92"/>
      <c r="N601" s="92"/>
      <c r="O601" s="92"/>
      <c r="P601" s="92"/>
    </row>
    <row r="602" spans="1:16" x14ac:dyDescent="0.2">
      <c r="A602" s="140" t="s">
        <v>229</v>
      </c>
      <c r="B602" s="140" t="s">
        <v>58</v>
      </c>
      <c r="C602" s="140" t="s">
        <v>66</v>
      </c>
      <c r="D602" s="149" t="s">
        <v>877</v>
      </c>
      <c r="E602" s="139" t="s">
        <v>181</v>
      </c>
      <c r="F602" s="142"/>
      <c r="G602" s="142"/>
      <c r="H602" s="142"/>
      <c r="I602" s="142"/>
      <c r="J602" s="142"/>
      <c r="K602" s="92"/>
      <c r="L602" s="92"/>
      <c r="M602" s="92"/>
      <c r="N602" s="92"/>
      <c r="O602" s="92"/>
      <c r="P602" s="92"/>
    </row>
    <row r="603" spans="1:16" x14ac:dyDescent="0.2">
      <c r="A603" s="140" t="s">
        <v>229</v>
      </c>
      <c r="B603" s="140" t="s">
        <v>58</v>
      </c>
      <c r="C603" s="140" t="s">
        <v>66</v>
      </c>
      <c r="D603" s="149" t="s">
        <v>612</v>
      </c>
      <c r="E603" s="139" t="s">
        <v>673</v>
      </c>
      <c r="F603" s="142"/>
      <c r="G603" s="142"/>
      <c r="H603" s="142"/>
      <c r="I603" s="142"/>
      <c r="J603" s="142"/>
      <c r="K603" s="92"/>
      <c r="L603" s="92"/>
      <c r="M603" s="92"/>
      <c r="N603" s="92"/>
      <c r="O603" s="92"/>
      <c r="P603" s="92"/>
    </row>
    <row r="604" spans="1:16" x14ac:dyDescent="0.2">
      <c r="A604" s="140" t="s">
        <v>229</v>
      </c>
      <c r="B604" s="140" t="s">
        <v>58</v>
      </c>
      <c r="C604" s="140" t="s">
        <v>59</v>
      </c>
      <c r="D604" s="149" t="s">
        <v>60</v>
      </c>
      <c r="E604" s="139" t="s">
        <v>61</v>
      </c>
      <c r="F604" s="142"/>
      <c r="G604" s="142"/>
      <c r="H604" s="142"/>
      <c r="I604" s="142"/>
      <c r="J604" s="142"/>
      <c r="K604" s="92"/>
      <c r="L604" s="92"/>
      <c r="M604" s="92"/>
      <c r="N604" s="92"/>
      <c r="O604" s="92"/>
      <c r="P604" s="92"/>
    </row>
    <row r="605" spans="1:16" x14ac:dyDescent="0.2">
      <c r="A605" s="140" t="s">
        <v>229</v>
      </c>
      <c r="B605" s="140" t="s">
        <v>58</v>
      </c>
      <c r="C605" s="140" t="s">
        <v>59</v>
      </c>
      <c r="D605" s="149" t="s">
        <v>826</v>
      </c>
      <c r="E605" s="139" t="s">
        <v>716</v>
      </c>
      <c r="F605" s="142"/>
      <c r="G605" s="142"/>
      <c r="H605" s="142"/>
      <c r="I605" s="142"/>
      <c r="J605" s="142"/>
      <c r="K605" s="92"/>
      <c r="L605" s="92"/>
      <c r="M605" s="92"/>
      <c r="N605" s="92"/>
      <c r="O605" s="92"/>
      <c r="P605" s="92"/>
    </row>
    <row r="606" spans="1:16" x14ac:dyDescent="0.2">
      <c r="A606" s="140" t="s">
        <v>229</v>
      </c>
      <c r="B606" s="140" t="s">
        <v>58</v>
      </c>
      <c r="C606" s="140" t="s">
        <v>59</v>
      </c>
      <c r="D606" s="149" t="s">
        <v>59</v>
      </c>
      <c r="E606" s="139" t="s">
        <v>717</v>
      </c>
      <c r="F606" s="142"/>
      <c r="G606" s="142"/>
      <c r="H606" s="142"/>
      <c r="I606" s="142"/>
      <c r="J606" s="142"/>
      <c r="K606" s="92"/>
      <c r="L606" s="92"/>
      <c r="M606" s="92"/>
      <c r="N606" s="92"/>
      <c r="O606" s="92"/>
      <c r="P606" s="92"/>
    </row>
    <row r="607" spans="1:16" x14ac:dyDescent="0.2">
      <c r="A607" s="140" t="s">
        <v>229</v>
      </c>
      <c r="B607" s="140" t="s">
        <v>58</v>
      </c>
      <c r="C607" s="140" t="s">
        <v>59</v>
      </c>
      <c r="D607" s="149" t="s">
        <v>228</v>
      </c>
      <c r="E607" s="139" t="s">
        <v>131</v>
      </c>
      <c r="F607" s="142"/>
      <c r="G607" s="142"/>
      <c r="H607" s="142"/>
      <c r="I607" s="142"/>
      <c r="J607" s="142"/>
      <c r="K607" s="92"/>
      <c r="L607" s="92"/>
      <c r="M607" s="92"/>
      <c r="N607" s="92"/>
      <c r="O607" s="92"/>
      <c r="P607" s="92"/>
    </row>
    <row r="608" spans="1:16" x14ac:dyDescent="0.2">
      <c r="A608" s="140" t="s">
        <v>229</v>
      </c>
      <c r="B608" s="140" t="s">
        <v>23</v>
      </c>
      <c r="C608" s="140" t="s">
        <v>24</v>
      </c>
      <c r="D608" s="149" t="s">
        <v>25</v>
      </c>
      <c r="E608" s="139" t="s">
        <v>26</v>
      </c>
      <c r="F608" s="142"/>
      <c r="G608" s="142"/>
      <c r="H608" s="142"/>
      <c r="I608" s="142"/>
      <c r="J608" s="142"/>
      <c r="K608" s="92"/>
      <c r="L608" s="92"/>
      <c r="M608" s="92"/>
      <c r="N608" s="92"/>
      <c r="O608" s="92"/>
      <c r="P608" s="92"/>
    </row>
    <row r="609" spans="1:16" x14ac:dyDescent="0.2">
      <c r="A609" s="140" t="s">
        <v>229</v>
      </c>
      <c r="B609" s="140" t="s">
        <v>23</v>
      </c>
      <c r="C609" s="140" t="s">
        <v>24</v>
      </c>
      <c r="D609" s="149" t="s">
        <v>47</v>
      </c>
      <c r="E609" s="139" t="s">
        <v>48</v>
      </c>
      <c r="F609" s="142"/>
      <c r="G609" s="142"/>
      <c r="H609" s="142"/>
      <c r="I609" s="142"/>
      <c r="J609" s="142"/>
      <c r="K609" s="92"/>
      <c r="L609" s="92"/>
      <c r="M609" s="92"/>
      <c r="N609" s="92"/>
      <c r="O609" s="92"/>
      <c r="P609" s="92"/>
    </row>
    <row r="610" spans="1:16" x14ac:dyDescent="0.2">
      <c r="A610" s="140" t="s">
        <v>229</v>
      </c>
      <c r="B610" s="140" t="s">
        <v>23</v>
      </c>
      <c r="C610" s="140" t="s">
        <v>24</v>
      </c>
      <c r="D610" s="149" t="s">
        <v>51</v>
      </c>
      <c r="E610" s="139" t="s">
        <v>52</v>
      </c>
      <c r="F610" s="142"/>
      <c r="G610" s="142"/>
      <c r="H610" s="142"/>
      <c r="I610" s="142"/>
      <c r="J610" s="142"/>
      <c r="K610" s="92"/>
      <c r="L610" s="92"/>
      <c r="M610" s="92"/>
      <c r="N610" s="92"/>
      <c r="O610" s="92"/>
      <c r="P610" s="92"/>
    </row>
    <row r="611" spans="1:16" x14ac:dyDescent="0.2">
      <c r="A611" s="140" t="s">
        <v>229</v>
      </c>
      <c r="B611" s="140" t="s">
        <v>23</v>
      </c>
      <c r="C611" s="140" t="s">
        <v>24</v>
      </c>
      <c r="D611" s="149" t="s">
        <v>168</v>
      </c>
      <c r="E611" s="139" t="s">
        <v>169</v>
      </c>
      <c r="F611" s="142"/>
      <c r="G611" s="142"/>
      <c r="H611" s="142"/>
      <c r="I611" s="142"/>
      <c r="J611" s="142"/>
      <c r="K611" s="92"/>
      <c r="L611" s="92"/>
      <c r="M611" s="92"/>
      <c r="N611" s="92"/>
      <c r="O611" s="92"/>
      <c r="P611" s="92"/>
    </row>
    <row r="612" spans="1:16" x14ac:dyDescent="0.2">
      <c r="A612" s="140" t="s">
        <v>229</v>
      </c>
      <c r="B612" s="140" t="s">
        <v>23</v>
      </c>
      <c r="C612" s="140" t="s">
        <v>24</v>
      </c>
      <c r="D612" s="149" t="s">
        <v>170</v>
      </c>
      <c r="E612" s="139" t="s">
        <v>171</v>
      </c>
      <c r="F612" s="142"/>
      <c r="G612" s="142"/>
      <c r="H612" s="142"/>
      <c r="I612" s="142"/>
      <c r="J612" s="142"/>
      <c r="K612" s="92"/>
      <c r="L612" s="92"/>
      <c r="M612" s="92"/>
      <c r="N612" s="92"/>
      <c r="O612" s="92"/>
      <c r="P612" s="92"/>
    </row>
    <row r="613" spans="1:16" x14ac:dyDescent="0.2">
      <c r="A613" s="140" t="s">
        <v>229</v>
      </c>
      <c r="B613" s="140" t="s">
        <v>23</v>
      </c>
      <c r="C613" s="140" t="s">
        <v>24</v>
      </c>
      <c r="D613" s="149" t="s">
        <v>413</v>
      </c>
      <c r="E613" s="139" t="s">
        <v>732</v>
      </c>
      <c r="F613" s="142"/>
      <c r="G613" s="142"/>
      <c r="H613" s="142"/>
      <c r="I613" s="142"/>
      <c r="J613" s="142"/>
      <c r="K613" s="92"/>
      <c r="L613" s="92"/>
      <c r="M613" s="92"/>
      <c r="N613" s="92"/>
      <c r="O613" s="92"/>
      <c r="P613" s="92"/>
    </row>
    <row r="614" spans="1:16" x14ac:dyDescent="0.2">
      <c r="A614" s="140" t="s">
        <v>229</v>
      </c>
      <c r="B614" s="140" t="s">
        <v>23</v>
      </c>
      <c r="C614" s="140" t="s">
        <v>24</v>
      </c>
      <c r="D614" s="149" t="s">
        <v>82</v>
      </c>
      <c r="E614" s="139" t="s">
        <v>83</v>
      </c>
      <c r="F614" s="142"/>
      <c r="G614" s="142"/>
      <c r="H614" s="142"/>
      <c r="I614" s="142"/>
      <c r="J614" s="142"/>
      <c r="K614" s="92"/>
      <c r="L614" s="92"/>
      <c r="M614" s="92"/>
      <c r="N614" s="92"/>
      <c r="O614" s="92"/>
      <c r="P614" s="92"/>
    </row>
    <row r="615" spans="1:16" x14ac:dyDescent="0.2">
      <c r="A615" s="140" t="s">
        <v>229</v>
      </c>
      <c r="B615" s="140" t="s">
        <v>23</v>
      </c>
      <c r="C615" s="140" t="s">
        <v>24</v>
      </c>
      <c r="D615" s="149" t="s">
        <v>84</v>
      </c>
      <c r="E615" s="139" t="s">
        <v>85</v>
      </c>
      <c r="F615" s="142"/>
      <c r="G615" s="142"/>
      <c r="H615" s="142"/>
      <c r="I615" s="142"/>
      <c r="J615" s="142"/>
      <c r="K615" s="92"/>
      <c r="L615" s="92"/>
      <c r="M615" s="92"/>
      <c r="N615" s="92"/>
      <c r="O615" s="92"/>
      <c r="P615" s="92"/>
    </row>
    <row r="616" spans="1:16" x14ac:dyDescent="0.2">
      <c r="A616" s="140" t="s">
        <v>229</v>
      </c>
      <c r="B616" s="140" t="s">
        <v>23</v>
      </c>
      <c r="C616" s="140" t="s">
        <v>24</v>
      </c>
      <c r="D616" s="149" t="s">
        <v>89</v>
      </c>
      <c r="E616" s="139" t="s">
        <v>90</v>
      </c>
      <c r="F616" s="142"/>
      <c r="G616" s="142"/>
      <c r="H616" s="142"/>
      <c r="I616" s="142"/>
      <c r="J616" s="142"/>
      <c r="K616" s="92"/>
      <c r="L616" s="92"/>
      <c r="M616" s="92"/>
      <c r="N616" s="92"/>
      <c r="O616" s="92"/>
      <c r="P616" s="92"/>
    </row>
    <row r="617" spans="1:16" x14ac:dyDescent="0.2">
      <c r="A617" s="140" t="s">
        <v>229</v>
      </c>
      <c r="B617" s="140" t="s">
        <v>23</v>
      </c>
      <c r="C617" s="140" t="s">
        <v>24</v>
      </c>
      <c r="D617" s="149" t="s">
        <v>176</v>
      </c>
      <c r="E617" s="139" t="s">
        <v>177</v>
      </c>
      <c r="F617" s="142"/>
      <c r="G617" s="142"/>
      <c r="H617" s="142"/>
      <c r="I617" s="142"/>
      <c r="J617" s="142"/>
      <c r="K617" s="92"/>
      <c r="L617" s="92"/>
      <c r="M617" s="92"/>
      <c r="N617" s="92"/>
      <c r="O617" s="92"/>
      <c r="P617" s="92"/>
    </row>
    <row r="618" spans="1:16" x14ac:dyDescent="0.2">
      <c r="A618" s="140" t="s">
        <v>229</v>
      </c>
      <c r="B618" s="140" t="s">
        <v>23</v>
      </c>
      <c r="C618" s="140" t="s">
        <v>24</v>
      </c>
      <c r="D618" s="149" t="s">
        <v>93</v>
      </c>
      <c r="E618" s="139" t="s">
        <v>94</v>
      </c>
      <c r="F618" s="142"/>
      <c r="G618" s="142"/>
      <c r="H618" s="142"/>
      <c r="I618" s="142"/>
      <c r="J618" s="142"/>
      <c r="K618" s="92"/>
      <c r="L618" s="92"/>
      <c r="M618" s="92"/>
      <c r="N618" s="92"/>
      <c r="O618" s="92"/>
      <c r="P618" s="92"/>
    </row>
    <row r="619" spans="1:16" x14ac:dyDescent="0.2">
      <c r="A619" s="140" t="s">
        <v>229</v>
      </c>
      <c r="B619" s="140" t="s">
        <v>23</v>
      </c>
      <c r="C619" s="140" t="s">
        <v>24</v>
      </c>
      <c r="D619" s="149" t="s">
        <v>102</v>
      </c>
      <c r="E619" s="139" t="s">
        <v>103</v>
      </c>
      <c r="F619" s="142"/>
      <c r="G619" s="142"/>
      <c r="H619" s="142"/>
      <c r="I619" s="142"/>
      <c r="J619" s="142"/>
      <c r="K619" s="92"/>
      <c r="L619" s="92"/>
      <c r="M619" s="92"/>
      <c r="N619" s="92"/>
      <c r="O619" s="92"/>
      <c r="P619" s="92"/>
    </row>
    <row r="620" spans="1:16" x14ac:dyDescent="0.2">
      <c r="A620" s="140" t="s">
        <v>229</v>
      </c>
      <c r="B620" s="140" t="s">
        <v>23</v>
      </c>
      <c r="C620" s="140" t="s">
        <v>24</v>
      </c>
      <c r="D620" s="149" t="s">
        <v>107</v>
      </c>
      <c r="E620" s="139" t="s">
        <v>108</v>
      </c>
      <c r="F620" s="142"/>
      <c r="G620" s="142"/>
      <c r="H620" s="142"/>
      <c r="I620" s="142"/>
      <c r="J620" s="142"/>
      <c r="K620" s="92"/>
      <c r="L620" s="92"/>
      <c r="M620" s="92"/>
      <c r="N620" s="92"/>
      <c r="O620" s="92"/>
      <c r="P620" s="92"/>
    </row>
    <row r="621" spans="1:16" x14ac:dyDescent="0.2">
      <c r="A621" s="140" t="s">
        <v>229</v>
      </c>
      <c r="B621" s="140" t="s">
        <v>23</v>
      </c>
      <c r="C621" s="140" t="s">
        <v>104</v>
      </c>
      <c r="D621" s="149" t="s">
        <v>105</v>
      </c>
      <c r="E621" s="139" t="s">
        <v>106</v>
      </c>
      <c r="F621" s="142"/>
      <c r="G621" s="142"/>
      <c r="H621" s="142"/>
      <c r="I621" s="142"/>
      <c r="J621" s="142"/>
      <c r="K621" s="92"/>
      <c r="L621" s="92"/>
      <c r="M621" s="92"/>
      <c r="N621" s="92"/>
      <c r="O621" s="92"/>
      <c r="P621" s="92"/>
    </row>
    <row r="622" spans="1:16" x14ac:dyDescent="0.2">
      <c r="A622" s="140" t="s">
        <v>229</v>
      </c>
      <c r="B622" s="140" t="s">
        <v>23</v>
      </c>
      <c r="C622" s="140" t="s">
        <v>104</v>
      </c>
      <c r="D622" s="149" t="s">
        <v>140</v>
      </c>
      <c r="E622" s="139" t="s">
        <v>141</v>
      </c>
      <c r="F622" s="142"/>
      <c r="G622" s="142"/>
      <c r="H622" s="142"/>
      <c r="I622" s="142"/>
      <c r="J622" s="142"/>
      <c r="K622" s="92"/>
      <c r="L622" s="92"/>
      <c r="M622" s="92"/>
      <c r="N622" s="92"/>
      <c r="O622" s="92"/>
      <c r="P622" s="92"/>
    </row>
    <row r="623" spans="1:16" x14ac:dyDescent="0.2">
      <c r="A623" s="140" t="s">
        <v>229</v>
      </c>
      <c r="B623" s="140" t="s">
        <v>23</v>
      </c>
      <c r="C623" s="140" t="s">
        <v>38</v>
      </c>
      <c r="D623" s="149" t="s">
        <v>39</v>
      </c>
      <c r="E623" s="139" t="s">
        <v>40</v>
      </c>
      <c r="F623" s="142"/>
      <c r="G623" s="142"/>
      <c r="H623" s="142"/>
      <c r="I623" s="142"/>
      <c r="J623" s="142"/>
      <c r="K623" s="92"/>
      <c r="L623" s="92"/>
      <c r="M623" s="92"/>
      <c r="N623" s="92"/>
      <c r="O623" s="92"/>
      <c r="P623" s="92"/>
    </row>
    <row r="624" spans="1:16" x14ac:dyDescent="0.2">
      <c r="A624" s="140" t="s">
        <v>229</v>
      </c>
      <c r="B624" s="140" t="s">
        <v>23</v>
      </c>
      <c r="C624" s="140" t="s">
        <v>38</v>
      </c>
      <c r="D624" s="149" t="s">
        <v>53</v>
      </c>
      <c r="E624" s="139" t="s">
        <v>54</v>
      </c>
      <c r="F624" s="142"/>
      <c r="G624" s="142"/>
      <c r="H624" s="142"/>
      <c r="I624" s="142"/>
      <c r="J624" s="142"/>
      <c r="K624" s="92"/>
      <c r="L624" s="92"/>
      <c r="M624" s="92"/>
      <c r="N624" s="92"/>
      <c r="O624" s="92"/>
      <c r="P624" s="92"/>
    </row>
    <row r="625" spans="1:16" x14ac:dyDescent="0.2">
      <c r="A625" s="140" t="s">
        <v>229</v>
      </c>
      <c r="B625" s="140" t="s">
        <v>23</v>
      </c>
      <c r="C625" s="140" t="s">
        <v>38</v>
      </c>
      <c r="D625" s="149" t="s">
        <v>174</v>
      </c>
      <c r="E625" s="139" t="s">
        <v>175</v>
      </c>
      <c r="F625" s="142"/>
      <c r="G625" s="142"/>
      <c r="H625" s="142"/>
      <c r="I625" s="142"/>
      <c r="J625" s="142"/>
      <c r="K625" s="92"/>
      <c r="L625" s="92"/>
      <c r="M625" s="92"/>
      <c r="N625" s="92"/>
      <c r="O625" s="92"/>
      <c r="P625" s="92"/>
    </row>
    <row r="626" spans="1:16" x14ac:dyDescent="0.2">
      <c r="A626" s="140" t="s">
        <v>229</v>
      </c>
      <c r="B626" s="140" t="s">
        <v>23</v>
      </c>
      <c r="C626" s="140" t="s">
        <v>38</v>
      </c>
      <c r="D626" s="149" t="s">
        <v>91</v>
      </c>
      <c r="E626" s="139" t="s">
        <v>92</v>
      </c>
      <c r="F626" s="142"/>
      <c r="G626" s="142"/>
      <c r="H626" s="142"/>
      <c r="I626" s="142"/>
      <c r="J626" s="142"/>
      <c r="K626" s="92"/>
      <c r="L626" s="92"/>
      <c r="M626" s="92"/>
      <c r="N626" s="92"/>
      <c r="O626" s="92"/>
      <c r="P626" s="92"/>
    </row>
    <row r="627" spans="1:16" x14ac:dyDescent="0.2">
      <c r="A627" s="140" t="s">
        <v>229</v>
      </c>
      <c r="B627" s="140" t="s">
        <v>23</v>
      </c>
      <c r="C627" s="140" t="s">
        <v>38</v>
      </c>
      <c r="D627" s="149" t="s">
        <v>95</v>
      </c>
      <c r="E627" s="139" t="s">
        <v>96</v>
      </c>
      <c r="F627" s="142"/>
      <c r="G627" s="142"/>
      <c r="H627" s="142"/>
      <c r="I627" s="142"/>
      <c r="J627" s="142"/>
      <c r="K627" s="92"/>
      <c r="L627" s="92"/>
      <c r="M627" s="92"/>
      <c r="N627" s="92"/>
      <c r="O627" s="92"/>
      <c r="P627" s="92"/>
    </row>
    <row r="628" spans="1:16" x14ac:dyDescent="0.2">
      <c r="A628" s="140" t="s">
        <v>229</v>
      </c>
      <c r="B628" s="140" t="s">
        <v>23</v>
      </c>
      <c r="C628" s="140" t="s">
        <v>38</v>
      </c>
      <c r="D628" s="149" t="s">
        <v>825</v>
      </c>
      <c r="E628" s="139" t="s">
        <v>179</v>
      </c>
      <c r="F628" s="142"/>
      <c r="G628" s="142"/>
      <c r="H628" s="142"/>
      <c r="I628" s="142"/>
      <c r="J628" s="142"/>
      <c r="K628" s="92"/>
      <c r="L628" s="92"/>
      <c r="M628" s="92"/>
      <c r="N628" s="92"/>
      <c r="O628" s="92"/>
      <c r="P628" s="92"/>
    </row>
    <row r="629" spans="1:16" x14ac:dyDescent="0.2">
      <c r="A629" s="140" t="s">
        <v>229</v>
      </c>
      <c r="B629" s="140" t="s">
        <v>23</v>
      </c>
      <c r="C629" s="140" t="s">
        <v>38</v>
      </c>
      <c r="D629" s="149" t="s">
        <v>134</v>
      </c>
      <c r="E629" s="139" t="s">
        <v>135</v>
      </c>
      <c r="F629" s="142"/>
      <c r="G629" s="142"/>
      <c r="H629" s="142"/>
      <c r="I629" s="142"/>
      <c r="J629" s="142"/>
      <c r="K629" s="92"/>
      <c r="L629" s="92"/>
      <c r="M629" s="92"/>
      <c r="N629" s="92"/>
      <c r="O629" s="92"/>
      <c r="P629" s="92"/>
    </row>
    <row r="630" spans="1:16" x14ac:dyDescent="0.2">
      <c r="A630" s="140" t="s">
        <v>229</v>
      </c>
      <c r="B630" s="140" t="s">
        <v>23</v>
      </c>
      <c r="C630" s="140" t="s">
        <v>38</v>
      </c>
      <c r="D630" s="149" t="s">
        <v>138</v>
      </c>
      <c r="E630" s="139" t="s">
        <v>139</v>
      </c>
      <c r="F630" s="142"/>
      <c r="G630" s="142"/>
      <c r="H630" s="142"/>
      <c r="I630" s="142"/>
      <c r="J630" s="142"/>
      <c r="K630" s="92"/>
      <c r="L630" s="92"/>
      <c r="M630" s="92"/>
      <c r="N630" s="92"/>
      <c r="O630" s="92"/>
      <c r="P630" s="92"/>
    </row>
    <row r="631" spans="1:16" x14ac:dyDescent="0.2">
      <c r="A631" s="140" t="s">
        <v>229</v>
      </c>
      <c r="B631" s="140" t="s">
        <v>27</v>
      </c>
      <c r="C631" s="140" t="s">
        <v>66</v>
      </c>
      <c r="D631" s="149" t="s">
        <v>614</v>
      </c>
      <c r="E631" s="139" t="s">
        <v>674</v>
      </c>
      <c r="F631" s="142"/>
      <c r="G631" s="142"/>
      <c r="H631" s="142"/>
      <c r="I631" s="142"/>
      <c r="J631" s="142"/>
      <c r="K631" s="92"/>
      <c r="L631" s="92"/>
      <c r="M631" s="92"/>
      <c r="N631" s="92"/>
      <c r="O631" s="92"/>
      <c r="P631" s="92"/>
    </row>
    <row r="632" spans="1:16" x14ac:dyDescent="0.2">
      <c r="A632" s="140" t="s">
        <v>229</v>
      </c>
      <c r="B632" s="140" t="s">
        <v>27</v>
      </c>
      <c r="C632" s="140" t="s">
        <v>813</v>
      </c>
      <c r="D632" s="149" t="s">
        <v>218</v>
      </c>
      <c r="E632" s="139" t="s">
        <v>219</v>
      </c>
      <c r="F632" s="142"/>
      <c r="G632" s="142"/>
      <c r="H632" s="142"/>
      <c r="I632" s="142"/>
      <c r="J632" s="142"/>
      <c r="K632" s="92"/>
      <c r="L632" s="92"/>
      <c r="M632" s="92"/>
      <c r="N632" s="92"/>
      <c r="O632" s="92"/>
      <c r="P632" s="92"/>
    </row>
    <row r="633" spans="1:16" x14ac:dyDescent="0.2">
      <c r="A633" s="125" t="s">
        <v>229</v>
      </c>
      <c r="B633" s="125" t="s">
        <v>27</v>
      </c>
      <c r="C633" s="125" t="s">
        <v>28</v>
      </c>
      <c r="D633" s="147" t="s">
        <v>817</v>
      </c>
      <c r="E633" s="174" t="s">
        <v>734</v>
      </c>
      <c r="F633" s="142"/>
      <c r="G633" s="142"/>
      <c r="H633" s="142"/>
      <c r="I633" s="142"/>
      <c r="J633" s="142"/>
      <c r="K633" s="92"/>
      <c r="L633" s="92"/>
      <c r="M633" s="92"/>
      <c r="N633" s="92"/>
      <c r="O633" s="92"/>
      <c r="P633" s="92"/>
    </row>
    <row r="634" spans="1:16" x14ac:dyDescent="0.2">
      <c r="A634" s="125" t="s">
        <v>229</v>
      </c>
      <c r="B634" s="125" t="s">
        <v>27</v>
      </c>
      <c r="C634" s="125" t="s">
        <v>28</v>
      </c>
      <c r="D634" s="147" t="s">
        <v>356</v>
      </c>
      <c r="E634" s="174" t="s">
        <v>735</v>
      </c>
      <c r="F634" s="142"/>
      <c r="G634" s="142"/>
      <c r="H634" s="142"/>
      <c r="I634" s="142"/>
      <c r="J634" s="142"/>
      <c r="K634" s="92"/>
      <c r="L634" s="92"/>
      <c r="M634" s="92"/>
      <c r="N634" s="92"/>
      <c r="O634" s="92"/>
      <c r="P634" s="92"/>
    </row>
    <row r="635" spans="1:16" x14ac:dyDescent="0.2">
      <c r="A635" s="125" t="s">
        <v>229</v>
      </c>
      <c r="B635" s="125" t="s">
        <v>27</v>
      </c>
      <c r="C635" s="125" t="s">
        <v>28</v>
      </c>
      <c r="D635" s="147" t="s">
        <v>358</v>
      </c>
      <c r="E635" s="174" t="s">
        <v>736</v>
      </c>
      <c r="F635" s="142"/>
      <c r="G635" s="142"/>
      <c r="H635" s="142"/>
      <c r="I635" s="142"/>
      <c r="J635" s="142"/>
      <c r="K635" s="92"/>
      <c r="L635" s="92"/>
      <c r="M635" s="92"/>
      <c r="N635" s="92"/>
      <c r="O635" s="92"/>
      <c r="P635" s="92"/>
    </row>
    <row r="636" spans="1:16" x14ac:dyDescent="0.2">
      <c r="A636" s="125" t="s">
        <v>229</v>
      </c>
      <c r="B636" s="125" t="s">
        <v>27</v>
      </c>
      <c r="C636" s="125" t="s">
        <v>28</v>
      </c>
      <c r="D636" s="147" t="s">
        <v>29</v>
      </c>
      <c r="E636" s="174" t="s">
        <v>30</v>
      </c>
      <c r="F636" s="142"/>
      <c r="G636" s="142"/>
      <c r="H636" s="142"/>
      <c r="I636" s="142"/>
      <c r="J636" s="142"/>
      <c r="K636" s="92"/>
      <c r="L636" s="92"/>
      <c r="M636" s="92"/>
      <c r="N636" s="92"/>
      <c r="O636" s="92"/>
      <c r="P636" s="92"/>
    </row>
    <row r="637" spans="1:16" x14ac:dyDescent="0.2">
      <c r="A637" s="125" t="s">
        <v>229</v>
      </c>
      <c r="B637" s="125" t="s">
        <v>27</v>
      </c>
      <c r="C637" s="125" t="s">
        <v>28</v>
      </c>
      <c r="D637" s="147" t="s">
        <v>361</v>
      </c>
      <c r="E637" s="174" t="s">
        <v>737</v>
      </c>
      <c r="F637" s="142"/>
      <c r="G637" s="142"/>
      <c r="H637" s="142"/>
      <c r="I637" s="142"/>
      <c r="J637" s="142"/>
      <c r="K637" s="92"/>
      <c r="L637" s="92"/>
      <c r="M637" s="92"/>
      <c r="N637" s="92"/>
      <c r="O637" s="92"/>
      <c r="P637" s="92"/>
    </row>
    <row r="638" spans="1:16" x14ac:dyDescent="0.2">
      <c r="A638" s="125" t="s">
        <v>229</v>
      </c>
      <c r="B638" s="125" t="s">
        <v>27</v>
      </c>
      <c r="C638" s="125" t="s">
        <v>28</v>
      </c>
      <c r="D638" s="147" t="s">
        <v>363</v>
      </c>
      <c r="E638" s="174" t="s">
        <v>738</v>
      </c>
      <c r="F638" s="142"/>
      <c r="G638" s="142"/>
      <c r="H638" s="142"/>
      <c r="I638" s="142"/>
      <c r="J638" s="142"/>
      <c r="K638" s="92"/>
      <c r="L638" s="92"/>
      <c r="M638" s="92"/>
      <c r="N638" s="92"/>
      <c r="O638" s="92"/>
      <c r="P638" s="92"/>
    </row>
    <row r="639" spans="1:16" x14ac:dyDescent="0.2">
      <c r="A639" s="125" t="s">
        <v>229</v>
      </c>
      <c r="B639" s="125" t="s">
        <v>27</v>
      </c>
      <c r="C639" s="125" t="s">
        <v>28</v>
      </c>
      <c r="D639" s="147" t="s">
        <v>816</v>
      </c>
      <c r="E639" s="174" t="s">
        <v>739</v>
      </c>
      <c r="F639" s="142"/>
      <c r="G639" s="142"/>
      <c r="H639" s="142"/>
      <c r="I639" s="142"/>
      <c r="J639" s="142"/>
      <c r="K639" s="92"/>
      <c r="L639" s="92"/>
      <c r="M639" s="92"/>
      <c r="N639" s="92"/>
      <c r="O639" s="92"/>
      <c r="P639" s="92"/>
    </row>
    <row r="640" spans="1:16" x14ac:dyDescent="0.2">
      <c r="A640" s="125" t="s">
        <v>229</v>
      </c>
      <c r="B640" s="125" t="s">
        <v>27</v>
      </c>
      <c r="C640" s="125" t="s">
        <v>28</v>
      </c>
      <c r="D640" s="147" t="s">
        <v>824</v>
      </c>
      <c r="E640" s="174" t="s">
        <v>740</v>
      </c>
      <c r="F640" s="142"/>
      <c r="G640" s="142"/>
      <c r="H640" s="142"/>
      <c r="I640" s="142"/>
      <c r="J640" s="142"/>
      <c r="K640" s="92"/>
      <c r="L640" s="92"/>
      <c r="M640" s="92"/>
      <c r="N640" s="92"/>
      <c r="O640" s="92"/>
      <c r="P640" s="92"/>
    </row>
    <row r="641" spans="1:16" x14ac:dyDescent="0.2">
      <c r="A641" s="125" t="s">
        <v>229</v>
      </c>
      <c r="B641" s="125" t="s">
        <v>27</v>
      </c>
      <c r="C641" s="125" t="s">
        <v>28</v>
      </c>
      <c r="D641" s="147" t="s">
        <v>367</v>
      </c>
      <c r="E641" s="174" t="s">
        <v>741</v>
      </c>
      <c r="F641" s="142"/>
      <c r="G641" s="142"/>
      <c r="H641" s="142"/>
      <c r="I641" s="142"/>
      <c r="J641" s="142"/>
      <c r="K641" s="92"/>
      <c r="L641" s="92"/>
      <c r="M641" s="92"/>
      <c r="N641" s="92"/>
      <c r="O641" s="92"/>
      <c r="P641" s="92"/>
    </row>
    <row r="642" spans="1:16" x14ac:dyDescent="0.2">
      <c r="A642" s="125" t="s">
        <v>229</v>
      </c>
      <c r="B642" s="125" t="s">
        <v>27</v>
      </c>
      <c r="C642" s="125" t="s">
        <v>28</v>
      </c>
      <c r="D642" s="147" t="s">
        <v>232</v>
      </c>
      <c r="E642" s="174" t="s">
        <v>233</v>
      </c>
      <c r="F642" s="142"/>
      <c r="G642" s="142"/>
      <c r="H642" s="142"/>
      <c r="I642" s="142"/>
      <c r="J642" s="142"/>
      <c r="K642" s="92"/>
      <c r="L642" s="92"/>
      <c r="M642" s="92"/>
      <c r="N642" s="92"/>
      <c r="O642" s="92"/>
      <c r="P642" s="92"/>
    </row>
    <row r="643" spans="1:16" x14ac:dyDescent="0.2">
      <c r="A643" s="125" t="s">
        <v>229</v>
      </c>
      <c r="B643" s="125" t="s">
        <v>27</v>
      </c>
      <c r="C643" s="125" t="s">
        <v>28</v>
      </c>
      <c r="D643" s="147" t="s">
        <v>818</v>
      </c>
      <c r="E643" s="174" t="s">
        <v>742</v>
      </c>
      <c r="F643" s="142"/>
      <c r="G643" s="142"/>
      <c r="H643" s="142"/>
      <c r="I643" s="142"/>
      <c r="J643" s="142"/>
      <c r="K643" s="92"/>
      <c r="L643" s="92"/>
      <c r="M643" s="92"/>
      <c r="N643" s="92"/>
      <c r="O643" s="92"/>
      <c r="P643" s="92"/>
    </row>
    <row r="644" spans="1:16" x14ac:dyDescent="0.2">
      <c r="A644" s="125" t="s">
        <v>229</v>
      </c>
      <c r="B644" s="125" t="s">
        <v>27</v>
      </c>
      <c r="C644" s="125" t="s">
        <v>28</v>
      </c>
      <c r="D644" s="147" t="s">
        <v>819</v>
      </c>
      <c r="E644" s="174" t="s">
        <v>743</v>
      </c>
      <c r="F644" s="142"/>
      <c r="G644" s="142"/>
      <c r="H644" s="142"/>
      <c r="I644" s="142"/>
      <c r="J644" s="142"/>
      <c r="K644" s="92"/>
      <c r="L644" s="92"/>
      <c r="M644" s="92"/>
      <c r="N644" s="92"/>
      <c r="O644" s="92"/>
      <c r="P644" s="92"/>
    </row>
    <row r="645" spans="1:16" x14ac:dyDescent="0.2">
      <c r="A645" s="125" t="s">
        <v>229</v>
      </c>
      <c r="B645" s="125" t="s">
        <v>27</v>
      </c>
      <c r="C645" s="125" t="s">
        <v>28</v>
      </c>
      <c r="D645" s="147" t="s">
        <v>820</v>
      </c>
      <c r="E645" s="174" t="s">
        <v>744</v>
      </c>
      <c r="F645" s="142"/>
      <c r="G645" s="142"/>
      <c r="H645" s="142"/>
      <c r="I645" s="142"/>
      <c r="J645" s="142"/>
      <c r="K645" s="92"/>
      <c r="L645" s="92"/>
      <c r="M645" s="92"/>
      <c r="N645" s="92"/>
      <c r="O645" s="92"/>
      <c r="P645" s="92"/>
    </row>
    <row r="646" spans="1:16" x14ac:dyDescent="0.2">
      <c r="A646" s="125" t="s">
        <v>229</v>
      </c>
      <c r="B646" s="125" t="s">
        <v>27</v>
      </c>
      <c r="C646" s="125" t="s">
        <v>28</v>
      </c>
      <c r="D646" s="147" t="s">
        <v>378</v>
      </c>
      <c r="E646" s="174" t="s">
        <v>745</v>
      </c>
      <c r="F646" s="142"/>
      <c r="G646" s="142"/>
      <c r="H646" s="142"/>
      <c r="I646" s="142"/>
      <c r="J646" s="142"/>
      <c r="K646" s="92"/>
      <c r="L646" s="92"/>
      <c r="M646" s="92"/>
      <c r="N646" s="92"/>
      <c r="O646" s="92"/>
      <c r="P646" s="92"/>
    </row>
    <row r="647" spans="1:16" x14ac:dyDescent="0.2">
      <c r="A647" s="125" t="s">
        <v>229</v>
      </c>
      <c r="B647" s="125" t="s">
        <v>27</v>
      </c>
      <c r="C647" s="125" t="s">
        <v>28</v>
      </c>
      <c r="D647" s="147" t="s">
        <v>381</v>
      </c>
      <c r="E647" s="174" t="s">
        <v>97</v>
      </c>
      <c r="F647" s="142"/>
      <c r="G647" s="142"/>
      <c r="H647" s="142"/>
      <c r="I647" s="142"/>
      <c r="J647" s="142"/>
      <c r="K647" s="92"/>
      <c r="L647" s="92"/>
      <c r="M647" s="92"/>
      <c r="N647" s="92"/>
      <c r="O647" s="92"/>
      <c r="P647" s="92"/>
    </row>
    <row r="648" spans="1:16" x14ac:dyDescent="0.2">
      <c r="A648" s="125" t="s">
        <v>229</v>
      </c>
      <c r="B648" s="125" t="s">
        <v>27</v>
      </c>
      <c r="C648" s="125" t="s">
        <v>28</v>
      </c>
      <c r="D648" s="147" t="s">
        <v>109</v>
      </c>
      <c r="E648" s="174" t="s">
        <v>110</v>
      </c>
      <c r="F648" s="142"/>
      <c r="G648" s="142"/>
      <c r="H648" s="142"/>
      <c r="I648" s="142"/>
      <c r="J648" s="142"/>
      <c r="K648" s="92"/>
      <c r="L648" s="92"/>
      <c r="M648" s="92"/>
      <c r="N648" s="92"/>
      <c r="O648" s="92"/>
      <c r="P648" s="92"/>
    </row>
    <row r="649" spans="1:16" x14ac:dyDescent="0.2">
      <c r="A649" s="125" t="s">
        <v>229</v>
      </c>
      <c r="B649" s="125" t="s">
        <v>27</v>
      </c>
      <c r="C649" s="125" t="s">
        <v>28</v>
      </c>
      <c r="D649" s="147" t="s">
        <v>386</v>
      </c>
      <c r="E649" s="174" t="s">
        <v>746</v>
      </c>
      <c r="F649" s="142"/>
      <c r="G649" s="142"/>
      <c r="H649" s="142"/>
      <c r="I649" s="142"/>
      <c r="J649" s="142"/>
      <c r="K649" s="92"/>
      <c r="L649" s="92"/>
      <c r="M649" s="92"/>
      <c r="N649" s="92"/>
      <c r="O649" s="92"/>
      <c r="P649" s="92"/>
    </row>
    <row r="650" spans="1:16" x14ac:dyDescent="0.2">
      <c r="A650" s="125" t="s">
        <v>229</v>
      </c>
      <c r="B650" s="125" t="s">
        <v>27</v>
      </c>
      <c r="C650" s="125" t="s">
        <v>28</v>
      </c>
      <c r="D650" s="147" t="s">
        <v>821</v>
      </c>
      <c r="E650" s="174" t="s">
        <v>747</v>
      </c>
      <c r="F650" s="142"/>
      <c r="G650" s="142"/>
      <c r="H650" s="142"/>
      <c r="I650" s="142"/>
      <c r="J650" s="142"/>
      <c r="K650" s="92"/>
      <c r="L650" s="92"/>
      <c r="M650" s="92"/>
      <c r="N650" s="92"/>
      <c r="O650" s="92"/>
      <c r="P650" s="92"/>
    </row>
    <row r="651" spans="1:16" x14ac:dyDescent="0.2">
      <c r="A651" s="125" t="s">
        <v>229</v>
      </c>
      <c r="B651" s="125" t="s">
        <v>27</v>
      </c>
      <c r="C651" s="125" t="s">
        <v>28</v>
      </c>
      <c r="D651" s="147" t="s">
        <v>391</v>
      </c>
      <c r="E651" s="174" t="s">
        <v>748</v>
      </c>
      <c r="F651" s="142"/>
      <c r="G651" s="142"/>
      <c r="H651" s="142"/>
      <c r="I651" s="142"/>
      <c r="J651" s="142"/>
      <c r="K651" s="92"/>
      <c r="L651" s="92"/>
      <c r="M651" s="92"/>
      <c r="N651" s="92"/>
      <c r="O651" s="92"/>
      <c r="P651" s="92"/>
    </row>
    <row r="652" spans="1:16" x14ac:dyDescent="0.2">
      <c r="A652" s="125" t="s">
        <v>229</v>
      </c>
      <c r="B652" s="125" t="s">
        <v>27</v>
      </c>
      <c r="C652" s="125" t="s">
        <v>28</v>
      </c>
      <c r="D652" s="147" t="s">
        <v>822</v>
      </c>
      <c r="E652" s="174" t="s">
        <v>749</v>
      </c>
      <c r="F652" s="142"/>
      <c r="G652" s="142"/>
      <c r="H652" s="142"/>
      <c r="I652" s="142"/>
      <c r="J652" s="142"/>
      <c r="K652" s="92"/>
      <c r="L652" s="92"/>
      <c r="M652" s="92"/>
      <c r="N652" s="92"/>
      <c r="O652" s="92"/>
      <c r="P652" s="92"/>
    </row>
    <row r="653" spans="1:16" x14ac:dyDescent="0.2">
      <c r="A653" s="125" t="s">
        <v>229</v>
      </c>
      <c r="B653" s="125" t="s">
        <v>27</v>
      </c>
      <c r="C653" s="125" t="s">
        <v>28</v>
      </c>
      <c r="D653" s="147" t="s">
        <v>28</v>
      </c>
      <c r="E653" s="174" t="s">
        <v>130</v>
      </c>
      <c r="F653" s="142"/>
      <c r="G653" s="142"/>
      <c r="H653" s="142"/>
      <c r="I653" s="142"/>
      <c r="J653" s="142"/>
      <c r="K653" s="92"/>
      <c r="L653" s="92"/>
      <c r="M653" s="92"/>
      <c r="N653" s="92"/>
      <c r="O653" s="92"/>
      <c r="P653" s="92"/>
    </row>
    <row r="654" spans="1:16" x14ac:dyDescent="0.2">
      <c r="A654" s="125" t="s">
        <v>229</v>
      </c>
      <c r="B654" s="125" t="s">
        <v>27</v>
      </c>
      <c r="C654" s="125" t="s">
        <v>28</v>
      </c>
      <c r="D654" s="147" t="s">
        <v>397</v>
      </c>
      <c r="E654" s="174" t="s">
        <v>750</v>
      </c>
      <c r="F654" s="142"/>
      <c r="G654" s="142"/>
      <c r="H654" s="142"/>
      <c r="I654" s="142"/>
      <c r="J654" s="142"/>
      <c r="K654" s="92"/>
      <c r="L654" s="92"/>
      <c r="M654" s="92"/>
      <c r="N654" s="92"/>
      <c r="O654" s="92"/>
      <c r="P654" s="92"/>
    </row>
    <row r="655" spans="1:16" x14ac:dyDescent="0.2">
      <c r="A655" s="125" t="s">
        <v>229</v>
      </c>
      <c r="B655" s="125" t="s">
        <v>27</v>
      </c>
      <c r="C655" s="125" t="s">
        <v>28</v>
      </c>
      <c r="D655" s="147" t="s">
        <v>400</v>
      </c>
      <c r="E655" s="174" t="s">
        <v>751</v>
      </c>
      <c r="F655" s="142"/>
      <c r="G655" s="142"/>
      <c r="H655" s="142"/>
      <c r="I655" s="142"/>
      <c r="J655" s="142"/>
      <c r="K655" s="92"/>
      <c r="L655" s="92"/>
      <c r="M655" s="92"/>
      <c r="N655" s="92"/>
      <c r="O655" s="92"/>
      <c r="P655" s="92"/>
    </row>
    <row r="656" spans="1:16" x14ac:dyDescent="0.2">
      <c r="A656" s="125" t="s">
        <v>229</v>
      </c>
      <c r="B656" s="125" t="s">
        <v>27</v>
      </c>
      <c r="C656" s="125" t="s">
        <v>28</v>
      </c>
      <c r="D656" s="172" t="s">
        <v>142</v>
      </c>
      <c r="E656" s="174" t="s">
        <v>143</v>
      </c>
      <c r="F656" s="142"/>
      <c r="G656" s="142"/>
      <c r="H656" s="142"/>
      <c r="I656" s="142"/>
      <c r="J656" s="142"/>
      <c r="K656" s="92"/>
      <c r="L656" s="92"/>
      <c r="M656" s="92"/>
      <c r="N656" s="92"/>
      <c r="O656" s="92"/>
      <c r="P656" s="92"/>
    </row>
    <row r="657" spans="1:16" x14ac:dyDescent="0.2">
      <c r="A657" s="125" t="s">
        <v>229</v>
      </c>
      <c r="B657" s="125" t="s">
        <v>27</v>
      </c>
      <c r="C657" s="125" t="s">
        <v>28</v>
      </c>
      <c r="D657" s="147" t="s">
        <v>823</v>
      </c>
      <c r="E657" s="174" t="s">
        <v>752</v>
      </c>
      <c r="F657" s="142"/>
      <c r="G657" s="142"/>
      <c r="H657" s="142"/>
      <c r="I657" s="142"/>
      <c r="J657" s="142"/>
      <c r="K657" s="92"/>
      <c r="L657" s="92"/>
      <c r="M657" s="92"/>
      <c r="N657" s="92"/>
      <c r="O657" s="92"/>
      <c r="P657" s="92"/>
    </row>
    <row r="658" spans="1:16" x14ac:dyDescent="0.2">
      <c r="A658" s="123" t="s">
        <v>234</v>
      </c>
      <c r="B658" s="124" t="s">
        <v>155</v>
      </c>
      <c r="C658" s="125" t="s">
        <v>66</v>
      </c>
      <c r="D658" s="171" t="s">
        <v>802</v>
      </c>
      <c r="E658" s="174" t="s">
        <v>761</v>
      </c>
      <c r="F658" s="141"/>
      <c r="G658" s="145"/>
      <c r="H658" s="145"/>
      <c r="I658" s="145"/>
      <c r="J658" s="141"/>
      <c r="K658" s="92"/>
      <c r="L658" s="92"/>
      <c r="M658" s="92"/>
      <c r="N658" s="92"/>
      <c r="O658" s="92"/>
      <c r="P658" s="92"/>
    </row>
    <row r="659" spans="1:16" x14ac:dyDescent="0.2">
      <c r="A659" s="123" t="s">
        <v>234</v>
      </c>
      <c r="B659" s="124" t="s">
        <v>155</v>
      </c>
      <c r="C659" s="125" t="s">
        <v>66</v>
      </c>
      <c r="D659" s="171" t="s">
        <v>802</v>
      </c>
      <c r="E659" s="174" t="s">
        <v>763</v>
      </c>
      <c r="F659" s="141"/>
      <c r="G659" s="145"/>
      <c r="H659" s="145"/>
      <c r="I659" s="145"/>
      <c r="J659" s="141"/>
      <c r="K659" s="92"/>
      <c r="L659" s="92"/>
      <c r="M659" s="92"/>
      <c r="N659" s="92"/>
      <c r="O659" s="92"/>
      <c r="P659" s="92"/>
    </row>
    <row r="660" spans="1:16" x14ac:dyDescent="0.2">
      <c r="A660" s="123" t="s">
        <v>234</v>
      </c>
      <c r="B660" s="124" t="s">
        <v>155</v>
      </c>
      <c r="C660" s="125" t="s">
        <v>66</v>
      </c>
      <c r="D660" s="167" t="s">
        <v>186</v>
      </c>
      <c r="E660" s="174" t="s">
        <v>187</v>
      </c>
      <c r="F660" s="141"/>
      <c r="G660" s="145"/>
      <c r="H660" s="145"/>
      <c r="I660" s="145"/>
      <c r="J660" s="141"/>
      <c r="K660" s="92"/>
      <c r="L660" s="92"/>
      <c r="M660" s="92"/>
      <c r="N660" s="92"/>
      <c r="O660" s="92"/>
      <c r="P660" s="92"/>
    </row>
    <row r="661" spans="1:16" x14ac:dyDescent="0.2">
      <c r="A661" s="123" t="s">
        <v>234</v>
      </c>
      <c r="B661" s="124" t="s">
        <v>155</v>
      </c>
      <c r="C661" s="125" t="s">
        <v>66</v>
      </c>
      <c r="D661" s="147" t="s">
        <v>159</v>
      </c>
      <c r="E661" s="174" t="s">
        <v>160</v>
      </c>
      <c r="F661" s="141"/>
      <c r="G661" s="145"/>
      <c r="H661" s="145"/>
      <c r="I661" s="145"/>
      <c r="J661" s="141"/>
      <c r="K661" s="92"/>
      <c r="L661" s="92"/>
      <c r="M661" s="92"/>
      <c r="N661" s="92"/>
      <c r="O661" s="92"/>
      <c r="P661" s="92"/>
    </row>
    <row r="662" spans="1:16" x14ac:dyDescent="0.2">
      <c r="A662" s="123" t="s">
        <v>234</v>
      </c>
      <c r="B662" s="124" t="s">
        <v>155</v>
      </c>
      <c r="C662" s="125" t="s">
        <v>66</v>
      </c>
      <c r="D662" s="147" t="s">
        <v>188</v>
      </c>
      <c r="E662" s="174" t="s">
        <v>189</v>
      </c>
      <c r="F662" s="141"/>
      <c r="G662" s="145"/>
      <c r="H662" s="145"/>
      <c r="I662" s="145"/>
      <c r="J662" s="141"/>
      <c r="K662" s="92"/>
      <c r="L662" s="92"/>
      <c r="M662" s="92"/>
      <c r="N662" s="92"/>
      <c r="O662" s="92"/>
      <c r="P662" s="92"/>
    </row>
    <row r="663" spans="1:16" x14ac:dyDescent="0.2">
      <c r="A663" s="123" t="s">
        <v>234</v>
      </c>
      <c r="B663" s="124" t="s">
        <v>155</v>
      </c>
      <c r="C663" s="125" t="s">
        <v>66</v>
      </c>
      <c r="D663" s="147" t="s">
        <v>190</v>
      </c>
      <c r="E663" s="174" t="s">
        <v>191</v>
      </c>
      <c r="F663" s="141"/>
      <c r="G663" s="145"/>
      <c r="H663" s="145"/>
      <c r="I663" s="145"/>
      <c r="J663" s="141"/>
      <c r="K663" s="92"/>
      <c r="L663" s="92"/>
      <c r="M663" s="92"/>
      <c r="N663" s="92"/>
      <c r="O663" s="92"/>
      <c r="P663" s="92"/>
    </row>
    <row r="664" spans="1:16" x14ac:dyDescent="0.2">
      <c r="A664" s="123" t="s">
        <v>234</v>
      </c>
      <c r="B664" s="124" t="s">
        <v>155</v>
      </c>
      <c r="C664" s="125" t="s">
        <v>66</v>
      </c>
      <c r="D664" s="147" t="s">
        <v>192</v>
      </c>
      <c r="E664" s="174" t="s">
        <v>193</v>
      </c>
      <c r="F664" s="141"/>
      <c r="G664" s="145"/>
      <c r="H664" s="145"/>
      <c r="I664" s="145"/>
      <c r="J664" s="141"/>
      <c r="K664" s="92"/>
      <c r="L664" s="92"/>
      <c r="M664" s="92"/>
      <c r="N664" s="92"/>
      <c r="O664" s="92"/>
      <c r="P664" s="92"/>
    </row>
    <row r="665" spans="1:16" x14ac:dyDescent="0.2">
      <c r="A665" s="123" t="s">
        <v>234</v>
      </c>
      <c r="B665" s="124" t="s">
        <v>155</v>
      </c>
      <c r="C665" s="125" t="s">
        <v>66</v>
      </c>
      <c r="D665" s="147" t="s">
        <v>194</v>
      </c>
      <c r="E665" s="174" t="s">
        <v>195</v>
      </c>
      <c r="F665" s="141"/>
      <c r="G665" s="145"/>
      <c r="H665" s="141"/>
      <c r="I665" s="145"/>
      <c r="J665" s="141"/>
      <c r="K665" s="92"/>
      <c r="L665" s="92"/>
      <c r="M665" s="92"/>
      <c r="N665" s="92"/>
      <c r="O665" s="92"/>
      <c r="P665" s="92"/>
    </row>
    <row r="666" spans="1:16" x14ac:dyDescent="0.2">
      <c r="A666" s="123" t="s">
        <v>234</v>
      </c>
      <c r="B666" s="124" t="s">
        <v>155</v>
      </c>
      <c r="C666" s="125" t="s">
        <v>66</v>
      </c>
      <c r="D666" s="147" t="s">
        <v>156</v>
      </c>
      <c r="E666" s="174" t="s">
        <v>157</v>
      </c>
      <c r="F666" s="141"/>
      <c r="G666" s="145"/>
      <c r="H666" s="145"/>
      <c r="I666" s="145"/>
      <c r="J666" s="141"/>
      <c r="K666" s="92"/>
      <c r="L666" s="92"/>
      <c r="M666" s="92"/>
      <c r="N666" s="92"/>
      <c r="O666" s="92"/>
      <c r="P666" s="92"/>
    </row>
    <row r="667" spans="1:16" x14ac:dyDescent="0.2">
      <c r="A667" s="123" t="s">
        <v>234</v>
      </c>
      <c r="B667" s="124" t="s">
        <v>155</v>
      </c>
      <c r="C667" s="125" t="s">
        <v>66</v>
      </c>
      <c r="D667" s="147" t="s">
        <v>196</v>
      </c>
      <c r="E667" s="174" t="s">
        <v>197</v>
      </c>
      <c r="F667" s="141"/>
      <c r="G667" s="145"/>
      <c r="H667" s="145"/>
      <c r="I667" s="145"/>
      <c r="J667" s="141"/>
      <c r="K667" s="92"/>
      <c r="L667" s="92"/>
      <c r="M667" s="92"/>
      <c r="N667" s="92"/>
      <c r="O667" s="92"/>
      <c r="P667" s="92"/>
    </row>
    <row r="668" spans="1:16" x14ac:dyDescent="0.2">
      <c r="A668" s="123" t="s">
        <v>235</v>
      </c>
      <c r="B668" s="124" t="s">
        <v>155</v>
      </c>
      <c r="C668" s="125" t="s">
        <v>66</v>
      </c>
      <c r="D668" s="171" t="s">
        <v>194</v>
      </c>
      <c r="E668" s="174" t="s">
        <v>157</v>
      </c>
      <c r="F668" s="142"/>
      <c r="G668" s="142"/>
      <c r="H668" s="142"/>
      <c r="I668" s="142"/>
      <c r="J668" s="142"/>
      <c r="K668" s="92"/>
      <c r="L668" s="92"/>
      <c r="M668" s="92"/>
      <c r="N668" s="92"/>
      <c r="O668" s="92"/>
      <c r="P668" s="92"/>
    </row>
    <row r="669" spans="1:16" x14ac:dyDescent="0.2">
      <c r="A669" s="131" t="s">
        <v>235</v>
      </c>
      <c r="B669" s="126" t="s">
        <v>155</v>
      </c>
      <c r="C669" s="127" t="s">
        <v>66</v>
      </c>
      <c r="D669" s="148" t="s">
        <v>156</v>
      </c>
      <c r="E669" s="175" t="s">
        <v>195</v>
      </c>
      <c r="F669" s="143"/>
      <c r="G669" s="143"/>
      <c r="H669" s="142"/>
      <c r="I669" s="142"/>
      <c r="J669" s="142"/>
      <c r="K669" s="92"/>
      <c r="L669" s="92"/>
      <c r="M669" s="92"/>
      <c r="N669" s="92"/>
      <c r="O669" s="92"/>
      <c r="P669" s="9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TarifasDesdeBase">
                <anchor moveWithCells="1" sizeWithCells="1">
                  <from>
                    <xdr:col>0</xdr:col>
                    <xdr:colOff>438150</xdr:colOff>
                    <xdr:row>2</xdr:row>
                    <xdr:rowOff>38100</xdr:rowOff>
                  </from>
                  <to>
                    <xdr:col>2</xdr:col>
                    <xdr:colOff>819150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>
    <tabColor theme="4" tint="0.59999389629810485"/>
  </sheetPr>
  <dimension ref="A1:AA1265"/>
  <sheetViews>
    <sheetView showGridLines="0" tabSelected="1" zoomScaleNormal="100" workbookViewId="0">
      <pane xSplit="4" ySplit="1" topLeftCell="E2" activePane="bottomRight" state="frozen"/>
      <selection activeCell="F193" sqref="F193"/>
      <selection pane="topRight" activeCell="F193" sqref="F193"/>
      <selection pane="bottomLeft" activeCell="F193" sqref="F193"/>
      <selection pane="bottomRight" activeCell="C8" sqref="C8"/>
    </sheetView>
  </sheetViews>
  <sheetFormatPr baseColWidth="10" defaultColWidth="11.42578125" defaultRowHeight="12.75" x14ac:dyDescent="0.2"/>
  <cols>
    <col min="1" max="1" width="24.140625" style="80" bestFit="1" customWidth="1"/>
    <col min="2" max="2" width="5.140625" style="80" bestFit="1" customWidth="1"/>
    <col min="3" max="3" width="14.5703125" style="80" bestFit="1" customWidth="1"/>
    <col min="4" max="4" width="25.140625" style="80" bestFit="1" customWidth="1"/>
    <col min="5" max="5" width="15" style="80" bestFit="1" customWidth="1"/>
    <col min="6" max="6" width="4.7109375" style="80" bestFit="1" customWidth="1"/>
    <col min="7" max="7" width="9.140625" style="80" bestFit="1" customWidth="1"/>
    <col min="8" max="8" width="15" style="80" bestFit="1" customWidth="1"/>
    <col min="9" max="9" width="7.5703125" style="80" bestFit="1" customWidth="1"/>
    <col min="10" max="10" width="9.42578125" style="80" bestFit="1" customWidth="1"/>
    <col min="11" max="11" width="12.28515625" style="80" bestFit="1" customWidth="1"/>
    <col min="12" max="15" width="2.7109375" style="80" bestFit="1" customWidth="1"/>
    <col min="16" max="16" width="4.5703125" style="80" bestFit="1" customWidth="1"/>
    <col min="17" max="17" width="11.42578125" style="80"/>
    <col min="18" max="19" width="13.140625" style="80" bestFit="1" customWidth="1"/>
    <col min="20" max="20" width="14" style="80" bestFit="1" customWidth="1"/>
    <col min="21" max="16384" width="11.42578125" style="80"/>
  </cols>
  <sheetData>
    <row r="1" spans="1:27" ht="13.5" thickBot="1" x14ac:dyDescent="0.25">
      <c r="A1" s="120" t="s">
        <v>815</v>
      </c>
      <c r="B1" s="121"/>
      <c r="C1" s="121"/>
      <c r="D1" s="122"/>
      <c r="E1" s="116"/>
      <c r="F1" s="77"/>
      <c r="G1" s="78"/>
      <c r="H1" s="79" t="s">
        <v>1</v>
      </c>
      <c r="I1" s="78"/>
      <c r="J1" s="78"/>
      <c r="K1" s="118" t="s">
        <v>0</v>
      </c>
      <c r="L1" s="118"/>
      <c r="M1" s="118"/>
      <c r="N1" s="118"/>
      <c r="O1" s="118"/>
      <c r="P1" s="119"/>
    </row>
    <row r="2" spans="1:27" ht="33.75" customHeight="1" x14ac:dyDescent="0.2">
      <c r="A2" s="154" t="s">
        <v>2</v>
      </c>
      <c r="B2" s="155" t="s">
        <v>3</v>
      </c>
      <c r="C2" s="155" t="s">
        <v>4</v>
      </c>
      <c r="D2" s="156" t="s">
        <v>5</v>
      </c>
      <c r="E2" s="156" t="s">
        <v>6</v>
      </c>
      <c r="F2" s="154" t="s">
        <v>7</v>
      </c>
      <c r="G2" s="155" t="s">
        <v>8</v>
      </c>
      <c r="H2" s="155" t="s">
        <v>9</v>
      </c>
      <c r="I2" s="155" t="s">
        <v>10</v>
      </c>
      <c r="J2" s="157" t="s">
        <v>11</v>
      </c>
      <c r="K2" s="158" t="s">
        <v>878</v>
      </c>
      <c r="L2" s="117" t="s">
        <v>14</v>
      </c>
      <c r="M2" s="117" t="s">
        <v>15</v>
      </c>
      <c r="N2" s="117" t="s">
        <v>16</v>
      </c>
      <c r="O2" s="117" t="s">
        <v>17</v>
      </c>
      <c r="P2" s="159" t="s">
        <v>18</v>
      </c>
    </row>
    <row r="3" spans="1:27" x14ac:dyDescent="0.2">
      <c r="A3" s="140" t="s">
        <v>19</v>
      </c>
      <c r="B3" s="140" t="s">
        <v>71</v>
      </c>
      <c r="C3" s="140" t="s">
        <v>66</v>
      </c>
      <c r="D3" s="149" t="s">
        <v>564</v>
      </c>
      <c r="E3" s="139" t="s">
        <v>653</v>
      </c>
      <c r="F3" s="162"/>
      <c r="G3" s="162"/>
      <c r="H3" s="160"/>
      <c r="I3" s="160"/>
      <c r="J3" s="160"/>
      <c r="K3" s="163"/>
      <c r="L3" s="163"/>
      <c r="M3" s="163"/>
      <c r="N3" s="163"/>
      <c r="O3" s="163"/>
      <c r="P3" s="164"/>
      <c r="Y3" s="82"/>
      <c r="Z3" s="82"/>
      <c r="AA3" s="82"/>
    </row>
    <row r="4" spans="1:27" x14ac:dyDescent="0.2">
      <c r="A4" s="140" t="s">
        <v>19</v>
      </c>
      <c r="B4" s="140" t="s">
        <v>71</v>
      </c>
      <c r="C4" s="140" t="s">
        <v>66</v>
      </c>
      <c r="D4" s="149" t="s">
        <v>568</v>
      </c>
      <c r="E4" s="139" t="s">
        <v>654</v>
      </c>
      <c r="F4" s="162"/>
      <c r="G4" s="162"/>
      <c r="H4" s="160"/>
      <c r="I4" s="160"/>
      <c r="J4" s="160"/>
      <c r="K4" s="163"/>
      <c r="L4" s="163"/>
      <c r="M4" s="163"/>
      <c r="N4" s="163"/>
      <c r="O4" s="163"/>
      <c r="P4" s="164"/>
    </row>
    <row r="5" spans="1:27" x14ac:dyDescent="0.2">
      <c r="A5" s="140" t="s">
        <v>19</v>
      </c>
      <c r="B5" s="140" t="s">
        <v>71</v>
      </c>
      <c r="C5" s="140" t="s">
        <v>66</v>
      </c>
      <c r="D5" s="149" t="s">
        <v>183</v>
      </c>
      <c r="E5" s="139" t="s">
        <v>184</v>
      </c>
      <c r="F5" s="162"/>
      <c r="G5" s="162"/>
      <c r="H5" s="162"/>
      <c r="I5" s="162"/>
      <c r="J5" s="162"/>
      <c r="K5" s="152"/>
      <c r="L5" s="152"/>
      <c r="M5" s="152"/>
      <c r="N5" s="152"/>
      <c r="O5" s="152"/>
      <c r="P5" s="152"/>
    </row>
    <row r="6" spans="1:27" x14ac:dyDescent="0.2">
      <c r="A6" s="140" t="s">
        <v>19</v>
      </c>
      <c r="B6" s="140" t="s">
        <v>71</v>
      </c>
      <c r="C6" s="140" t="s">
        <v>66</v>
      </c>
      <c r="D6" s="149" t="s">
        <v>185</v>
      </c>
      <c r="E6" s="139" t="s">
        <v>72</v>
      </c>
      <c r="F6" s="162"/>
      <c r="G6" s="162"/>
      <c r="H6" s="162"/>
      <c r="I6" s="162"/>
      <c r="J6" s="162"/>
      <c r="K6" s="152"/>
      <c r="L6" s="152"/>
      <c r="M6" s="152"/>
      <c r="N6" s="152"/>
      <c r="O6" s="152"/>
      <c r="P6" s="152"/>
    </row>
    <row r="7" spans="1:27" x14ac:dyDescent="0.2">
      <c r="A7" s="140" t="s">
        <v>19</v>
      </c>
      <c r="B7" s="140" t="s">
        <v>71</v>
      </c>
      <c r="C7" s="140" t="s">
        <v>66</v>
      </c>
      <c r="D7" s="149" t="s">
        <v>572</v>
      </c>
      <c r="E7" s="139" t="s">
        <v>655</v>
      </c>
      <c r="F7" s="162"/>
      <c r="G7" s="162"/>
      <c r="H7" s="162"/>
      <c r="I7" s="162"/>
      <c r="J7" s="162"/>
      <c r="K7" s="152"/>
      <c r="L7" s="152"/>
      <c r="M7" s="152"/>
      <c r="N7" s="152"/>
      <c r="O7" s="152"/>
      <c r="P7" s="152"/>
    </row>
    <row r="8" spans="1:27" x14ac:dyDescent="0.2">
      <c r="A8" s="140" t="s">
        <v>19</v>
      </c>
      <c r="B8" s="140" t="s">
        <v>71</v>
      </c>
      <c r="C8" s="140" t="s">
        <v>66</v>
      </c>
      <c r="D8" s="149" t="s">
        <v>230</v>
      </c>
      <c r="E8" s="139" t="s">
        <v>231</v>
      </c>
      <c r="F8" s="162"/>
      <c r="G8" s="162"/>
      <c r="H8" s="162"/>
      <c r="I8" s="162"/>
      <c r="J8" s="162"/>
      <c r="K8" s="152"/>
      <c r="L8" s="152"/>
      <c r="M8" s="152"/>
      <c r="N8" s="152"/>
      <c r="O8" s="152"/>
      <c r="P8" s="152"/>
    </row>
    <row r="9" spans="1:27" x14ac:dyDescent="0.2">
      <c r="A9" s="140" t="s">
        <v>19</v>
      </c>
      <c r="B9" s="140" t="s">
        <v>71</v>
      </c>
      <c r="C9" s="140" t="s">
        <v>66</v>
      </c>
      <c r="D9" s="149" t="s">
        <v>575</v>
      </c>
      <c r="E9" s="139" t="s">
        <v>656</v>
      </c>
      <c r="F9" s="162"/>
      <c r="G9" s="162"/>
      <c r="H9" s="162"/>
      <c r="I9" s="162"/>
      <c r="J9" s="162"/>
      <c r="K9" s="152"/>
      <c r="L9" s="152"/>
      <c r="M9" s="152"/>
      <c r="N9" s="152"/>
      <c r="O9" s="152"/>
      <c r="P9" s="152"/>
    </row>
    <row r="10" spans="1:27" x14ac:dyDescent="0.2">
      <c r="A10" s="140" t="s">
        <v>19</v>
      </c>
      <c r="B10" s="140" t="s">
        <v>71</v>
      </c>
      <c r="C10" s="140" t="s">
        <v>66</v>
      </c>
      <c r="D10" s="149" t="s">
        <v>577</v>
      </c>
      <c r="E10" s="139" t="s">
        <v>657</v>
      </c>
      <c r="F10" s="162"/>
      <c r="G10" s="162"/>
      <c r="H10" s="162"/>
      <c r="I10" s="162"/>
      <c r="J10" s="162"/>
      <c r="K10" s="152"/>
      <c r="L10" s="152"/>
      <c r="M10" s="152"/>
      <c r="N10" s="152"/>
      <c r="O10" s="152"/>
      <c r="P10" s="152"/>
    </row>
    <row r="11" spans="1:27" x14ac:dyDescent="0.2">
      <c r="A11" s="140" t="s">
        <v>19</v>
      </c>
      <c r="B11" s="140" t="s">
        <v>71</v>
      </c>
      <c r="C11" s="140" t="s">
        <v>66</v>
      </c>
      <c r="D11" s="149" t="s">
        <v>579</v>
      </c>
      <c r="E11" s="139" t="s">
        <v>658</v>
      </c>
      <c r="F11" s="162"/>
      <c r="G11" s="162"/>
      <c r="H11" s="162"/>
      <c r="I11" s="162"/>
      <c r="J11" s="162"/>
      <c r="K11" s="152"/>
      <c r="L11" s="152"/>
      <c r="M11" s="152"/>
      <c r="N11" s="152"/>
      <c r="O11" s="152"/>
      <c r="P11" s="152"/>
    </row>
    <row r="12" spans="1:27" x14ac:dyDescent="0.2">
      <c r="A12" s="140" t="s">
        <v>19</v>
      </c>
      <c r="B12" s="140" t="s">
        <v>71</v>
      </c>
      <c r="C12" s="140" t="s">
        <v>66</v>
      </c>
      <c r="D12" s="149" t="s">
        <v>581</v>
      </c>
      <c r="E12" s="139" t="s">
        <v>659</v>
      </c>
      <c r="F12" s="162"/>
      <c r="G12" s="162"/>
      <c r="H12" s="162"/>
      <c r="I12" s="162"/>
      <c r="J12" s="162"/>
      <c r="K12" s="152"/>
      <c r="L12" s="152"/>
      <c r="M12" s="152"/>
      <c r="N12" s="152"/>
      <c r="O12" s="152"/>
      <c r="P12" s="152"/>
    </row>
    <row r="13" spans="1:27" x14ac:dyDescent="0.2">
      <c r="A13" s="140" t="s">
        <v>19</v>
      </c>
      <c r="B13" s="140" t="s">
        <v>20</v>
      </c>
      <c r="C13" s="140" t="s">
        <v>66</v>
      </c>
      <c r="D13" s="149" t="s">
        <v>21</v>
      </c>
      <c r="E13" s="139" t="s">
        <v>22</v>
      </c>
      <c r="F13" s="162"/>
      <c r="G13" s="162"/>
      <c r="H13" s="162"/>
      <c r="I13" s="162"/>
      <c r="J13" s="162"/>
      <c r="K13" s="152"/>
      <c r="L13" s="152"/>
      <c r="M13" s="152"/>
      <c r="N13" s="152"/>
      <c r="O13" s="152"/>
      <c r="P13" s="152"/>
    </row>
    <row r="14" spans="1:27" x14ac:dyDescent="0.2">
      <c r="A14" s="140" t="s">
        <v>19</v>
      </c>
      <c r="B14" s="140" t="s">
        <v>20</v>
      </c>
      <c r="C14" s="140" t="s">
        <v>34</v>
      </c>
      <c r="D14" s="149" t="s">
        <v>35</v>
      </c>
      <c r="E14" s="139" t="s">
        <v>36</v>
      </c>
      <c r="F14" s="162"/>
      <c r="G14" s="162"/>
      <c r="H14" s="162"/>
      <c r="I14" s="162"/>
      <c r="J14" s="162"/>
      <c r="K14" s="152"/>
      <c r="L14" s="152"/>
      <c r="M14" s="152"/>
      <c r="N14" s="152"/>
      <c r="O14" s="152"/>
      <c r="P14" s="152"/>
    </row>
    <row r="15" spans="1:27" x14ac:dyDescent="0.2">
      <c r="A15" s="140" t="s">
        <v>19</v>
      </c>
      <c r="B15" s="140" t="s">
        <v>20</v>
      </c>
      <c r="C15" s="140" t="s">
        <v>34</v>
      </c>
      <c r="D15" s="149" t="s">
        <v>164</v>
      </c>
      <c r="E15" s="139" t="s">
        <v>165</v>
      </c>
      <c r="F15" s="162"/>
      <c r="G15" s="162"/>
      <c r="H15" s="166"/>
      <c r="I15" s="166"/>
      <c r="J15" s="166"/>
      <c r="P15" s="153"/>
    </row>
    <row r="16" spans="1:27" x14ac:dyDescent="0.2">
      <c r="A16" s="140" t="s">
        <v>19</v>
      </c>
      <c r="B16" s="140" t="s">
        <v>20</v>
      </c>
      <c r="C16" s="140" t="s">
        <v>34</v>
      </c>
      <c r="D16" s="149" t="s">
        <v>49</v>
      </c>
      <c r="E16" s="139" t="s">
        <v>50</v>
      </c>
      <c r="F16" s="162"/>
      <c r="G16" s="162"/>
      <c r="H16" s="162"/>
      <c r="I16" s="162"/>
      <c r="J16" s="162"/>
      <c r="K16" s="152"/>
      <c r="L16" s="152"/>
      <c r="M16" s="152"/>
      <c r="N16" s="152"/>
      <c r="O16" s="152"/>
      <c r="P16" s="152"/>
    </row>
    <row r="17" spans="1:20" x14ac:dyDescent="0.2">
      <c r="A17" s="140" t="s">
        <v>19</v>
      </c>
      <c r="B17" s="140" t="s">
        <v>20</v>
      </c>
      <c r="C17" s="140" t="s">
        <v>34</v>
      </c>
      <c r="D17" s="149" t="s">
        <v>62</v>
      </c>
      <c r="E17" s="139" t="s">
        <v>63</v>
      </c>
      <c r="F17" s="160"/>
      <c r="G17" s="160"/>
      <c r="H17" s="160"/>
      <c r="I17" s="160"/>
      <c r="J17" s="160"/>
      <c r="K17" s="152"/>
      <c r="L17" s="152"/>
      <c r="M17" s="152"/>
      <c r="N17" s="152"/>
      <c r="O17" s="152"/>
      <c r="P17" s="152"/>
    </row>
    <row r="18" spans="1:20" x14ac:dyDescent="0.2">
      <c r="A18" s="140" t="s">
        <v>19</v>
      </c>
      <c r="B18" s="140" t="s">
        <v>20</v>
      </c>
      <c r="C18" s="140" t="s">
        <v>34</v>
      </c>
      <c r="D18" s="149" t="s">
        <v>441</v>
      </c>
      <c r="E18" s="139" t="s">
        <v>729</v>
      </c>
      <c r="F18" s="160"/>
      <c r="G18" s="160"/>
      <c r="H18" s="160"/>
      <c r="I18" s="160"/>
      <c r="J18" s="160"/>
      <c r="K18" s="152"/>
      <c r="L18" s="152"/>
      <c r="M18" s="152"/>
      <c r="N18" s="152"/>
      <c r="O18" s="152"/>
      <c r="P18" s="152"/>
    </row>
    <row r="19" spans="1:20" x14ac:dyDescent="0.2">
      <c r="A19" s="140" t="s">
        <v>19</v>
      </c>
      <c r="B19" s="140" t="s">
        <v>20</v>
      </c>
      <c r="C19" s="140" t="s">
        <v>34</v>
      </c>
      <c r="D19" s="149" t="s">
        <v>113</v>
      </c>
      <c r="E19" s="139" t="s">
        <v>114</v>
      </c>
      <c r="F19" s="160"/>
      <c r="G19" s="160"/>
      <c r="H19" s="160"/>
      <c r="I19" s="160"/>
      <c r="J19" s="160"/>
      <c r="K19" s="152"/>
      <c r="L19" s="152"/>
      <c r="M19" s="152"/>
      <c r="N19" s="152"/>
      <c r="O19" s="152"/>
      <c r="P19" s="152"/>
    </row>
    <row r="20" spans="1:20" x14ac:dyDescent="0.2">
      <c r="A20" s="140" t="s">
        <v>19</v>
      </c>
      <c r="B20" s="140" t="s">
        <v>20</v>
      </c>
      <c r="C20" s="140" t="s">
        <v>34</v>
      </c>
      <c r="D20" s="149" t="s">
        <v>144</v>
      </c>
      <c r="E20" s="139" t="s">
        <v>145</v>
      </c>
      <c r="F20" s="160"/>
      <c r="G20" s="160"/>
      <c r="H20" s="160"/>
      <c r="I20" s="160"/>
      <c r="J20" s="160"/>
      <c r="K20" s="152"/>
      <c r="L20" s="152"/>
      <c r="M20" s="152"/>
      <c r="N20" s="152"/>
      <c r="O20" s="152"/>
      <c r="P20" s="152"/>
    </row>
    <row r="21" spans="1:20" x14ac:dyDescent="0.2">
      <c r="A21" s="140" t="s">
        <v>19</v>
      </c>
      <c r="B21" s="140" t="s">
        <v>20</v>
      </c>
      <c r="C21" s="140" t="s">
        <v>34</v>
      </c>
      <c r="D21" s="149" t="s">
        <v>827</v>
      </c>
      <c r="E21" s="139" t="s">
        <v>151</v>
      </c>
      <c r="F21" s="160"/>
      <c r="G21" s="160"/>
      <c r="H21" s="160"/>
      <c r="I21" s="160"/>
      <c r="J21" s="160"/>
      <c r="K21" s="152"/>
      <c r="L21" s="152"/>
      <c r="M21" s="152"/>
      <c r="N21" s="152"/>
      <c r="O21" s="152"/>
      <c r="P21" s="152"/>
      <c r="T21" s="83"/>
    </row>
    <row r="22" spans="1:20" x14ac:dyDescent="0.2">
      <c r="A22" s="140" t="s">
        <v>19</v>
      </c>
      <c r="B22" s="140" t="s">
        <v>20</v>
      </c>
      <c r="C22" s="140" t="s">
        <v>37</v>
      </c>
      <c r="D22" s="149" t="s">
        <v>828</v>
      </c>
      <c r="E22" s="139" t="s">
        <v>163</v>
      </c>
      <c r="F22" s="160"/>
      <c r="G22" s="160"/>
      <c r="H22" s="160"/>
      <c r="I22" s="160"/>
      <c r="J22" s="160"/>
      <c r="K22" s="152"/>
      <c r="L22" s="152"/>
      <c r="M22" s="152"/>
      <c r="N22" s="152"/>
      <c r="O22" s="152"/>
      <c r="P22" s="152"/>
    </row>
    <row r="23" spans="1:20" ht="0.6" customHeight="1" x14ac:dyDescent="0.2">
      <c r="A23" s="140" t="s">
        <v>19</v>
      </c>
      <c r="B23" s="140" t="s">
        <v>20</v>
      </c>
      <c r="C23" s="140" t="s">
        <v>37</v>
      </c>
      <c r="D23" s="149" t="s">
        <v>37</v>
      </c>
      <c r="E23" s="139" t="s">
        <v>77</v>
      </c>
      <c r="F23" s="160"/>
      <c r="G23" s="160"/>
      <c r="H23" s="160"/>
      <c r="I23" s="160"/>
      <c r="J23" s="160"/>
      <c r="K23" s="152"/>
      <c r="L23" s="152"/>
      <c r="M23" s="152"/>
      <c r="N23" s="152"/>
      <c r="O23" s="152"/>
      <c r="P23" s="152"/>
    </row>
    <row r="24" spans="1:20" x14ac:dyDescent="0.2">
      <c r="A24" s="140" t="s">
        <v>19</v>
      </c>
      <c r="B24" s="140" t="s">
        <v>20</v>
      </c>
      <c r="C24" s="140" t="s">
        <v>37</v>
      </c>
      <c r="D24" s="149" t="s">
        <v>76</v>
      </c>
      <c r="E24" s="139" t="s">
        <v>77</v>
      </c>
      <c r="F24" s="160"/>
      <c r="G24" s="160"/>
      <c r="H24" s="160"/>
      <c r="I24" s="160"/>
      <c r="J24" s="160"/>
      <c r="K24" s="152"/>
      <c r="L24" s="152"/>
      <c r="M24" s="152"/>
      <c r="N24" s="152"/>
      <c r="O24" s="152"/>
      <c r="P24" s="152"/>
    </row>
    <row r="25" spans="1:20" x14ac:dyDescent="0.2">
      <c r="A25" s="140" t="s">
        <v>19</v>
      </c>
      <c r="B25" s="140" t="s">
        <v>20</v>
      </c>
      <c r="C25" s="140" t="s">
        <v>37</v>
      </c>
      <c r="D25" s="149" t="s">
        <v>829</v>
      </c>
      <c r="E25" s="139" t="s">
        <v>122</v>
      </c>
      <c r="F25" s="160"/>
      <c r="G25" s="160"/>
      <c r="H25" s="160"/>
      <c r="I25" s="160"/>
      <c r="J25" s="160"/>
      <c r="K25" s="152"/>
      <c r="L25" s="152"/>
      <c r="M25" s="152"/>
      <c r="N25" s="152"/>
      <c r="O25" s="152"/>
      <c r="P25" s="152"/>
    </row>
    <row r="26" spans="1:20" x14ac:dyDescent="0.2">
      <c r="A26" s="140" t="s">
        <v>19</v>
      </c>
      <c r="B26" s="140" t="s">
        <v>20</v>
      </c>
      <c r="C26" s="140" t="s">
        <v>37</v>
      </c>
      <c r="D26" s="149" t="s">
        <v>152</v>
      </c>
      <c r="E26" s="139" t="s">
        <v>153</v>
      </c>
      <c r="F26" s="160"/>
      <c r="G26" s="160"/>
      <c r="H26" s="160"/>
      <c r="I26" s="160"/>
      <c r="J26" s="160"/>
      <c r="K26" s="152"/>
      <c r="L26" s="152"/>
      <c r="M26" s="152"/>
      <c r="N26" s="152"/>
      <c r="O26" s="152"/>
      <c r="P26" s="152"/>
    </row>
    <row r="27" spans="1:20" x14ac:dyDescent="0.2">
      <c r="A27" s="140" t="s">
        <v>19</v>
      </c>
      <c r="B27" s="140" t="s">
        <v>155</v>
      </c>
      <c r="C27" s="140" t="s">
        <v>66</v>
      </c>
      <c r="D27" s="149" t="s">
        <v>186</v>
      </c>
      <c r="E27" s="139" t="s">
        <v>187</v>
      </c>
      <c r="F27" s="160"/>
      <c r="G27" s="160"/>
      <c r="H27" s="160"/>
      <c r="I27" s="160"/>
      <c r="J27" s="160"/>
      <c r="K27" s="152"/>
      <c r="L27" s="152"/>
      <c r="M27" s="152"/>
      <c r="N27" s="152"/>
      <c r="O27" s="152"/>
      <c r="P27" s="152"/>
    </row>
    <row r="28" spans="1:20" x14ac:dyDescent="0.2">
      <c r="A28" s="140" t="s">
        <v>19</v>
      </c>
      <c r="B28" s="140" t="s">
        <v>155</v>
      </c>
      <c r="C28" s="140" t="s">
        <v>66</v>
      </c>
      <c r="D28" s="149" t="s">
        <v>159</v>
      </c>
      <c r="E28" s="139" t="s">
        <v>160</v>
      </c>
      <c r="F28" s="160"/>
      <c r="G28" s="160"/>
      <c r="H28" s="160"/>
      <c r="I28" s="160"/>
      <c r="J28" s="160"/>
      <c r="K28" s="152"/>
      <c r="L28" s="152"/>
      <c r="M28" s="152"/>
      <c r="N28" s="152"/>
      <c r="O28" s="152"/>
      <c r="P28" s="152"/>
    </row>
    <row r="29" spans="1:20" x14ac:dyDescent="0.2">
      <c r="A29" s="140" t="s">
        <v>19</v>
      </c>
      <c r="B29" s="140" t="s">
        <v>155</v>
      </c>
      <c r="C29" s="140" t="s">
        <v>66</v>
      </c>
      <c r="D29" s="149" t="s">
        <v>188</v>
      </c>
      <c r="E29" s="139" t="s">
        <v>189</v>
      </c>
      <c r="F29" s="160"/>
      <c r="G29" s="160"/>
      <c r="H29" s="160"/>
      <c r="I29" s="160"/>
      <c r="J29" s="160"/>
      <c r="K29" s="152"/>
      <c r="L29" s="152"/>
      <c r="M29" s="152"/>
      <c r="N29" s="152"/>
      <c r="O29" s="152"/>
      <c r="P29" s="152"/>
    </row>
    <row r="30" spans="1:20" x14ac:dyDescent="0.2">
      <c r="A30" s="140" t="s">
        <v>19</v>
      </c>
      <c r="B30" s="140" t="s">
        <v>155</v>
      </c>
      <c r="C30" s="140" t="s">
        <v>66</v>
      </c>
      <c r="D30" s="149" t="s">
        <v>190</v>
      </c>
      <c r="E30" s="139" t="s">
        <v>191</v>
      </c>
      <c r="F30" s="160"/>
      <c r="G30" s="160"/>
      <c r="H30" s="160"/>
      <c r="I30" s="160"/>
      <c r="J30" s="160"/>
      <c r="K30" s="152"/>
      <c r="L30" s="152"/>
      <c r="M30" s="152"/>
      <c r="N30" s="152"/>
      <c r="O30" s="152"/>
      <c r="P30" s="152"/>
    </row>
    <row r="31" spans="1:20" x14ac:dyDescent="0.2">
      <c r="A31" s="140" t="s">
        <v>19</v>
      </c>
      <c r="B31" s="140" t="s">
        <v>155</v>
      </c>
      <c r="C31" s="140" t="s">
        <v>66</v>
      </c>
      <c r="D31" s="149" t="s">
        <v>192</v>
      </c>
      <c r="E31" s="139" t="s">
        <v>193</v>
      </c>
      <c r="F31" s="160"/>
      <c r="G31" s="160"/>
      <c r="H31" s="160"/>
      <c r="I31" s="160"/>
      <c r="J31" s="160"/>
      <c r="K31" s="152"/>
      <c r="L31" s="152"/>
      <c r="M31" s="152"/>
      <c r="N31" s="152"/>
      <c r="O31" s="152"/>
      <c r="P31" s="152"/>
    </row>
    <row r="32" spans="1:20" x14ac:dyDescent="0.2">
      <c r="A32" s="140" t="s">
        <v>19</v>
      </c>
      <c r="B32" s="140" t="s">
        <v>155</v>
      </c>
      <c r="C32" s="140" t="s">
        <v>66</v>
      </c>
      <c r="D32" s="149" t="s">
        <v>194</v>
      </c>
      <c r="E32" s="139" t="s">
        <v>195</v>
      </c>
      <c r="F32" s="160"/>
      <c r="G32" s="160"/>
      <c r="H32" s="160"/>
      <c r="I32" s="160"/>
      <c r="J32" s="160"/>
      <c r="K32" s="152"/>
      <c r="L32" s="152"/>
      <c r="M32" s="152"/>
      <c r="N32" s="152"/>
      <c r="O32" s="152"/>
      <c r="P32" s="152"/>
    </row>
    <row r="33" spans="1:16" x14ac:dyDescent="0.2">
      <c r="A33" s="140" t="s">
        <v>19</v>
      </c>
      <c r="B33" s="140" t="s">
        <v>155</v>
      </c>
      <c r="C33" s="140" t="s">
        <v>66</v>
      </c>
      <c r="D33" s="149" t="s">
        <v>156</v>
      </c>
      <c r="E33" s="139" t="s">
        <v>157</v>
      </c>
      <c r="F33" s="160"/>
      <c r="G33" s="160"/>
      <c r="H33" s="160"/>
      <c r="I33" s="160"/>
      <c r="J33" s="160"/>
      <c r="K33" s="152"/>
      <c r="L33" s="152"/>
      <c r="M33" s="152"/>
      <c r="N33" s="152"/>
      <c r="O33" s="152"/>
      <c r="P33" s="152"/>
    </row>
    <row r="34" spans="1:16" x14ac:dyDescent="0.2">
      <c r="A34" s="140" t="s">
        <v>19</v>
      </c>
      <c r="B34" s="140" t="s">
        <v>155</v>
      </c>
      <c r="C34" s="140" t="s">
        <v>66</v>
      </c>
      <c r="D34" s="149" t="s">
        <v>196</v>
      </c>
      <c r="E34" s="139" t="s">
        <v>197</v>
      </c>
      <c r="F34" s="160"/>
      <c r="G34" s="160"/>
      <c r="H34" s="160"/>
      <c r="I34" s="160"/>
      <c r="J34" s="160"/>
      <c r="K34" s="152"/>
      <c r="L34" s="152"/>
      <c r="M34" s="152"/>
      <c r="N34" s="152"/>
      <c r="O34" s="152"/>
      <c r="P34" s="152"/>
    </row>
    <row r="35" spans="1:16" x14ac:dyDescent="0.2">
      <c r="A35" s="140" t="s">
        <v>19</v>
      </c>
      <c r="B35" s="140" t="s">
        <v>44</v>
      </c>
      <c r="C35" s="140" t="s">
        <v>812</v>
      </c>
      <c r="D35" s="149" t="s">
        <v>517</v>
      </c>
      <c r="E35" s="139" t="s">
        <v>676</v>
      </c>
      <c r="F35" s="160"/>
      <c r="G35" s="160"/>
      <c r="H35" s="160"/>
      <c r="I35" s="160"/>
      <c r="J35" s="160"/>
      <c r="K35" s="152"/>
      <c r="L35" s="152"/>
      <c r="M35" s="152"/>
      <c r="N35" s="152"/>
      <c r="O35" s="152"/>
      <c r="P35" s="152"/>
    </row>
    <row r="36" spans="1:16" x14ac:dyDescent="0.2">
      <c r="A36" s="140" t="s">
        <v>19</v>
      </c>
      <c r="B36" s="140" t="s">
        <v>44</v>
      </c>
      <c r="C36" s="140" t="s">
        <v>812</v>
      </c>
      <c r="D36" s="149" t="s">
        <v>830</v>
      </c>
      <c r="E36" s="139" t="s">
        <v>677</v>
      </c>
      <c r="F36" s="160"/>
      <c r="G36" s="160"/>
      <c r="H36" s="161"/>
      <c r="I36" s="161"/>
      <c r="J36" s="161"/>
      <c r="K36" s="152"/>
      <c r="L36" s="152"/>
      <c r="M36" s="152"/>
      <c r="N36" s="152"/>
      <c r="O36" s="152"/>
      <c r="P36" s="152"/>
    </row>
    <row r="37" spans="1:16" x14ac:dyDescent="0.2">
      <c r="A37" s="140" t="s">
        <v>19</v>
      </c>
      <c r="B37" s="140" t="s">
        <v>44</v>
      </c>
      <c r="C37" s="140" t="s">
        <v>812</v>
      </c>
      <c r="D37" s="149" t="s">
        <v>831</v>
      </c>
      <c r="E37" s="139" t="s">
        <v>678</v>
      </c>
      <c r="F37" s="160"/>
      <c r="G37" s="160"/>
      <c r="H37" s="161"/>
      <c r="I37" s="161"/>
      <c r="J37" s="161"/>
      <c r="K37" s="152"/>
      <c r="L37" s="152"/>
      <c r="M37" s="152"/>
      <c r="N37" s="152"/>
      <c r="O37" s="152"/>
      <c r="P37" s="152"/>
    </row>
    <row r="38" spans="1:16" x14ac:dyDescent="0.2">
      <c r="A38" s="140" t="s">
        <v>19</v>
      </c>
      <c r="B38" s="140" t="s">
        <v>44</v>
      </c>
      <c r="C38" s="140" t="s">
        <v>812</v>
      </c>
      <c r="D38" s="149" t="s">
        <v>204</v>
      </c>
      <c r="E38" s="139" t="s">
        <v>205</v>
      </c>
      <c r="F38" s="160"/>
      <c r="G38" s="160"/>
      <c r="H38" s="161"/>
      <c r="I38" s="161"/>
      <c r="J38" s="161"/>
      <c r="K38" s="152"/>
      <c r="L38" s="152"/>
      <c r="M38" s="152"/>
      <c r="N38" s="152"/>
      <c r="O38" s="152"/>
      <c r="P38" s="152"/>
    </row>
    <row r="39" spans="1:16" x14ac:dyDescent="0.2">
      <c r="A39" s="140" t="s">
        <v>19</v>
      </c>
      <c r="B39" s="140" t="s">
        <v>44</v>
      </c>
      <c r="C39" s="140" t="s">
        <v>812</v>
      </c>
      <c r="D39" s="149" t="s">
        <v>198</v>
      </c>
      <c r="E39" s="139" t="s">
        <v>199</v>
      </c>
      <c r="F39" s="160"/>
      <c r="G39" s="160"/>
      <c r="H39" s="160"/>
      <c r="I39" s="160"/>
      <c r="J39" s="160"/>
      <c r="K39" s="152"/>
      <c r="L39" s="152"/>
      <c r="M39" s="152"/>
      <c r="N39" s="152"/>
      <c r="O39" s="152"/>
      <c r="P39" s="152"/>
    </row>
    <row r="40" spans="1:16" x14ac:dyDescent="0.2">
      <c r="A40" s="140" t="s">
        <v>19</v>
      </c>
      <c r="B40" s="140" t="s">
        <v>44</v>
      </c>
      <c r="C40" s="140" t="s">
        <v>812</v>
      </c>
      <c r="D40" s="149" t="s">
        <v>200</v>
      </c>
      <c r="E40" s="139" t="s">
        <v>201</v>
      </c>
      <c r="F40" s="160"/>
      <c r="G40" s="160"/>
      <c r="H40" s="160"/>
      <c r="I40" s="160"/>
      <c r="J40" s="160"/>
      <c r="K40" s="152"/>
      <c r="L40" s="152"/>
      <c r="M40" s="152"/>
      <c r="N40" s="152"/>
      <c r="O40" s="152"/>
      <c r="P40" s="152"/>
    </row>
    <row r="41" spans="1:16" x14ac:dyDescent="0.2">
      <c r="A41" s="140" t="s">
        <v>19</v>
      </c>
      <c r="B41" s="140" t="s">
        <v>44</v>
      </c>
      <c r="C41" s="140" t="s">
        <v>812</v>
      </c>
      <c r="D41" s="149" t="s">
        <v>832</v>
      </c>
      <c r="E41" s="139" t="s">
        <v>679</v>
      </c>
      <c r="F41" s="160"/>
      <c r="G41" s="160"/>
      <c r="H41" s="160"/>
      <c r="I41" s="160"/>
      <c r="J41" s="160"/>
      <c r="K41" s="152"/>
      <c r="L41" s="152"/>
      <c r="M41" s="152"/>
      <c r="N41" s="152"/>
      <c r="O41" s="152"/>
      <c r="P41" s="152"/>
    </row>
    <row r="42" spans="1:16" x14ac:dyDescent="0.2">
      <c r="A42" s="140" t="s">
        <v>19</v>
      </c>
      <c r="B42" s="140" t="s">
        <v>44</v>
      </c>
      <c r="C42" s="140" t="s">
        <v>812</v>
      </c>
      <c r="D42" s="149" t="s">
        <v>45</v>
      </c>
      <c r="E42" s="139" t="s">
        <v>46</v>
      </c>
      <c r="F42" s="160"/>
      <c r="G42" s="160"/>
      <c r="H42" s="160"/>
      <c r="I42" s="160"/>
      <c r="J42" s="160"/>
      <c r="K42" s="152"/>
      <c r="L42" s="152"/>
      <c r="M42" s="152"/>
      <c r="N42" s="152"/>
      <c r="O42" s="152"/>
      <c r="P42" s="152"/>
    </row>
    <row r="43" spans="1:16" x14ac:dyDescent="0.2">
      <c r="A43" s="140" t="s">
        <v>19</v>
      </c>
      <c r="B43" s="140" t="s">
        <v>44</v>
      </c>
      <c r="C43" s="140" t="s">
        <v>812</v>
      </c>
      <c r="D43" s="149" t="s">
        <v>526</v>
      </c>
      <c r="E43" s="139" t="s">
        <v>680</v>
      </c>
      <c r="F43" s="160"/>
      <c r="G43" s="160"/>
      <c r="H43" s="160"/>
      <c r="I43" s="160"/>
      <c r="J43" s="160"/>
      <c r="K43" s="152"/>
      <c r="L43" s="152"/>
      <c r="M43" s="152"/>
      <c r="N43" s="152"/>
      <c r="O43" s="152"/>
      <c r="P43" s="152"/>
    </row>
    <row r="44" spans="1:16" x14ac:dyDescent="0.2">
      <c r="A44" s="140" t="s">
        <v>19</v>
      </c>
      <c r="B44" s="140" t="s">
        <v>44</v>
      </c>
      <c r="C44" s="140" t="s">
        <v>812</v>
      </c>
      <c r="D44" s="149" t="s">
        <v>833</v>
      </c>
      <c r="E44" s="139" t="s">
        <v>681</v>
      </c>
      <c r="F44" s="160"/>
      <c r="G44" s="160"/>
      <c r="H44" s="160"/>
      <c r="I44" s="160"/>
      <c r="J44" s="160"/>
      <c r="K44" s="152"/>
      <c r="L44" s="152"/>
      <c r="M44" s="152"/>
      <c r="N44" s="152"/>
      <c r="O44" s="152"/>
      <c r="P44" s="152"/>
    </row>
    <row r="45" spans="1:16" x14ac:dyDescent="0.2">
      <c r="A45" s="140" t="s">
        <v>19</v>
      </c>
      <c r="B45" s="140" t="s">
        <v>44</v>
      </c>
      <c r="C45" s="140" t="s">
        <v>812</v>
      </c>
      <c r="D45" s="149" t="s">
        <v>834</v>
      </c>
      <c r="E45" s="139" t="s">
        <v>682</v>
      </c>
      <c r="F45" s="160"/>
      <c r="G45" s="160"/>
      <c r="H45" s="160"/>
      <c r="I45" s="160"/>
      <c r="J45" s="160"/>
      <c r="K45" s="152"/>
      <c r="L45" s="152"/>
      <c r="M45" s="152"/>
      <c r="N45" s="152"/>
      <c r="O45" s="152"/>
      <c r="P45" s="152"/>
    </row>
    <row r="46" spans="1:16" x14ac:dyDescent="0.2">
      <c r="A46" s="140" t="s">
        <v>19</v>
      </c>
      <c r="B46" s="140" t="s">
        <v>44</v>
      </c>
      <c r="C46" s="140" t="s">
        <v>812</v>
      </c>
      <c r="D46" s="149" t="s">
        <v>835</v>
      </c>
      <c r="E46" s="139" t="s">
        <v>683</v>
      </c>
      <c r="F46" s="160"/>
      <c r="G46" s="160"/>
      <c r="H46" s="160"/>
      <c r="I46" s="160"/>
      <c r="J46" s="160"/>
      <c r="K46" s="152"/>
      <c r="L46" s="152"/>
      <c r="M46" s="152"/>
      <c r="N46" s="152"/>
      <c r="O46" s="152"/>
      <c r="P46" s="152"/>
    </row>
    <row r="47" spans="1:16" x14ac:dyDescent="0.2">
      <c r="A47" s="140" t="s">
        <v>19</v>
      </c>
      <c r="B47" s="140" t="s">
        <v>44</v>
      </c>
      <c r="C47" s="140" t="s">
        <v>812</v>
      </c>
      <c r="D47" s="149" t="s">
        <v>836</v>
      </c>
      <c r="E47" s="139" t="s">
        <v>684</v>
      </c>
      <c r="F47" s="160"/>
      <c r="G47" s="160"/>
      <c r="H47" s="160"/>
      <c r="I47" s="160"/>
      <c r="J47" s="160"/>
      <c r="K47" s="152"/>
      <c r="L47" s="152"/>
      <c r="M47" s="152"/>
      <c r="N47" s="152"/>
      <c r="O47" s="152"/>
      <c r="P47" s="152"/>
    </row>
    <row r="48" spans="1:16" x14ac:dyDescent="0.2">
      <c r="A48" s="140" t="s">
        <v>19</v>
      </c>
      <c r="B48" s="140" t="s">
        <v>44</v>
      </c>
      <c r="C48" s="140" t="s">
        <v>812</v>
      </c>
      <c r="D48" s="149" t="s">
        <v>837</v>
      </c>
      <c r="E48" s="139" t="s">
        <v>685</v>
      </c>
      <c r="F48" s="160"/>
      <c r="G48" s="160"/>
      <c r="H48" s="160"/>
      <c r="I48" s="160"/>
      <c r="J48" s="160"/>
      <c r="K48" s="152"/>
      <c r="L48" s="152"/>
      <c r="M48" s="152"/>
      <c r="N48" s="152"/>
      <c r="O48" s="152"/>
      <c r="P48" s="152"/>
    </row>
    <row r="49" spans="1:16" x14ac:dyDescent="0.2">
      <c r="A49" s="140" t="s">
        <v>19</v>
      </c>
      <c r="B49" s="140" t="s">
        <v>44</v>
      </c>
      <c r="C49" s="140" t="s">
        <v>812</v>
      </c>
      <c r="D49" s="149" t="s">
        <v>838</v>
      </c>
      <c r="E49" s="139" t="s">
        <v>686</v>
      </c>
      <c r="F49" s="160"/>
      <c r="G49" s="160"/>
      <c r="H49" s="160"/>
      <c r="I49" s="160"/>
      <c r="J49" s="160"/>
      <c r="K49" s="152"/>
      <c r="L49" s="152"/>
      <c r="M49" s="152"/>
      <c r="N49" s="152"/>
      <c r="O49" s="152"/>
      <c r="P49" s="152"/>
    </row>
    <row r="50" spans="1:16" x14ac:dyDescent="0.2">
      <c r="A50" s="140" t="s">
        <v>19</v>
      </c>
      <c r="B50" s="140" t="s">
        <v>44</v>
      </c>
      <c r="C50" s="140" t="s">
        <v>812</v>
      </c>
      <c r="D50" s="149" t="s">
        <v>534</v>
      </c>
      <c r="E50" s="139" t="s">
        <v>687</v>
      </c>
      <c r="F50" s="160"/>
      <c r="G50" s="160"/>
      <c r="H50" s="160"/>
      <c r="I50" s="160"/>
      <c r="J50" s="160"/>
      <c r="K50" s="152"/>
      <c r="L50" s="152"/>
      <c r="M50" s="152"/>
      <c r="N50" s="152"/>
      <c r="O50" s="152"/>
      <c r="P50" s="152"/>
    </row>
    <row r="51" spans="1:16" x14ac:dyDescent="0.2">
      <c r="A51" s="140" t="s">
        <v>19</v>
      </c>
      <c r="B51" s="140" t="s">
        <v>44</v>
      </c>
      <c r="C51" s="140" t="s">
        <v>812</v>
      </c>
      <c r="D51" s="149" t="s">
        <v>100</v>
      </c>
      <c r="E51" s="139" t="s">
        <v>101</v>
      </c>
      <c r="F51" s="160"/>
      <c r="G51" s="160"/>
      <c r="H51" s="160"/>
      <c r="I51" s="160"/>
      <c r="J51" s="160"/>
      <c r="K51" s="152"/>
      <c r="L51" s="152"/>
      <c r="M51" s="152"/>
      <c r="N51" s="152"/>
      <c r="O51" s="152"/>
      <c r="P51" s="152"/>
    </row>
    <row r="52" spans="1:16" x14ac:dyDescent="0.2">
      <c r="A52" s="140" t="s">
        <v>19</v>
      </c>
      <c r="B52" s="140" t="s">
        <v>44</v>
      </c>
      <c r="C52" s="140" t="s">
        <v>812</v>
      </c>
      <c r="D52" s="149" t="s">
        <v>202</v>
      </c>
      <c r="E52" s="139" t="s">
        <v>203</v>
      </c>
      <c r="F52" s="160"/>
      <c r="G52" s="160"/>
      <c r="H52" s="160"/>
      <c r="I52" s="160"/>
      <c r="J52" s="160"/>
      <c r="K52" s="152"/>
      <c r="L52" s="152"/>
      <c r="M52" s="152"/>
      <c r="N52" s="152"/>
      <c r="O52" s="152"/>
      <c r="P52" s="152"/>
    </row>
    <row r="53" spans="1:16" x14ac:dyDescent="0.2">
      <c r="A53" s="140" t="s">
        <v>19</v>
      </c>
      <c r="B53" s="140" t="s">
        <v>44</v>
      </c>
      <c r="C53" s="140" t="s">
        <v>812</v>
      </c>
      <c r="D53" s="149" t="s">
        <v>538</v>
      </c>
      <c r="E53" s="139" t="s">
        <v>115</v>
      </c>
      <c r="F53" s="160"/>
      <c r="G53" s="160"/>
      <c r="H53" s="160"/>
      <c r="I53" s="160"/>
      <c r="J53" s="160"/>
      <c r="K53" s="152"/>
      <c r="L53" s="152"/>
      <c r="M53" s="152"/>
      <c r="N53" s="152"/>
      <c r="O53" s="152"/>
      <c r="P53" s="152"/>
    </row>
    <row r="54" spans="1:16" x14ac:dyDescent="0.2">
      <c r="A54" s="140" t="s">
        <v>19</v>
      </c>
      <c r="B54" s="140" t="s">
        <v>44</v>
      </c>
      <c r="C54" s="140" t="s">
        <v>812</v>
      </c>
      <c r="D54" s="149" t="s">
        <v>539</v>
      </c>
      <c r="E54" s="139" t="s">
        <v>688</v>
      </c>
      <c r="F54" s="160"/>
      <c r="G54" s="160"/>
      <c r="H54" s="160"/>
      <c r="I54" s="160"/>
      <c r="J54" s="160"/>
      <c r="K54" s="152"/>
      <c r="L54" s="152"/>
      <c r="M54" s="152"/>
      <c r="N54" s="152"/>
      <c r="O54" s="152"/>
      <c r="P54" s="152"/>
    </row>
    <row r="55" spans="1:16" x14ac:dyDescent="0.2">
      <c r="A55" s="140" t="s">
        <v>19</v>
      </c>
      <c r="B55" s="140" t="s">
        <v>44</v>
      </c>
      <c r="C55" s="140" t="s">
        <v>812</v>
      </c>
      <c r="D55" s="149" t="s">
        <v>541</v>
      </c>
      <c r="E55" s="139" t="s">
        <v>689</v>
      </c>
      <c r="F55" s="162"/>
      <c r="G55" s="160"/>
      <c r="H55" s="160"/>
      <c r="I55" s="160"/>
      <c r="J55" s="160"/>
      <c r="K55" s="152"/>
      <c r="L55" s="152"/>
      <c r="M55" s="152"/>
      <c r="N55" s="152"/>
      <c r="O55" s="152"/>
      <c r="P55" s="152"/>
    </row>
    <row r="56" spans="1:16" x14ac:dyDescent="0.2">
      <c r="A56" s="140" t="s">
        <v>19</v>
      </c>
      <c r="B56" s="140" t="s">
        <v>44</v>
      </c>
      <c r="C56" s="140" t="s">
        <v>812</v>
      </c>
      <c r="D56" s="149" t="s">
        <v>543</v>
      </c>
      <c r="E56" s="139" t="s">
        <v>690</v>
      </c>
      <c r="F56" s="160"/>
      <c r="G56" s="160"/>
      <c r="H56" s="160"/>
      <c r="I56" s="160"/>
      <c r="J56" s="160"/>
      <c r="K56" s="152"/>
      <c r="L56" s="152"/>
      <c r="M56" s="152"/>
      <c r="N56" s="152"/>
      <c r="O56" s="152"/>
      <c r="P56" s="152"/>
    </row>
    <row r="57" spans="1:16" x14ac:dyDescent="0.2">
      <c r="A57" s="140" t="s">
        <v>19</v>
      </c>
      <c r="B57" s="140" t="s">
        <v>44</v>
      </c>
      <c r="C57" s="140" t="s">
        <v>812</v>
      </c>
      <c r="D57" s="149" t="s">
        <v>545</v>
      </c>
      <c r="E57" s="139" t="s">
        <v>691</v>
      </c>
      <c r="F57" s="160"/>
      <c r="G57" s="160"/>
      <c r="H57" s="160"/>
      <c r="I57" s="160"/>
      <c r="J57" s="160"/>
      <c r="K57" s="152"/>
      <c r="L57" s="152"/>
      <c r="M57" s="152"/>
      <c r="N57" s="152"/>
      <c r="O57" s="152"/>
      <c r="P57" s="152"/>
    </row>
    <row r="58" spans="1:16" x14ac:dyDescent="0.2">
      <c r="A58" s="140" t="s">
        <v>19</v>
      </c>
      <c r="B58" s="140" t="s">
        <v>44</v>
      </c>
      <c r="C58" s="140" t="s">
        <v>812</v>
      </c>
      <c r="D58" s="149" t="s">
        <v>839</v>
      </c>
      <c r="E58" s="139" t="s">
        <v>692</v>
      </c>
      <c r="F58" s="160"/>
      <c r="G58" s="160"/>
      <c r="H58" s="160"/>
      <c r="I58" s="160"/>
      <c r="J58" s="160"/>
      <c r="K58" s="152"/>
      <c r="L58" s="152"/>
      <c r="M58" s="152"/>
      <c r="N58" s="152"/>
      <c r="O58" s="152"/>
      <c r="P58" s="152"/>
    </row>
    <row r="59" spans="1:16" x14ac:dyDescent="0.2">
      <c r="A59" s="140" t="s">
        <v>19</v>
      </c>
      <c r="B59" s="140" t="s">
        <v>44</v>
      </c>
      <c r="C59" s="140" t="s">
        <v>812</v>
      </c>
      <c r="D59" s="149" t="s">
        <v>146</v>
      </c>
      <c r="E59" s="139" t="s">
        <v>147</v>
      </c>
      <c r="F59" s="160"/>
      <c r="G59" s="160"/>
      <c r="H59" s="160"/>
      <c r="I59" s="160"/>
      <c r="J59" s="160"/>
      <c r="K59" s="152"/>
      <c r="L59" s="152"/>
      <c r="M59" s="152"/>
      <c r="N59" s="152"/>
      <c r="O59" s="152"/>
      <c r="P59" s="152"/>
    </row>
    <row r="60" spans="1:16" x14ac:dyDescent="0.2">
      <c r="A60" s="140" t="s">
        <v>19</v>
      </c>
      <c r="B60" s="140" t="s">
        <v>44</v>
      </c>
      <c r="C60" s="140" t="s">
        <v>69</v>
      </c>
      <c r="D60" s="149" t="s">
        <v>470</v>
      </c>
      <c r="E60" s="139" t="s">
        <v>718</v>
      </c>
      <c r="F60" s="162"/>
      <c r="G60" s="160"/>
      <c r="H60" s="160"/>
      <c r="I60" s="160"/>
      <c r="J60" s="160"/>
      <c r="K60" s="152"/>
      <c r="L60" s="152"/>
      <c r="M60" s="152"/>
      <c r="N60" s="152"/>
      <c r="O60" s="152"/>
      <c r="P60" s="152"/>
    </row>
    <row r="61" spans="1:16" x14ac:dyDescent="0.2">
      <c r="A61" s="140" t="s">
        <v>19</v>
      </c>
      <c r="B61" s="140" t="s">
        <v>44</v>
      </c>
      <c r="C61" s="140" t="s">
        <v>69</v>
      </c>
      <c r="D61" s="149" t="s">
        <v>69</v>
      </c>
      <c r="E61" s="139" t="s">
        <v>70</v>
      </c>
      <c r="F61" s="160"/>
      <c r="G61" s="160"/>
      <c r="H61" s="161"/>
      <c r="I61" s="161"/>
      <c r="J61" s="161"/>
      <c r="K61" s="81"/>
      <c r="L61" s="81"/>
      <c r="M61" s="81"/>
      <c r="N61" s="81"/>
      <c r="O61" s="81"/>
      <c r="P61" s="81"/>
    </row>
    <row r="62" spans="1:16" x14ac:dyDescent="0.2">
      <c r="A62" s="140" t="s">
        <v>19</v>
      </c>
      <c r="B62" s="140" t="s">
        <v>73</v>
      </c>
      <c r="C62" s="140" t="s">
        <v>74</v>
      </c>
      <c r="D62" s="149" t="s">
        <v>454</v>
      </c>
      <c r="E62" s="139" t="s">
        <v>724</v>
      </c>
      <c r="F62" s="162"/>
      <c r="G62" s="160"/>
      <c r="H62" s="160"/>
      <c r="I62" s="160"/>
      <c r="J62" s="160"/>
      <c r="K62" s="81"/>
      <c r="L62" s="81"/>
      <c r="M62" s="81"/>
      <c r="N62" s="81"/>
      <c r="O62" s="81"/>
      <c r="P62" s="81"/>
    </row>
    <row r="63" spans="1:16" x14ac:dyDescent="0.2">
      <c r="A63" s="140" t="s">
        <v>19</v>
      </c>
      <c r="B63" s="140" t="s">
        <v>73</v>
      </c>
      <c r="C63" s="140" t="s">
        <v>74</v>
      </c>
      <c r="D63" s="149" t="s">
        <v>206</v>
      </c>
      <c r="E63" s="139" t="s">
        <v>207</v>
      </c>
      <c r="F63" s="160"/>
      <c r="G63" s="160"/>
      <c r="H63" s="161"/>
      <c r="I63" s="161"/>
      <c r="J63" s="161"/>
      <c r="K63" s="81"/>
      <c r="L63" s="81"/>
      <c r="M63" s="81"/>
      <c r="N63" s="81"/>
      <c r="O63" s="81"/>
      <c r="P63" s="81"/>
    </row>
    <row r="64" spans="1:16" x14ac:dyDescent="0.2">
      <c r="A64" s="140" t="s">
        <v>19</v>
      </c>
      <c r="B64" s="140" t="s">
        <v>73</v>
      </c>
      <c r="C64" s="140" t="s">
        <v>74</v>
      </c>
      <c r="D64" s="149" t="s">
        <v>459</v>
      </c>
      <c r="E64" s="139" t="s">
        <v>725</v>
      </c>
      <c r="F64" s="162"/>
      <c r="G64" s="160"/>
      <c r="H64" s="160"/>
      <c r="I64" s="160"/>
      <c r="J64" s="160"/>
      <c r="K64" s="81"/>
      <c r="P64" s="81"/>
    </row>
    <row r="65" spans="1:16" x14ac:dyDescent="0.2">
      <c r="A65" s="140" t="s">
        <v>19</v>
      </c>
      <c r="B65" s="140" t="s">
        <v>73</v>
      </c>
      <c r="C65" s="140" t="s">
        <v>74</v>
      </c>
      <c r="D65" s="149" t="s">
        <v>208</v>
      </c>
      <c r="E65" s="139" t="s">
        <v>209</v>
      </c>
      <c r="F65" s="162"/>
      <c r="G65" s="160"/>
      <c r="H65" s="160"/>
      <c r="I65" s="160"/>
      <c r="J65" s="160"/>
      <c r="K65" s="81"/>
      <c r="L65" s="81"/>
      <c r="M65" s="81"/>
      <c r="N65" s="81"/>
      <c r="O65" s="81"/>
      <c r="P65" s="81"/>
    </row>
    <row r="66" spans="1:16" x14ac:dyDescent="0.2">
      <c r="A66" s="140" t="s">
        <v>19</v>
      </c>
      <c r="B66" s="140" t="s">
        <v>73</v>
      </c>
      <c r="C66" s="140" t="s">
        <v>74</v>
      </c>
      <c r="D66" s="149" t="s">
        <v>210</v>
      </c>
      <c r="E66" s="139" t="s">
        <v>211</v>
      </c>
      <c r="F66" s="162"/>
      <c r="G66" s="160"/>
      <c r="H66" s="160"/>
      <c r="I66" s="160"/>
      <c r="J66" s="160"/>
      <c r="K66" s="81"/>
      <c r="L66" s="81"/>
      <c r="M66" s="81"/>
      <c r="N66" s="81"/>
      <c r="O66" s="81"/>
      <c r="P66" s="81"/>
    </row>
    <row r="67" spans="1:16" x14ac:dyDescent="0.2">
      <c r="A67" s="140" t="s">
        <v>19</v>
      </c>
      <c r="B67" s="140" t="s">
        <v>73</v>
      </c>
      <c r="C67" s="140" t="s">
        <v>74</v>
      </c>
      <c r="D67" s="149" t="s">
        <v>212</v>
      </c>
      <c r="E67" s="139" t="s">
        <v>213</v>
      </c>
      <c r="F67" s="162"/>
      <c r="G67" s="160"/>
      <c r="H67" s="160"/>
      <c r="I67" s="160"/>
      <c r="J67" s="160"/>
      <c r="K67" s="81"/>
      <c r="L67" s="81"/>
      <c r="M67" s="81"/>
      <c r="N67" s="81"/>
      <c r="O67" s="81"/>
      <c r="P67" s="81"/>
    </row>
    <row r="68" spans="1:16" x14ac:dyDescent="0.2">
      <c r="A68" s="140" t="s">
        <v>19</v>
      </c>
      <c r="B68" s="140" t="s">
        <v>73</v>
      </c>
      <c r="C68" s="140" t="s">
        <v>74</v>
      </c>
      <c r="D68" s="149" t="s">
        <v>74</v>
      </c>
      <c r="E68" s="139" t="s">
        <v>75</v>
      </c>
      <c r="F68" s="162"/>
      <c r="G68" s="160"/>
      <c r="H68" s="160"/>
      <c r="I68" s="160"/>
      <c r="J68" s="160"/>
      <c r="K68" s="81"/>
      <c r="L68" s="81"/>
      <c r="M68" s="81"/>
      <c r="N68" s="81"/>
      <c r="O68" s="81"/>
      <c r="P68" s="81"/>
    </row>
    <row r="69" spans="1:16" ht="15" x14ac:dyDescent="0.25">
      <c r="A69" s="151" t="s">
        <v>19</v>
      </c>
      <c r="B69" s="151" t="s">
        <v>73</v>
      </c>
      <c r="C69" s="151" t="s">
        <v>74</v>
      </c>
      <c r="D69" s="151" t="s">
        <v>450</v>
      </c>
      <c r="E69" s="151" t="s">
        <v>126</v>
      </c>
      <c r="F69" s="161"/>
      <c r="G69" s="161"/>
      <c r="H69" s="161"/>
      <c r="I69" s="161"/>
      <c r="J69" s="161"/>
      <c r="K69" s="81"/>
      <c r="L69" s="81"/>
      <c r="M69" s="81"/>
      <c r="N69" s="81"/>
      <c r="O69" s="81"/>
      <c r="P69" s="81"/>
    </row>
    <row r="70" spans="1:16" x14ac:dyDescent="0.2">
      <c r="A70" s="140" t="s">
        <v>19</v>
      </c>
      <c r="B70" s="140" t="s">
        <v>73</v>
      </c>
      <c r="C70" s="140" t="s">
        <v>74</v>
      </c>
      <c r="D70" s="149" t="s">
        <v>464</v>
      </c>
      <c r="E70" s="139" t="s">
        <v>726</v>
      </c>
      <c r="F70" s="162"/>
      <c r="G70" s="160"/>
      <c r="H70" s="160"/>
      <c r="I70" s="160"/>
      <c r="J70" s="160"/>
      <c r="K70" s="81"/>
      <c r="L70" s="81"/>
      <c r="M70" s="81"/>
      <c r="N70" s="81"/>
      <c r="O70" s="81"/>
      <c r="P70" s="81"/>
    </row>
    <row r="71" spans="1:16" x14ac:dyDescent="0.2">
      <c r="A71" s="140" t="s">
        <v>19</v>
      </c>
      <c r="B71" s="140" t="s">
        <v>73</v>
      </c>
      <c r="C71" s="140" t="s">
        <v>74</v>
      </c>
      <c r="D71" s="149" t="s">
        <v>214</v>
      </c>
      <c r="E71" s="139" t="s">
        <v>215</v>
      </c>
      <c r="F71" s="162"/>
      <c r="G71" s="160"/>
      <c r="H71" s="160"/>
      <c r="I71" s="160"/>
      <c r="J71" s="160"/>
      <c r="K71" s="81"/>
      <c r="L71" s="81"/>
      <c r="M71" s="81"/>
      <c r="N71" s="81"/>
      <c r="O71" s="81"/>
      <c r="P71" s="81"/>
    </row>
    <row r="72" spans="1:16" x14ac:dyDescent="0.2">
      <c r="A72" s="140" t="s">
        <v>19</v>
      </c>
      <c r="B72" s="140" t="s">
        <v>73</v>
      </c>
      <c r="C72" s="140" t="s">
        <v>74</v>
      </c>
      <c r="D72" s="149" t="s">
        <v>466</v>
      </c>
      <c r="E72" s="139" t="s">
        <v>727</v>
      </c>
      <c r="F72" s="162"/>
      <c r="G72" s="160"/>
      <c r="H72" s="160"/>
      <c r="I72" s="160"/>
      <c r="J72" s="160"/>
      <c r="K72" s="81"/>
      <c r="L72" s="81"/>
      <c r="M72" s="81"/>
      <c r="N72" s="81"/>
      <c r="O72" s="81"/>
      <c r="P72" s="81"/>
    </row>
    <row r="73" spans="1:16" x14ac:dyDescent="0.2">
      <c r="A73" s="140" t="s">
        <v>19</v>
      </c>
      <c r="B73" s="140" t="s">
        <v>73</v>
      </c>
      <c r="C73" s="140" t="s">
        <v>74</v>
      </c>
      <c r="D73" s="149" t="s">
        <v>125</v>
      </c>
      <c r="E73" s="139" t="s">
        <v>126</v>
      </c>
      <c r="F73" s="162"/>
      <c r="G73" s="162"/>
      <c r="H73" s="160"/>
      <c r="I73" s="160"/>
      <c r="J73" s="160"/>
      <c r="K73" s="81"/>
      <c r="L73" s="81"/>
      <c r="M73" s="81"/>
      <c r="N73" s="81"/>
      <c r="O73" s="81"/>
      <c r="P73" s="81"/>
    </row>
    <row r="74" spans="1:16" x14ac:dyDescent="0.2">
      <c r="A74" s="140" t="s">
        <v>19</v>
      </c>
      <c r="B74" s="140" t="s">
        <v>73</v>
      </c>
      <c r="C74" s="140" t="s">
        <v>74</v>
      </c>
      <c r="D74" s="149" t="s">
        <v>840</v>
      </c>
      <c r="E74" s="139" t="s">
        <v>728</v>
      </c>
      <c r="F74" s="162"/>
      <c r="G74" s="162"/>
      <c r="H74" s="160"/>
      <c r="I74" s="160"/>
      <c r="J74" s="160"/>
      <c r="K74" s="81"/>
      <c r="L74" s="81"/>
      <c r="M74" s="81"/>
      <c r="N74" s="81"/>
      <c r="O74" s="81"/>
      <c r="P74" s="81"/>
    </row>
    <row r="75" spans="1:16" x14ac:dyDescent="0.2">
      <c r="A75" s="140" t="s">
        <v>19</v>
      </c>
      <c r="B75" s="140" t="s">
        <v>73</v>
      </c>
      <c r="C75" s="140" t="s">
        <v>116</v>
      </c>
      <c r="D75" s="149" t="s">
        <v>117</v>
      </c>
      <c r="E75" s="139" t="s">
        <v>118</v>
      </c>
      <c r="F75" s="161"/>
      <c r="G75" s="162"/>
      <c r="H75" s="160"/>
      <c r="I75" s="160"/>
      <c r="J75" s="160"/>
      <c r="K75" s="81"/>
      <c r="L75" s="81"/>
      <c r="M75" s="81"/>
      <c r="N75" s="81"/>
      <c r="O75" s="81"/>
      <c r="P75" s="81"/>
    </row>
    <row r="76" spans="1:16" x14ac:dyDescent="0.2">
      <c r="A76" s="140" t="s">
        <v>19</v>
      </c>
      <c r="B76" s="140" t="s">
        <v>73</v>
      </c>
      <c r="C76" s="140" t="s">
        <v>116</v>
      </c>
      <c r="D76" s="149" t="s">
        <v>216</v>
      </c>
      <c r="E76" s="139" t="s">
        <v>217</v>
      </c>
      <c r="F76" s="160"/>
      <c r="G76" s="162"/>
      <c r="H76" s="160"/>
      <c r="I76" s="160"/>
      <c r="J76" s="160"/>
      <c r="K76" s="81"/>
      <c r="L76" s="81"/>
      <c r="M76" s="81"/>
      <c r="N76" s="81"/>
      <c r="O76" s="81"/>
      <c r="P76" s="81"/>
    </row>
    <row r="77" spans="1:16" x14ac:dyDescent="0.2">
      <c r="A77" s="140" t="s">
        <v>19</v>
      </c>
      <c r="B77" s="140" t="s">
        <v>73</v>
      </c>
      <c r="C77" s="140" t="s">
        <v>116</v>
      </c>
      <c r="D77" s="149" t="s">
        <v>841</v>
      </c>
      <c r="E77" s="139" t="s">
        <v>753</v>
      </c>
      <c r="F77" s="160"/>
      <c r="G77" s="160"/>
      <c r="H77" s="161"/>
      <c r="I77" s="161"/>
      <c r="J77" s="161"/>
      <c r="K77" s="81"/>
      <c r="P77" s="81"/>
    </row>
    <row r="78" spans="1:16" x14ac:dyDescent="0.2">
      <c r="A78" s="140" t="s">
        <v>19</v>
      </c>
      <c r="B78" s="140" t="s">
        <v>73</v>
      </c>
      <c r="C78" s="140" t="s">
        <v>119</v>
      </c>
      <c r="D78" s="149" t="s">
        <v>119</v>
      </c>
      <c r="E78" s="139" t="s">
        <v>120</v>
      </c>
      <c r="F78" s="160"/>
      <c r="G78" s="160"/>
      <c r="H78" s="161"/>
      <c r="I78" s="161"/>
      <c r="J78" s="161"/>
      <c r="K78" s="81"/>
      <c r="L78" s="81"/>
      <c r="M78" s="81"/>
      <c r="N78" s="81"/>
      <c r="O78" s="81"/>
      <c r="P78" s="81"/>
    </row>
    <row r="79" spans="1:16" x14ac:dyDescent="0.2">
      <c r="A79" s="140" t="s">
        <v>19</v>
      </c>
      <c r="B79" s="140" t="s">
        <v>73</v>
      </c>
      <c r="C79" s="140" t="s">
        <v>119</v>
      </c>
      <c r="D79" s="149" t="s">
        <v>148</v>
      </c>
      <c r="E79" s="139" t="s">
        <v>149</v>
      </c>
      <c r="F79" s="160"/>
      <c r="G79" s="160"/>
      <c r="H79" s="161"/>
      <c r="I79" s="161"/>
      <c r="J79" s="161"/>
      <c r="K79" s="81"/>
      <c r="L79" s="81"/>
      <c r="M79" s="81"/>
      <c r="N79" s="81"/>
      <c r="O79" s="81"/>
      <c r="P79" s="81"/>
    </row>
    <row r="80" spans="1:16" x14ac:dyDescent="0.2">
      <c r="A80" s="140" t="s">
        <v>19</v>
      </c>
      <c r="B80" s="140" t="s">
        <v>41</v>
      </c>
      <c r="C80" s="140" t="s">
        <v>813</v>
      </c>
      <c r="D80" s="149" t="s">
        <v>842</v>
      </c>
      <c r="E80" s="139" t="s">
        <v>698</v>
      </c>
      <c r="F80" s="160"/>
      <c r="G80" s="160"/>
      <c r="H80" s="161"/>
      <c r="I80" s="161"/>
      <c r="J80" s="161"/>
      <c r="K80" s="81"/>
      <c r="L80" s="81"/>
      <c r="M80" s="81"/>
      <c r="N80" s="81"/>
      <c r="O80" s="81"/>
      <c r="P80" s="81"/>
    </row>
    <row r="81" spans="1:16" x14ac:dyDescent="0.2">
      <c r="A81" s="140" t="s">
        <v>19</v>
      </c>
      <c r="B81" s="140" t="s">
        <v>41</v>
      </c>
      <c r="C81" s="140" t="s">
        <v>813</v>
      </c>
      <c r="D81" s="149" t="s">
        <v>843</v>
      </c>
      <c r="E81" s="139" t="s">
        <v>699</v>
      </c>
      <c r="F81" s="160"/>
      <c r="G81" s="160"/>
      <c r="H81" s="161"/>
      <c r="I81" s="161"/>
      <c r="J81" s="161"/>
      <c r="K81" s="81"/>
      <c r="L81" s="81"/>
      <c r="M81" s="81"/>
      <c r="N81" s="81"/>
      <c r="O81" s="81"/>
      <c r="P81" s="81"/>
    </row>
    <row r="82" spans="1:16" x14ac:dyDescent="0.2">
      <c r="A82" s="140" t="s">
        <v>19</v>
      </c>
      <c r="B82" s="140" t="s">
        <v>41</v>
      </c>
      <c r="C82" s="140" t="s">
        <v>813</v>
      </c>
      <c r="D82" s="149" t="s">
        <v>497</v>
      </c>
      <c r="E82" s="139" t="s">
        <v>700</v>
      </c>
      <c r="F82" s="160"/>
      <c r="G82" s="160"/>
      <c r="H82" s="161"/>
      <c r="I82" s="161"/>
      <c r="J82" s="161"/>
      <c r="K82" s="81"/>
      <c r="L82" s="81"/>
      <c r="M82" s="81"/>
      <c r="N82" s="81"/>
      <c r="O82" s="81"/>
      <c r="P82" s="81"/>
    </row>
    <row r="83" spans="1:16" x14ac:dyDescent="0.2">
      <c r="A83" s="140" t="s">
        <v>19</v>
      </c>
      <c r="B83" s="140" t="s">
        <v>41</v>
      </c>
      <c r="C83" s="140" t="s">
        <v>813</v>
      </c>
      <c r="D83" s="149" t="s">
        <v>42</v>
      </c>
      <c r="E83" s="139" t="s">
        <v>43</v>
      </c>
      <c r="F83" s="162"/>
      <c r="G83" s="160"/>
      <c r="H83" s="160"/>
      <c r="I83" s="160"/>
      <c r="J83" s="160"/>
      <c r="K83" s="81"/>
      <c r="L83" s="81"/>
      <c r="M83" s="81"/>
      <c r="N83" s="81"/>
      <c r="O83" s="81"/>
      <c r="P83" s="81"/>
    </row>
    <row r="84" spans="1:16" x14ac:dyDescent="0.2">
      <c r="A84" s="140" t="s">
        <v>19</v>
      </c>
      <c r="B84" s="140" t="s">
        <v>41</v>
      </c>
      <c r="C84" s="140" t="s">
        <v>813</v>
      </c>
      <c r="D84" s="149" t="s">
        <v>844</v>
      </c>
      <c r="E84" s="139" t="s">
        <v>701</v>
      </c>
      <c r="F84" s="162"/>
      <c r="G84" s="160"/>
      <c r="H84" s="160"/>
      <c r="I84" s="160"/>
      <c r="J84" s="160"/>
      <c r="K84" s="81"/>
      <c r="L84" s="81"/>
      <c r="M84" s="81"/>
      <c r="N84" s="81"/>
      <c r="O84" s="81"/>
      <c r="P84" s="81"/>
    </row>
    <row r="85" spans="1:16" x14ac:dyDescent="0.2">
      <c r="A85" s="140" t="s">
        <v>19</v>
      </c>
      <c r="B85" s="140" t="s">
        <v>41</v>
      </c>
      <c r="C85" s="140" t="s">
        <v>813</v>
      </c>
      <c r="D85" s="149" t="s">
        <v>845</v>
      </c>
      <c r="E85" s="139" t="s">
        <v>702</v>
      </c>
      <c r="F85" s="162"/>
      <c r="G85" s="160"/>
      <c r="H85" s="160"/>
      <c r="I85" s="160"/>
      <c r="J85" s="160"/>
      <c r="K85" s="81"/>
      <c r="L85" s="81"/>
      <c r="M85" s="81"/>
      <c r="N85" s="81"/>
      <c r="O85" s="81"/>
      <c r="P85" s="81"/>
    </row>
    <row r="86" spans="1:16" x14ac:dyDescent="0.2">
      <c r="A86" s="140" t="s">
        <v>19</v>
      </c>
      <c r="B86" s="140" t="s">
        <v>41</v>
      </c>
      <c r="C86" s="140" t="s">
        <v>813</v>
      </c>
      <c r="D86" s="149" t="s">
        <v>846</v>
      </c>
      <c r="E86" s="139" t="s">
        <v>703</v>
      </c>
      <c r="F86" s="160"/>
      <c r="G86" s="160"/>
      <c r="H86" s="161"/>
      <c r="I86" s="161"/>
      <c r="J86" s="161"/>
      <c r="K86" s="81"/>
      <c r="L86" s="81"/>
      <c r="M86" s="81"/>
      <c r="N86" s="81"/>
      <c r="O86" s="81"/>
      <c r="P86" s="81"/>
    </row>
    <row r="87" spans="1:16" x14ac:dyDescent="0.2">
      <c r="A87" s="140" t="s">
        <v>19</v>
      </c>
      <c r="B87" s="140" t="s">
        <v>41</v>
      </c>
      <c r="C87" s="140" t="s">
        <v>813</v>
      </c>
      <c r="D87" s="149" t="s">
        <v>64</v>
      </c>
      <c r="E87" s="139" t="s">
        <v>65</v>
      </c>
      <c r="F87" s="160"/>
      <c r="G87" s="160"/>
      <c r="H87" s="161"/>
      <c r="I87" s="161"/>
      <c r="J87" s="161"/>
      <c r="K87" s="81"/>
      <c r="L87" s="81"/>
      <c r="M87" s="81"/>
      <c r="N87" s="81"/>
      <c r="O87" s="81"/>
      <c r="P87" s="81"/>
    </row>
    <row r="88" spans="1:16" x14ac:dyDescent="0.2">
      <c r="A88" s="140" t="s">
        <v>19</v>
      </c>
      <c r="B88" s="140" t="s">
        <v>41</v>
      </c>
      <c r="C88" s="140" t="s">
        <v>813</v>
      </c>
      <c r="D88" s="149" t="s">
        <v>847</v>
      </c>
      <c r="E88" s="139" t="s">
        <v>704</v>
      </c>
      <c r="F88" s="162"/>
      <c r="G88" s="160"/>
      <c r="H88" s="160"/>
      <c r="I88" s="160"/>
      <c r="J88" s="160"/>
      <c r="K88" s="81"/>
      <c r="L88" s="81"/>
      <c r="M88" s="81"/>
      <c r="N88" s="81"/>
      <c r="O88" s="81"/>
      <c r="P88" s="81"/>
    </row>
    <row r="89" spans="1:16" x14ac:dyDescent="0.2">
      <c r="A89" s="140" t="s">
        <v>19</v>
      </c>
      <c r="B89" s="140" t="s">
        <v>41</v>
      </c>
      <c r="C89" s="140" t="s">
        <v>813</v>
      </c>
      <c r="D89" s="149" t="s">
        <v>504</v>
      </c>
      <c r="E89" s="139" t="s">
        <v>705</v>
      </c>
      <c r="F89" s="162"/>
      <c r="G89" s="160"/>
      <c r="H89" s="160"/>
      <c r="I89" s="160"/>
      <c r="J89" s="160"/>
      <c r="K89" s="81"/>
      <c r="L89" s="81"/>
      <c r="M89" s="81"/>
      <c r="N89" s="81"/>
      <c r="O89" s="81"/>
      <c r="P89" s="81"/>
    </row>
    <row r="90" spans="1:16" x14ac:dyDescent="0.2">
      <c r="A90" s="140" t="s">
        <v>19</v>
      </c>
      <c r="B90" s="140" t="s">
        <v>41</v>
      </c>
      <c r="C90" s="140" t="s">
        <v>813</v>
      </c>
      <c r="D90" s="149" t="s">
        <v>848</v>
      </c>
      <c r="E90" s="139" t="s">
        <v>706</v>
      </c>
      <c r="F90" s="160"/>
      <c r="G90" s="160"/>
      <c r="H90" s="161"/>
      <c r="I90" s="161"/>
      <c r="J90" s="161"/>
      <c r="K90" s="81"/>
      <c r="L90" s="81"/>
      <c r="M90" s="81"/>
      <c r="N90" s="81"/>
      <c r="O90" s="81"/>
      <c r="P90" s="81"/>
    </row>
    <row r="91" spans="1:16" x14ac:dyDescent="0.2">
      <c r="A91" s="140" t="s">
        <v>19</v>
      </c>
      <c r="B91" s="140" t="s">
        <v>41</v>
      </c>
      <c r="C91" s="140" t="s">
        <v>813</v>
      </c>
      <c r="D91" s="149" t="s">
        <v>849</v>
      </c>
      <c r="E91" s="139" t="s">
        <v>707</v>
      </c>
      <c r="F91" s="160"/>
      <c r="G91" s="160"/>
      <c r="H91" s="161"/>
      <c r="I91" s="161"/>
      <c r="J91" s="161"/>
      <c r="K91" s="81"/>
      <c r="L91" s="81"/>
      <c r="M91" s="81"/>
      <c r="N91" s="81"/>
      <c r="O91" s="81"/>
      <c r="P91" s="81"/>
    </row>
    <row r="92" spans="1:16" x14ac:dyDescent="0.2">
      <c r="A92" s="140" t="s">
        <v>19</v>
      </c>
      <c r="B92" s="140" t="s">
        <v>41</v>
      </c>
      <c r="C92" s="140" t="s">
        <v>813</v>
      </c>
      <c r="D92" s="149" t="s">
        <v>850</v>
      </c>
      <c r="E92" s="139" t="s">
        <v>708</v>
      </c>
      <c r="F92" s="160"/>
      <c r="G92" s="160"/>
      <c r="H92" s="161"/>
      <c r="I92" s="161"/>
      <c r="J92" s="161"/>
      <c r="K92" s="81"/>
      <c r="L92" s="81"/>
      <c r="M92" s="81"/>
      <c r="N92" s="81"/>
      <c r="O92" s="81"/>
      <c r="P92" s="81"/>
    </row>
    <row r="93" spans="1:16" x14ac:dyDescent="0.2">
      <c r="A93" s="140" t="s">
        <v>19</v>
      </c>
      <c r="B93" s="140" t="s">
        <v>41</v>
      </c>
      <c r="C93" s="140" t="s">
        <v>813</v>
      </c>
      <c r="D93" s="149" t="s">
        <v>851</v>
      </c>
      <c r="E93" s="139" t="s">
        <v>709</v>
      </c>
      <c r="F93" s="162"/>
      <c r="G93" s="160"/>
      <c r="H93" s="160"/>
      <c r="I93" s="160"/>
      <c r="J93" s="160"/>
      <c r="K93" s="81"/>
      <c r="L93" s="81"/>
      <c r="M93" s="81"/>
      <c r="N93" s="81"/>
      <c r="O93" s="81"/>
      <c r="P93" s="81"/>
    </row>
    <row r="94" spans="1:16" x14ac:dyDescent="0.2">
      <c r="A94" s="140" t="s">
        <v>19</v>
      </c>
      <c r="B94" s="140" t="s">
        <v>55</v>
      </c>
      <c r="C94" s="140" t="s">
        <v>220</v>
      </c>
      <c r="D94" s="149" t="s">
        <v>220</v>
      </c>
      <c r="E94" s="139" t="s">
        <v>221</v>
      </c>
      <c r="F94" s="160"/>
      <c r="G94" s="160"/>
      <c r="H94" s="161"/>
      <c r="I94" s="161"/>
      <c r="J94" s="161"/>
      <c r="K94" s="81"/>
      <c r="L94" s="81"/>
      <c r="M94" s="81"/>
      <c r="N94" s="81"/>
      <c r="O94" s="81"/>
      <c r="P94" s="81"/>
    </row>
    <row r="95" spans="1:16" x14ac:dyDescent="0.2">
      <c r="A95" s="140" t="s">
        <v>19</v>
      </c>
      <c r="B95" s="140" t="s">
        <v>55</v>
      </c>
      <c r="C95" s="140" t="s">
        <v>220</v>
      </c>
      <c r="D95" s="149" t="s">
        <v>852</v>
      </c>
      <c r="E95" s="139" t="s">
        <v>696</v>
      </c>
      <c r="F95" s="162"/>
      <c r="G95" s="160"/>
      <c r="H95" s="160"/>
      <c r="I95" s="160"/>
      <c r="J95" s="160"/>
      <c r="K95" s="81"/>
      <c r="L95" s="81"/>
      <c r="M95" s="81"/>
      <c r="N95" s="81"/>
      <c r="O95" s="81"/>
      <c r="P95" s="81"/>
    </row>
    <row r="96" spans="1:16" x14ac:dyDescent="0.2">
      <c r="A96" s="140" t="s">
        <v>19</v>
      </c>
      <c r="B96" s="140" t="s">
        <v>55</v>
      </c>
      <c r="C96" s="140" t="s">
        <v>220</v>
      </c>
      <c r="D96" s="149" t="s">
        <v>515</v>
      </c>
      <c r="E96" s="139" t="s">
        <v>697</v>
      </c>
      <c r="F96" s="162"/>
      <c r="G96" s="160"/>
      <c r="H96" s="160"/>
      <c r="I96" s="160"/>
      <c r="J96" s="160"/>
      <c r="K96" s="81"/>
      <c r="L96" s="81"/>
      <c r="M96" s="81"/>
      <c r="N96" s="81"/>
      <c r="O96" s="81"/>
      <c r="P96" s="81"/>
    </row>
    <row r="97" spans="1:16" x14ac:dyDescent="0.2">
      <c r="A97" s="140" t="s">
        <v>19</v>
      </c>
      <c r="B97" s="140" t="s">
        <v>55</v>
      </c>
      <c r="C97" s="140" t="s">
        <v>56</v>
      </c>
      <c r="D97" s="149" t="s">
        <v>488</v>
      </c>
      <c r="E97" s="139" t="s">
        <v>711</v>
      </c>
      <c r="F97" s="162"/>
      <c r="G97" s="160"/>
      <c r="H97" s="160"/>
      <c r="I97" s="160"/>
      <c r="J97" s="160"/>
      <c r="K97" s="81"/>
      <c r="L97" s="81"/>
      <c r="M97" s="81"/>
      <c r="N97" s="81"/>
      <c r="O97" s="81"/>
      <c r="P97" s="81"/>
    </row>
    <row r="98" spans="1:16" x14ac:dyDescent="0.2">
      <c r="A98" s="140" t="s">
        <v>19</v>
      </c>
      <c r="B98" s="140" t="s">
        <v>55</v>
      </c>
      <c r="C98" s="140" t="s">
        <v>56</v>
      </c>
      <c r="D98" s="149" t="s">
        <v>56</v>
      </c>
      <c r="E98" s="139" t="s">
        <v>57</v>
      </c>
      <c r="F98" s="162"/>
      <c r="G98" s="160"/>
      <c r="H98" s="160"/>
      <c r="I98" s="160"/>
      <c r="J98" s="160"/>
      <c r="K98" s="81"/>
      <c r="L98" s="81"/>
      <c r="M98" s="81"/>
      <c r="N98" s="81"/>
      <c r="O98" s="81"/>
      <c r="P98" s="81"/>
    </row>
    <row r="99" spans="1:16" x14ac:dyDescent="0.2">
      <c r="A99" s="140" t="s">
        <v>19</v>
      </c>
      <c r="B99" s="140" t="s">
        <v>55</v>
      </c>
      <c r="C99" s="140" t="s">
        <v>86</v>
      </c>
      <c r="D99" s="149" t="s">
        <v>445</v>
      </c>
      <c r="E99" s="139" t="s">
        <v>719</v>
      </c>
      <c r="F99" s="162"/>
      <c r="G99" s="160"/>
      <c r="H99" s="160"/>
      <c r="I99" s="160"/>
      <c r="J99" s="160"/>
      <c r="K99" s="81"/>
      <c r="L99" s="81"/>
      <c r="M99" s="81"/>
      <c r="N99" s="81"/>
      <c r="O99" s="81"/>
      <c r="P99" s="81"/>
    </row>
    <row r="100" spans="1:16" x14ac:dyDescent="0.2">
      <c r="A100" s="140" t="s">
        <v>19</v>
      </c>
      <c r="B100" s="140" t="s">
        <v>55</v>
      </c>
      <c r="C100" s="140" t="s">
        <v>86</v>
      </c>
      <c r="D100" s="149" t="s">
        <v>853</v>
      </c>
      <c r="E100" s="139" t="s">
        <v>720</v>
      </c>
      <c r="F100" s="162"/>
      <c r="G100" s="160"/>
      <c r="H100" s="160"/>
      <c r="I100" s="160"/>
      <c r="J100" s="160"/>
      <c r="K100" s="81"/>
      <c r="L100" s="81"/>
      <c r="M100" s="81"/>
      <c r="N100" s="81"/>
      <c r="O100" s="81"/>
      <c r="P100" s="81"/>
    </row>
    <row r="101" spans="1:16" x14ac:dyDescent="0.2">
      <c r="A101" s="140" t="s">
        <v>19</v>
      </c>
      <c r="B101" s="140" t="s">
        <v>55</v>
      </c>
      <c r="C101" s="140" t="s">
        <v>86</v>
      </c>
      <c r="D101" s="149" t="s">
        <v>854</v>
      </c>
      <c r="E101" s="139" t="s">
        <v>721</v>
      </c>
      <c r="F101" s="162"/>
      <c r="G101" s="160"/>
      <c r="H101" s="160"/>
      <c r="I101" s="160"/>
      <c r="J101" s="160"/>
      <c r="K101" s="81"/>
      <c r="L101" s="81"/>
      <c r="M101" s="81"/>
      <c r="N101" s="81"/>
      <c r="O101" s="81"/>
      <c r="P101" s="81"/>
    </row>
    <row r="102" spans="1:16" x14ac:dyDescent="0.2">
      <c r="A102" s="140" t="s">
        <v>19</v>
      </c>
      <c r="B102" s="140" t="s">
        <v>55</v>
      </c>
      <c r="C102" s="140" t="s">
        <v>86</v>
      </c>
      <c r="D102" s="149" t="s">
        <v>855</v>
      </c>
      <c r="E102" s="139" t="s">
        <v>722</v>
      </c>
      <c r="F102" s="162"/>
      <c r="G102" s="160"/>
      <c r="H102" s="160"/>
      <c r="I102" s="160"/>
      <c r="J102" s="160"/>
      <c r="K102" s="81"/>
      <c r="L102" s="81"/>
      <c r="M102" s="81"/>
      <c r="N102" s="81"/>
      <c r="O102" s="81"/>
      <c r="P102" s="81"/>
    </row>
    <row r="103" spans="1:16" x14ac:dyDescent="0.2">
      <c r="A103" s="140" t="s">
        <v>19</v>
      </c>
      <c r="B103" s="140" t="s">
        <v>55</v>
      </c>
      <c r="C103" s="140" t="s">
        <v>86</v>
      </c>
      <c r="D103" s="149" t="s">
        <v>87</v>
      </c>
      <c r="E103" s="139" t="s">
        <v>88</v>
      </c>
      <c r="F103" s="162"/>
      <c r="G103" s="160"/>
      <c r="H103" s="160"/>
      <c r="I103" s="160"/>
      <c r="J103" s="160"/>
      <c r="K103" s="81"/>
      <c r="L103" s="81"/>
      <c r="M103" s="81"/>
      <c r="N103" s="81"/>
      <c r="O103" s="81"/>
      <c r="P103" s="81"/>
    </row>
    <row r="104" spans="1:16" x14ac:dyDescent="0.2">
      <c r="A104" s="140" t="s">
        <v>19</v>
      </c>
      <c r="B104" s="140" t="s">
        <v>55</v>
      </c>
      <c r="C104" s="140" t="s">
        <v>86</v>
      </c>
      <c r="D104" s="149" t="s">
        <v>856</v>
      </c>
      <c r="E104" s="139" t="s">
        <v>723</v>
      </c>
      <c r="F104" s="162"/>
      <c r="G104" s="160"/>
      <c r="H104" s="160"/>
      <c r="I104" s="160"/>
      <c r="J104" s="160"/>
      <c r="K104" s="81"/>
      <c r="L104" s="81"/>
      <c r="M104" s="81"/>
      <c r="N104" s="81"/>
      <c r="O104" s="81"/>
      <c r="P104" s="81"/>
    </row>
    <row r="105" spans="1:16" x14ac:dyDescent="0.2">
      <c r="A105" s="140" t="s">
        <v>19</v>
      </c>
      <c r="B105" s="140" t="s">
        <v>55</v>
      </c>
      <c r="C105" s="140" t="s">
        <v>78</v>
      </c>
      <c r="D105" s="149" t="s">
        <v>326</v>
      </c>
      <c r="E105" s="139" t="s">
        <v>693</v>
      </c>
      <c r="F105" s="162"/>
      <c r="G105" s="160"/>
      <c r="H105" s="160"/>
      <c r="I105" s="160"/>
      <c r="J105" s="160"/>
      <c r="K105" s="81"/>
      <c r="L105" s="81"/>
      <c r="M105" s="81"/>
      <c r="N105" s="81"/>
      <c r="O105" s="81"/>
      <c r="P105" s="81"/>
    </row>
    <row r="106" spans="1:16" x14ac:dyDescent="0.2">
      <c r="A106" s="140" t="s">
        <v>19</v>
      </c>
      <c r="B106" s="140" t="s">
        <v>55</v>
      </c>
      <c r="C106" s="140" t="s">
        <v>78</v>
      </c>
      <c r="D106" s="149" t="s">
        <v>79</v>
      </c>
      <c r="E106" s="139" t="s">
        <v>80</v>
      </c>
      <c r="F106" s="161"/>
      <c r="G106" s="162"/>
      <c r="H106" s="160"/>
      <c r="I106" s="160"/>
      <c r="J106" s="160"/>
      <c r="K106" s="81"/>
      <c r="L106" s="81"/>
      <c r="M106" s="81"/>
      <c r="N106" s="81"/>
      <c r="O106" s="81"/>
      <c r="P106" s="81"/>
    </row>
    <row r="107" spans="1:16" ht="15.6" customHeight="1" x14ac:dyDescent="0.2">
      <c r="A107" s="140" t="s">
        <v>19</v>
      </c>
      <c r="B107" s="140" t="s">
        <v>55</v>
      </c>
      <c r="C107" s="140" t="s">
        <v>78</v>
      </c>
      <c r="D107" s="149" t="s">
        <v>857</v>
      </c>
      <c r="E107" s="139" t="s">
        <v>694</v>
      </c>
      <c r="F107" s="162"/>
      <c r="G107" s="160"/>
      <c r="H107" s="160"/>
      <c r="I107" s="160"/>
      <c r="J107" s="160"/>
      <c r="K107" s="81"/>
      <c r="L107" s="81"/>
      <c r="M107" s="81"/>
      <c r="N107" s="81"/>
      <c r="O107" s="81"/>
      <c r="P107" s="81"/>
    </row>
    <row r="108" spans="1:16" ht="15.6" customHeight="1" x14ac:dyDescent="0.2">
      <c r="A108" s="140" t="s">
        <v>19</v>
      </c>
      <c r="B108" s="140" t="s">
        <v>55</v>
      </c>
      <c r="C108" s="140" t="s">
        <v>78</v>
      </c>
      <c r="D108" s="149" t="s">
        <v>98</v>
      </c>
      <c r="E108" s="139" t="s">
        <v>99</v>
      </c>
      <c r="F108" s="162"/>
      <c r="G108" s="160"/>
      <c r="H108" s="160"/>
      <c r="I108" s="160"/>
      <c r="J108" s="160"/>
      <c r="K108" s="81"/>
      <c r="L108" s="81"/>
      <c r="M108" s="81"/>
      <c r="N108" s="81"/>
      <c r="O108" s="81"/>
      <c r="P108" s="81"/>
    </row>
    <row r="109" spans="1:16" x14ac:dyDescent="0.2">
      <c r="A109" s="140" t="s">
        <v>19</v>
      </c>
      <c r="B109" s="140" t="s">
        <v>55</v>
      </c>
      <c r="C109" s="140" t="s">
        <v>78</v>
      </c>
      <c r="D109" s="149" t="s">
        <v>333</v>
      </c>
      <c r="E109" s="139" t="s">
        <v>695</v>
      </c>
      <c r="F109" s="162"/>
      <c r="G109" s="160"/>
      <c r="H109" s="160"/>
      <c r="I109" s="160"/>
      <c r="J109" s="160"/>
      <c r="K109" s="81"/>
      <c r="L109" s="81"/>
      <c r="M109" s="81"/>
      <c r="N109" s="81"/>
      <c r="O109" s="81"/>
      <c r="P109" s="81"/>
    </row>
    <row r="110" spans="1:16" x14ac:dyDescent="0.2">
      <c r="A110" s="140" t="s">
        <v>19</v>
      </c>
      <c r="B110" s="140" t="s">
        <v>31</v>
      </c>
      <c r="C110" s="140" t="s">
        <v>32</v>
      </c>
      <c r="D110" s="149" t="s">
        <v>32</v>
      </c>
      <c r="E110" s="139" t="s">
        <v>33</v>
      </c>
      <c r="F110" s="162"/>
      <c r="G110" s="160"/>
      <c r="H110" s="160"/>
      <c r="I110" s="160"/>
      <c r="J110" s="160"/>
      <c r="K110" s="81"/>
      <c r="L110" s="81"/>
      <c r="M110" s="81"/>
      <c r="N110" s="81"/>
      <c r="O110" s="81"/>
      <c r="P110" s="81"/>
    </row>
    <row r="111" spans="1:16" x14ac:dyDescent="0.2">
      <c r="A111" s="140" t="s">
        <v>19</v>
      </c>
      <c r="B111" s="140" t="s">
        <v>31</v>
      </c>
      <c r="C111" s="140" t="s">
        <v>127</v>
      </c>
      <c r="D111" s="149" t="s">
        <v>858</v>
      </c>
      <c r="E111" s="139" t="s">
        <v>712</v>
      </c>
      <c r="F111" s="160"/>
      <c r="G111" s="160"/>
      <c r="H111" s="161"/>
      <c r="I111" s="161"/>
      <c r="J111" s="161"/>
      <c r="K111" s="81"/>
      <c r="L111" s="81"/>
      <c r="M111" s="81"/>
      <c r="N111" s="81"/>
      <c r="O111" s="81"/>
      <c r="P111" s="81"/>
    </row>
    <row r="112" spans="1:16" x14ac:dyDescent="0.2">
      <c r="A112" s="140" t="s">
        <v>19</v>
      </c>
      <c r="B112" s="140" t="s">
        <v>31</v>
      </c>
      <c r="C112" s="140" t="s">
        <v>127</v>
      </c>
      <c r="D112" s="149" t="s">
        <v>483</v>
      </c>
      <c r="E112" s="139" t="s">
        <v>713</v>
      </c>
      <c r="F112" s="160"/>
      <c r="G112" s="160"/>
      <c r="H112" s="161"/>
      <c r="I112" s="161"/>
      <c r="J112" s="161"/>
      <c r="K112" s="81"/>
      <c r="L112" s="81"/>
      <c r="M112" s="81"/>
      <c r="N112" s="81"/>
      <c r="O112" s="81"/>
      <c r="P112" s="81"/>
    </row>
    <row r="113" spans="1:16" x14ac:dyDescent="0.2">
      <c r="A113" s="140" t="s">
        <v>19</v>
      </c>
      <c r="B113" s="140" t="s">
        <v>31</v>
      </c>
      <c r="C113" s="140" t="s">
        <v>127</v>
      </c>
      <c r="D113" s="149" t="s">
        <v>485</v>
      </c>
      <c r="E113" s="139" t="s">
        <v>714</v>
      </c>
      <c r="F113" s="162"/>
      <c r="G113" s="160"/>
      <c r="H113" s="160"/>
      <c r="I113" s="160"/>
      <c r="J113" s="160"/>
      <c r="K113" s="81"/>
      <c r="L113" s="81"/>
      <c r="M113" s="81"/>
      <c r="N113" s="81"/>
      <c r="O113" s="81"/>
      <c r="P113" s="81"/>
    </row>
    <row r="114" spans="1:16" x14ac:dyDescent="0.2">
      <c r="A114" s="140" t="s">
        <v>19</v>
      </c>
      <c r="B114" s="140" t="s">
        <v>31</v>
      </c>
      <c r="C114" s="140" t="s">
        <v>127</v>
      </c>
      <c r="D114" s="149" t="s">
        <v>859</v>
      </c>
      <c r="E114" s="139" t="s">
        <v>715</v>
      </c>
      <c r="F114" s="162"/>
      <c r="G114" s="160"/>
      <c r="H114" s="160"/>
      <c r="I114" s="160"/>
      <c r="J114" s="160"/>
      <c r="K114" s="81"/>
      <c r="L114" s="81"/>
      <c r="M114" s="81"/>
      <c r="N114" s="81"/>
      <c r="O114" s="81"/>
      <c r="P114" s="81"/>
    </row>
    <row r="115" spans="1:16" x14ac:dyDescent="0.2">
      <c r="A115" s="140" t="s">
        <v>19</v>
      </c>
      <c r="B115" s="140" t="s">
        <v>31</v>
      </c>
      <c r="C115" s="140" t="s">
        <v>127</v>
      </c>
      <c r="D115" s="149" t="s">
        <v>860</v>
      </c>
      <c r="E115" s="139" t="s">
        <v>129</v>
      </c>
      <c r="F115" s="160"/>
      <c r="G115" s="160"/>
      <c r="H115" s="161"/>
      <c r="I115" s="161"/>
      <c r="J115" s="161"/>
      <c r="K115" s="81"/>
      <c r="L115" s="81"/>
      <c r="M115" s="81"/>
      <c r="N115" s="81"/>
      <c r="O115" s="81"/>
      <c r="P115" s="81"/>
    </row>
    <row r="116" spans="1:16" x14ac:dyDescent="0.2">
      <c r="A116" s="140" t="s">
        <v>19</v>
      </c>
      <c r="B116" s="140" t="s">
        <v>31</v>
      </c>
      <c r="C116" s="140" t="s">
        <v>111</v>
      </c>
      <c r="D116" s="149" t="s">
        <v>430</v>
      </c>
      <c r="E116" s="139" t="s">
        <v>730</v>
      </c>
      <c r="F116" s="162"/>
      <c r="G116" s="160"/>
      <c r="H116" s="160"/>
      <c r="I116" s="160"/>
      <c r="J116" s="160"/>
      <c r="K116" s="81"/>
      <c r="L116" s="81"/>
      <c r="M116" s="81"/>
      <c r="N116" s="81"/>
      <c r="O116" s="81"/>
      <c r="P116" s="81"/>
    </row>
    <row r="117" spans="1:16" x14ac:dyDescent="0.2">
      <c r="A117" s="140" t="s">
        <v>19</v>
      </c>
      <c r="B117" s="140" t="s">
        <v>31</v>
      </c>
      <c r="C117" s="140" t="s">
        <v>111</v>
      </c>
      <c r="D117" s="149" t="s">
        <v>861</v>
      </c>
      <c r="E117" s="139" t="s">
        <v>731</v>
      </c>
      <c r="F117" s="162"/>
      <c r="G117" s="160"/>
      <c r="H117" s="160"/>
      <c r="I117" s="160"/>
      <c r="J117" s="160"/>
      <c r="K117" s="81"/>
      <c r="L117" s="81"/>
      <c r="M117" s="81"/>
      <c r="N117" s="81"/>
      <c r="O117" s="81"/>
      <c r="P117" s="81"/>
    </row>
    <row r="118" spans="1:16" x14ac:dyDescent="0.2">
      <c r="A118" s="140" t="s">
        <v>19</v>
      </c>
      <c r="B118" s="140" t="s">
        <v>31</v>
      </c>
      <c r="C118" s="140" t="s">
        <v>111</v>
      </c>
      <c r="D118" s="149" t="s">
        <v>111</v>
      </c>
      <c r="E118" s="139" t="s">
        <v>112</v>
      </c>
      <c r="F118" s="162"/>
      <c r="G118" s="160"/>
      <c r="H118" s="160"/>
      <c r="I118" s="160"/>
      <c r="J118" s="160"/>
      <c r="K118" s="81"/>
      <c r="L118" s="81"/>
      <c r="M118" s="81"/>
      <c r="N118" s="81"/>
      <c r="O118" s="81"/>
      <c r="P118" s="81"/>
    </row>
    <row r="119" spans="1:16" x14ac:dyDescent="0.2">
      <c r="A119" s="140" t="s">
        <v>19</v>
      </c>
      <c r="B119" s="140" t="s">
        <v>31</v>
      </c>
      <c r="C119" s="140" t="s">
        <v>132</v>
      </c>
      <c r="D119" s="149" t="s">
        <v>862</v>
      </c>
      <c r="E119" s="139" t="s">
        <v>733</v>
      </c>
      <c r="F119" s="162"/>
      <c r="G119" s="160"/>
      <c r="H119" s="160"/>
      <c r="I119" s="160"/>
      <c r="J119" s="160"/>
      <c r="K119" s="81"/>
      <c r="L119" s="81"/>
      <c r="M119" s="81"/>
      <c r="N119" s="81"/>
      <c r="O119" s="81"/>
      <c r="P119" s="81"/>
    </row>
    <row r="120" spans="1:16" x14ac:dyDescent="0.2">
      <c r="A120" s="140" t="s">
        <v>19</v>
      </c>
      <c r="B120" s="140" t="s">
        <v>31</v>
      </c>
      <c r="C120" s="140" t="s">
        <v>132</v>
      </c>
      <c r="D120" s="149" t="s">
        <v>132</v>
      </c>
      <c r="E120" s="139" t="s">
        <v>133</v>
      </c>
      <c r="F120" s="162"/>
      <c r="G120" s="160"/>
      <c r="H120" s="160"/>
      <c r="I120" s="160"/>
      <c r="J120" s="160"/>
      <c r="K120" s="81"/>
      <c r="L120" s="81"/>
      <c r="M120" s="81"/>
      <c r="N120" s="81"/>
      <c r="O120" s="81"/>
      <c r="P120" s="81"/>
    </row>
    <row r="121" spans="1:16" x14ac:dyDescent="0.2">
      <c r="A121" s="140" t="s">
        <v>19</v>
      </c>
      <c r="B121" s="140" t="s">
        <v>31</v>
      </c>
      <c r="C121" s="140" t="s">
        <v>814</v>
      </c>
      <c r="D121" s="149" t="s">
        <v>863</v>
      </c>
      <c r="E121" s="139" t="s">
        <v>754</v>
      </c>
      <c r="F121" s="162"/>
      <c r="G121" s="160"/>
      <c r="H121" s="160"/>
      <c r="I121" s="160"/>
      <c r="J121" s="160"/>
      <c r="K121" s="81"/>
      <c r="L121" s="81"/>
      <c r="M121" s="81"/>
      <c r="N121" s="81"/>
      <c r="O121" s="81"/>
      <c r="P121" s="81"/>
    </row>
    <row r="122" spans="1:16" x14ac:dyDescent="0.2">
      <c r="A122" s="140" t="s">
        <v>19</v>
      </c>
      <c r="B122" s="140" t="s">
        <v>31</v>
      </c>
      <c r="C122" s="140" t="s">
        <v>814</v>
      </c>
      <c r="D122" s="149" t="s">
        <v>864</v>
      </c>
      <c r="E122" s="139" t="s">
        <v>755</v>
      </c>
      <c r="F122" s="162"/>
      <c r="G122" s="160"/>
      <c r="H122" s="160"/>
      <c r="I122" s="160"/>
      <c r="J122" s="160"/>
      <c r="K122" s="81"/>
      <c r="L122" s="81"/>
      <c r="M122" s="81"/>
      <c r="N122" s="81"/>
      <c r="O122" s="81"/>
      <c r="P122" s="81"/>
    </row>
    <row r="123" spans="1:16" x14ac:dyDescent="0.2">
      <c r="A123" s="140" t="s">
        <v>19</v>
      </c>
      <c r="B123" s="140" t="s">
        <v>31</v>
      </c>
      <c r="C123" s="140" t="s">
        <v>814</v>
      </c>
      <c r="D123" s="149" t="s">
        <v>865</v>
      </c>
      <c r="E123" s="139" t="s">
        <v>756</v>
      </c>
      <c r="F123" s="162"/>
      <c r="G123" s="160"/>
      <c r="H123" s="160"/>
      <c r="I123" s="160"/>
      <c r="J123" s="160"/>
      <c r="K123" s="81"/>
      <c r="L123" s="81"/>
      <c r="M123" s="81"/>
      <c r="N123" s="81"/>
      <c r="O123" s="81"/>
      <c r="P123" s="81"/>
    </row>
    <row r="124" spans="1:16" x14ac:dyDescent="0.2">
      <c r="A124" s="140" t="s">
        <v>19</v>
      </c>
      <c r="B124" s="140" t="s">
        <v>31</v>
      </c>
      <c r="C124" s="140" t="s">
        <v>814</v>
      </c>
      <c r="D124" s="149" t="s">
        <v>866</v>
      </c>
      <c r="E124" s="139" t="s">
        <v>757</v>
      </c>
      <c r="F124" s="162"/>
      <c r="G124" s="160"/>
      <c r="H124" s="160"/>
      <c r="I124" s="160"/>
      <c r="J124" s="160"/>
      <c r="K124" s="81"/>
      <c r="L124" s="81"/>
      <c r="M124" s="81"/>
      <c r="N124" s="81"/>
      <c r="O124" s="81"/>
      <c r="P124" s="81"/>
    </row>
    <row r="125" spans="1:16" x14ac:dyDescent="0.2">
      <c r="A125" s="140" t="s">
        <v>19</v>
      </c>
      <c r="B125" s="140" t="s">
        <v>31</v>
      </c>
      <c r="C125" s="140" t="s">
        <v>814</v>
      </c>
      <c r="D125" s="149" t="s">
        <v>123</v>
      </c>
      <c r="E125" s="139" t="s">
        <v>124</v>
      </c>
      <c r="F125" s="162"/>
      <c r="G125" s="160"/>
      <c r="H125" s="160"/>
      <c r="I125" s="160"/>
      <c r="J125" s="160"/>
      <c r="K125" s="81"/>
      <c r="L125" s="81"/>
      <c r="M125" s="81"/>
      <c r="N125" s="81"/>
      <c r="O125" s="81"/>
      <c r="P125" s="81"/>
    </row>
    <row r="126" spans="1:16" x14ac:dyDescent="0.2">
      <c r="A126" s="140" t="s">
        <v>19</v>
      </c>
      <c r="B126" s="140" t="s">
        <v>31</v>
      </c>
      <c r="C126" s="140" t="s">
        <v>814</v>
      </c>
      <c r="D126" s="149" t="s">
        <v>867</v>
      </c>
      <c r="E126" s="139" t="s">
        <v>758</v>
      </c>
      <c r="F126" s="161"/>
      <c r="G126" s="161"/>
      <c r="H126" s="161"/>
      <c r="I126" s="161"/>
      <c r="J126" s="161"/>
      <c r="K126" s="81"/>
      <c r="L126" s="81"/>
      <c r="M126" s="81"/>
      <c r="N126" s="81"/>
      <c r="O126" s="81"/>
      <c r="P126" s="81"/>
    </row>
    <row r="127" spans="1:16" x14ac:dyDescent="0.2">
      <c r="A127" s="140" t="s">
        <v>19</v>
      </c>
      <c r="B127" s="140" t="s">
        <v>58</v>
      </c>
      <c r="C127" s="140" t="s">
        <v>66</v>
      </c>
      <c r="D127" s="149" t="s">
        <v>585</v>
      </c>
      <c r="E127" s="139" t="s">
        <v>660</v>
      </c>
      <c r="F127" s="161"/>
      <c r="G127" s="161"/>
      <c r="H127" s="161"/>
      <c r="I127" s="161"/>
      <c r="J127" s="161"/>
      <c r="K127" s="81"/>
      <c r="L127" s="81"/>
      <c r="M127" s="81"/>
      <c r="N127" s="81"/>
      <c r="O127" s="81"/>
      <c r="P127" s="81"/>
    </row>
    <row r="128" spans="1:16" x14ac:dyDescent="0.2">
      <c r="A128" s="140" t="s">
        <v>19</v>
      </c>
      <c r="B128" s="140" t="s">
        <v>58</v>
      </c>
      <c r="C128" s="140" t="s">
        <v>66</v>
      </c>
      <c r="D128" s="149" t="s">
        <v>868</v>
      </c>
      <c r="E128" s="139" t="s">
        <v>661</v>
      </c>
      <c r="F128" s="161"/>
      <c r="G128" s="161"/>
      <c r="H128" s="161"/>
      <c r="I128" s="161"/>
      <c r="J128" s="161"/>
      <c r="K128" s="81"/>
      <c r="L128" s="81"/>
      <c r="M128" s="81"/>
      <c r="N128" s="81"/>
      <c r="O128" s="81"/>
      <c r="P128" s="81"/>
    </row>
    <row r="129" spans="1:16" x14ac:dyDescent="0.2">
      <c r="A129" s="140" t="s">
        <v>19</v>
      </c>
      <c r="B129" s="140" t="s">
        <v>58</v>
      </c>
      <c r="C129" s="140" t="s">
        <v>66</v>
      </c>
      <c r="D129" s="149" t="s">
        <v>590</v>
      </c>
      <c r="E129" s="139" t="s">
        <v>662</v>
      </c>
      <c r="F129" s="161"/>
      <c r="G129" s="161"/>
      <c r="H129" s="161"/>
      <c r="I129" s="161"/>
      <c r="J129" s="161"/>
      <c r="K129" s="81"/>
      <c r="L129" s="81"/>
      <c r="M129" s="81"/>
      <c r="N129" s="81"/>
      <c r="O129" s="81"/>
      <c r="P129" s="81"/>
    </row>
    <row r="130" spans="1:16" x14ac:dyDescent="0.2">
      <c r="A130" s="140" t="s">
        <v>19</v>
      </c>
      <c r="B130" s="140" t="s">
        <v>58</v>
      </c>
      <c r="C130" s="140" t="s">
        <v>66</v>
      </c>
      <c r="D130" s="149" t="s">
        <v>598</v>
      </c>
      <c r="E130" s="139" t="s">
        <v>666</v>
      </c>
      <c r="F130" s="161"/>
      <c r="G130" s="162"/>
      <c r="H130" s="160"/>
      <c r="I130" s="160"/>
      <c r="J130" s="160"/>
      <c r="K130" s="81"/>
      <c r="L130" s="81"/>
      <c r="M130" s="81"/>
      <c r="N130" s="81"/>
      <c r="O130" s="81"/>
      <c r="P130" s="81"/>
    </row>
    <row r="131" spans="1:16" x14ac:dyDescent="0.2">
      <c r="A131" s="140" t="s">
        <v>19</v>
      </c>
      <c r="B131" s="140" t="s">
        <v>58</v>
      </c>
      <c r="C131" s="140" t="s">
        <v>66</v>
      </c>
      <c r="D131" s="149" t="s">
        <v>222</v>
      </c>
      <c r="E131" s="139" t="s">
        <v>223</v>
      </c>
      <c r="F131" s="161"/>
      <c r="G131" s="162"/>
      <c r="H131" s="160"/>
      <c r="I131" s="160"/>
      <c r="J131" s="160"/>
      <c r="K131" s="81"/>
      <c r="L131" s="81"/>
      <c r="M131" s="81"/>
      <c r="N131" s="81"/>
      <c r="O131" s="81"/>
      <c r="P131" s="81"/>
    </row>
    <row r="132" spans="1:16" x14ac:dyDescent="0.2">
      <c r="A132" s="140" t="s">
        <v>19</v>
      </c>
      <c r="B132" s="140" t="s">
        <v>58</v>
      </c>
      <c r="C132" s="140" t="s">
        <v>66</v>
      </c>
      <c r="D132" s="149" t="s">
        <v>186</v>
      </c>
      <c r="E132" s="139" t="s">
        <v>663</v>
      </c>
      <c r="F132" s="161"/>
      <c r="G132" s="161"/>
      <c r="H132" s="161"/>
      <c r="I132" s="161"/>
      <c r="J132" s="161"/>
      <c r="K132" s="81"/>
      <c r="L132" s="81"/>
      <c r="M132" s="81"/>
      <c r="N132" s="81"/>
      <c r="O132" s="81"/>
      <c r="P132" s="81"/>
    </row>
    <row r="133" spans="1:16" x14ac:dyDescent="0.2">
      <c r="A133" s="140" t="s">
        <v>19</v>
      </c>
      <c r="B133" s="140" t="s">
        <v>58</v>
      </c>
      <c r="C133" s="140" t="s">
        <v>66</v>
      </c>
      <c r="D133" s="149" t="s">
        <v>224</v>
      </c>
      <c r="E133" s="139" t="s">
        <v>225</v>
      </c>
      <c r="F133" s="162"/>
      <c r="G133" s="162"/>
      <c r="H133" s="160"/>
      <c r="I133" s="160"/>
      <c r="J133" s="160"/>
      <c r="K133" s="81"/>
      <c r="L133" s="81"/>
      <c r="M133" s="81"/>
      <c r="N133" s="81"/>
      <c r="O133" s="81"/>
      <c r="P133" s="81"/>
    </row>
    <row r="134" spans="1:16" x14ac:dyDescent="0.2">
      <c r="A134" s="140" t="s">
        <v>19</v>
      </c>
      <c r="B134" s="140" t="s">
        <v>58</v>
      </c>
      <c r="C134" s="140" t="s">
        <v>66</v>
      </c>
      <c r="D134" s="149" t="s">
        <v>869</v>
      </c>
      <c r="E134" s="139" t="s">
        <v>664</v>
      </c>
      <c r="F134" s="162"/>
      <c r="G134" s="162"/>
      <c r="H134" s="160"/>
      <c r="I134" s="160"/>
      <c r="J134" s="160"/>
      <c r="K134" s="81"/>
      <c r="L134" s="81"/>
      <c r="M134" s="81"/>
      <c r="N134" s="81"/>
      <c r="O134" s="81"/>
      <c r="P134" s="81"/>
    </row>
    <row r="135" spans="1:16" x14ac:dyDescent="0.2">
      <c r="A135" s="140" t="s">
        <v>19</v>
      </c>
      <c r="B135" s="140" t="s">
        <v>58</v>
      </c>
      <c r="C135" s="140" t="s">
        <v>66</v>
      </c>
      <c r="D135" s="149" t="s">
        <v>166</v>
      </c>
      <c r="E135" s="139" t="s">
        <v>167</v>
      </c>
      <c r="F135" s="162"/>
      <c r="G135" s="162"/>
      <c r="H135" s="160"/>
      <c r="I135" s="160"/>
      <c r="J135" s="160"/>
      <c r="K135" s="81"/>
      <c r="L135" s="81"/>
      <c r="M135" s="81"/>
      <c r="N135" s="81"/>
      <c r="O135" s="81"/>
      <c r="P135" s="81"/>
    </row>
    <row r="136" spans="1:16" x14ac:dyDescent="0.2">
      <c r="A136" s="140" t="s">
        <v>19</v>
      </c>
      <c r="B136" s="140" t="s">
        <v>58</v>
      </c>
      <c r="C136" s="140" t="s">
        <v>66</v>
      </c>
      <c r="D136" s="149" t="s">
        <v>870</v>
      </c>
      <c r="E136" s="139" t="s">
        <v>665</v>
      </c>
      <c r="F136" s="162"/>
      <c r="G136" s="160"/>
      <c r="H136" s="160"/>
      <c r="I136" s="160"/>
      <c r="J136" s="160"/>
      <c r="K136" s="81"/>
      <c r="L136" s="81"/>
      <c r="M136" s="81"/>
      <c r="N136" s="81"/>
      <c r="O136" s="81"/>
      <c r="P136" s="81"/>
    </row>
    <row r="137" spans="1:16" x14ac:dyDescent="0.2">
      <c r="A137" s="140" t="s">
        <v>19</v>
      </c>
      <c r="B137" s="140" t="s">
        <v>58</v>
      </c>
      <c r="C137" s="140" t="s">
        <v>66</v>
      </c>
      <c r="D137" s="149" t="s">
        <v>871</v>
      </c>
      <c r="E137" s="139" t="s">
        <v>667</v>
      </c>
      <c r="F137" s="160"/>
      <c r="G137" s="160"/>
      <c r="H137" s="161"/>
      <c r="I137" s="161"/>
      <c r="J137" s="161"/>
      <c r="K137" s="81"/>
      <c r="L137" s="81"/>
      <c r="M137" s="81"/>
      <c r="N137" s="81"/>
      <c r="O137" s="81"/>
      <c r="P137" s="81"/>
    </row>
    <row r="138" spans="1:16" x14ac:dyDescent="0.2">
      <c r="A138" s="140" t="s">
        <v>19</v>
      </c>
      <c r="B138" s="140" t="s">
        <v>58</v>
      </c>
      <c r="C138" s="140" t="s">
        <v>66</v>
      </c>
      <c r="D138" s="149" t="s">
        <v>67</v>
      </c>
      <c r="E138" s="139" t="s">
        <v>68</v>
      </c>
      <c r="F138" s="162"/>
      <c r="G138" s="160"/>
      <c r="H138" s="160"/>
      <c r="I138" s="160"/>
      <c r="J138" s="160"/>
      <c r="K138" s="81"/>
      <c r="L138" s="81"/>
      <c r="M138" s="81"/>
      <c r="N138" s="81"/>
      <c r="O138" s="81"/>
      <c r="P138" s="81"/>
    </row>
    <row r="139" spans="1:16" x14ac:dyDescent="0.2">
      <c r="A139" s="140" t="s">
        <v>19</v>
      </c>
      <c r="B139" s="140" t="s">
        <v>58</v>
      </c>
      <c r="C139" s="140" t="s">
        <v>66</v>
      </c>
      <c r="D139" s="149" t="s">
        <v>872</v>
      </c>
      <c r="E139" s="139" t="s">
        <v>668</v>
      </c>
      <c r="F139" s="162"/>
      <c r="G139" s="160"/>
      <c r="H139" s="160"/>
      <c r="I139" s="160"/>
      <c r="J139" s="160"/>
      <c r="K139" s="81"/>
      <c r="L139" s="81"/>
      <c r="M139" s="81"/>
      <c r="N139" s="81"/>
      <c r="O139" s="81"/>
      <c r="P139" s="81"/>
    </row>
    <row r="140" spans="1:16" x14ac:dyDescent="0.2">
      <c r="A140" s="140" t="s">
        <v>19</v>
      </c>
      <c r="B140" s="140" t="s">
        <v>58</v>
      </c>
      <c r="C140" s="140" t="s">
        <v>66</v>
      </c>
      <c r="D140" s="149" t="s">
        <v>873</v>
      </c>
      <c r="E140" s="139" t="s">
        <v>669</v>
      </c>
      <c r="F140" s="160"/>
      <c r="G140" s="160"/>
      <c r="H140" s="161"/>
      <c r="I140" s="161"/>
      <c r="J140" s="161"/>
      <c r="K140" s="81"/>
      <c r="L140" s="81"/>
      <c r="M140" s="81"/>
      <c r="N140" s="81"/>
      <c r="O140" s="81"/>
      <c r="P140" s="81"/>
    </row>
    <row r="141" spans="1:16" x14ac:dyDescent="0.2">
      <c r="A141" s="140" t="s">
        <v>19</v>
      </c>
      <c r="B141" s="140" t="s">
        <v>58</v>
      </c>
      <c r="C141" s="140" t="s">
        <v>66</v>
      </c>
      <c r="D141" s="149" t="s">
        <v>226</v>
      </c>
      <c r="E141" s="139" t="s">
        <v>227</v>
      </c>
      <c r="F141" s="162"/>
      <c r="G141" s="160"/>
      <c r="H141" s="160"/>
      <c r="I141" s="160"/>
      <c r="J141" s="160"/>
      <c r="K141" s="81"/>
      <c r="L141" s="81"/>
      <c r="M141" s="81"/>
      <c r="N141" s="81"/>
      <c r="O141" s="81"/>
      <c r="P141" s="81"/>
    </row>
    <row r="142" spans="1:16" x14ac:dyDescent="0.2">
      <c r="A142" s="140" t="s">
        <v>19</v>
      </c>
      <c r="B142" s="140" t="s">
        <v>58</v>
      </c>
      <c r="C142" s="140" t="s">
        <v>66</v>
      </c>
      <c r="D142" s="149" t="s">
        <v>874</v>
      </c>
      <c r="E142" s="139" t="s">
        <v>670</v>
      </c>
      <c r="F142" s="162"/>
      <c r="G142" s="160"/>
      <c r="H142" s="160"/>
      <c r="I142" s="160"/>
      <c r="J142" s="160"/>
      <c r="K142" s="81"/>
      <c r="L142" s="81"/>
      <c r="M142" s="81"/>
      <c r="N142" s="81"/>
      <c r="O142" s="81"/>
      <c r="P142" s="81"/>
    </row>
    <row r="143" spans="1:16" x14ac:dyDescent="0.2">
      <c r="A143" s="140" t="s">
        <v>19</v>
      </c>
      <c r="B143" s="140" t="s">
        <v>58</v>
      </c>
      <c r="C143" s="140" t="s">
        <v>66</v>
      </c>
      <c r="D143" s="149" t="s">
        <v>607</v>
      </c>
      <c r="E143" s="139" t="s">
        <v>81</v>
      </c>
      <c r="F143" s="83"/>
      <c r="G143" s="83"/>
      <c r="H143" s="83"/>
      <c r="I143" s="83"/>
      <c r="J143" s="83"/>
      <c r="K143" s="152"/>
      <c r="L143" s="152"/>
      <c r="M143" s="152"/>
      <c r="N143" s="152"/>
      <c r="O143" s="152"/>
      <c r="P143" s="152"/>
    </row>
    <row r="144" spans="1:16" x14ac:dyDescent="0.2">
      <c r="A144" s="140" t="s">
        <v>19</v>
      </c>
      <c r="B144" s="140" t="s">
        <v>58</v>
      </c>
      <c r="C144" s="140" t="s">
        <v>66</v>
      </c>
      <c r="D144" s="149" t="s">
        <v>609</v>
      </c>
      <c r="E144" s="139" t="s">
        <v>671</v>
      </c>
      <c r="F144" s="83"/>
      <c r="G144" s="83"/>
      <c r="H144" s="83"/>
      <c r="I144" s="83"/>
      <c r="J144" s="83"/>
      <c r="K144" s="152"/>
      <c r="L144" s="152"/>
      <c r="M144" s="152"/>
      <c r="N144" s="152"/>
      <c r="O144" s="152"/>
      <c r="P144" s="152"/>
    </row>
    <row r="145" spans="1:16" x14ac:dyDescent="0.2">
      <c r="A145" s="140" t="s">
        <v>19</v>
      </c>
      <c r="B145" s="140" t="s">
        <v>58</v>
      </c>
      <c r="C145" s="140" t="s">
        <v>66</v>
      </c>
      <c r="D145" s="149" t="s">
        <v>875</v>
      </c>
      <c r="E145" s="139" t="s">
        <v>173</v>
      </c>
      <c r="F145" s="83"/>
      <c r="G145" s="83"/>
      <c r="H145" s="83"/>
      <c r="I145" s="83"/>
      <c r="J145" s="83"/>
      <c r="K145" s="152"/>
      <c r="L145" s="152"/>
      <c r="M145" s="152"/>
      <c r="N145" s="152"/>
      <c r="O145" s="152"/>
      <c r="P145" s="152"/>
    </row>
    <row r="146" spans="1:16" x14ac:dyDescent="0.2">
      <c r="A146" s="140" t="s">
        <v>19</v>
      </c>
      <c r="B146" s="140" t="s">
        <v>58</v>
      </c>
      <c r="C146" s="140" t="s">
        <v>66</v>
      </c>
      <c r="D146" s="149" t="s">
        <v>876</v>
      </c>
      <c r="E146" s="139" t="s">
        <v>672</v>
      </c>
      <c r="F146" s="83"/>
      <c r="G146" s="83"/>
      <c r="H146" s="83"/>
      <c r="I146" s="83"/>
      <c r="J146" s="83"/>
      <c r="K146" s="152"/>
      <c r="L146" s="152"/>
      <c r="M146" s="152"/>
      <c r="N146" s="152"/>
      <c r="O146" s="152"/>
      <c r="P146" s="152"/>
    </row>
    <row r="147" spans="1:16" x14ac:dyDescent="0.2">
      <c r="A147" s="140" t="s">
        <v>19</v>
      </c>
      <c r="B147" s="140" t="s">
        <v>58</v>
      </c>
      <c r="C147" s="140" t="s">
        <v>66</v>
      </c>
      <c r="D147" s="149" t="s">
        <v>136</v>
      </c>
      <c r="E147" s="139" t="s">
        <v>137</v>
      </c>
      <c r="F147" s="83"/>
      <c r="G147" s="83"/>
      <c r="H147" s="83"/>
      <c r="I147" s="83"/>
      <c r="J147" s="83"/>
      <c r="K147" s="152"/>
      <c r="L147" s="152"/>
      <c r="M147" s="152"/>
      <c r="N147" s="152"/>
      <c r="O147" s="152"/>
      <c r="P147" s="152"/>
    </row>
    <row r="148" spans="1:16" x14ac:dyDescent="0.2">
      <c r="A148" s="140" t="s">
        <v>19</v>
      </c>
      <c r="B148" s="140" t="s">
        <v>58</v>
      </c>
      <c r="C148" s="140" t="s">
        <v>66</v>
      </c>
      <c r="D148" s="149" t="s">
        <v>615</v>
      </c>
      <c r="E148" s="139" t="s">
        <v>675</v>
      </c>
      <c r="F148" s="83"/>
      <c r="G148" s="83"/>
      <c r="H148" s="83"/>
      <c r="I148" s="83"/>
      <c r="J148" s="83"/>
      <c r="K148" s="152"/>
      <c r="L148" s="152"/>
      <c r="M148" s="152"/>
      <c r="N148" s="152"/>
      <c r="O148" s="152"/>
      <c r="P148" s="152"/>
    </row>
    <row r="149" spans="1:16" x14ac:dyDescent="0.2">
      <c r="A149" s="140" t="s">
        <v>19</v>
      </c>
      <c r="B149" s="140" t="s">
        <v>58</v>
      </c>
      <c r="C149" s="140" t="s">
        <v>66</v>
      </c>
      <c r="D149" s="149" t="s">
        <v>877</v>
      </c>
      <c r="E149" s="139" t="s">
        <v>181</v>
      </c>
      <c r="F149" s="83"/>
      <c r="G149" s="83"/>
      <c r="H149" s="83"/>
      <c r="I149" s="83"/>
      <c r="J149" s="83"/>
      <c r="K149" s="152"/>
      <c r="L149" s="152"/>
      <c r="M149" s="152"/>
      <c r="N149" s="152"/>
      <c r="O149" s="152"/>
      <c r="P149" s="152"/>
    </row>
    <row r="150" spans="1:16" x14ac:dyDescent="0.2">
      <c r="A150" s="140" t="s">
        <v>19</v>
      </c>
      <c r="B150" s="140" t="s">
        <v>58</v>
      </c>
      <c r="C150" s="140" t="s">
        <v>66</v>
      </c>
      <c r="D150" s="149" t="s">
        <v>612</v>
      </c>
      <c r="E150" s="139" t="s">
        <v>673</v>
      </c>
      <c r="F150" s="83"/>
      <c r="G150" s="83"/>
      <c r="H150" s="83"/>
      <c r="I150" s="83"/>
      <c r="J150" s="83"/>
      <c r="K150" s="152"/>
      <c r="L150" s="152"/>
      <c r="M150" s="152"/>
      <c r="N150" s="152"/>
      <c r="O150" s="152"/>
      <c r="P150" s="152"/>
    </row>
    <row r="151" spans="1:16" x14ac:dyDescent="0.2">
      <c r="A151" s="140" t="s">
        <v>19</v>
      </c>
      <c r="B151" s="140" t="s">
        <v>58</v>
      </c>
      <c r="C151" s="140" t="s">
        <v>59</v>
      </c>
      <c r="D151" s="149" t="s">
        <v>60</v>
      </c>
      <c r="E151" s="139" t="s">
        <v>61</v>
      </c>
      <c r="F151" s="83"/>
      <c r="G151" s="83"/>
      <c r="H151" s="83"/>
      <c r="I151" s="83"/>
      <c r="J151" s="83"/>
      <c r="K151" s="152"/>
      <c r="L151" s="152"/>
      <c r="M151" s="152"/>
      <c r="N151" s="152"/>
      <c r="O151" s="152"/>
      <c r="P151" s="152"/>
    </row>
    <row r="152" spans="1:16" x14ac:dyDescent="0.2">
      <c r="A152" s="140" t="s">
        <v>19</v>
      </c>
      <c r="B152" s="140" t="s">
        <v>58</v>
      </c>
      <c r="C152" s="140" t="s">
        <v>59</v>
      </c>
      <c r="D152" s="149" t="s">
        <v>826</v>
      </c>
      <c r="E152" s="139" t="s">
        <v>716</v>
      </c>
      <c r="F152" s="83"/>
      <c r="G152" s="83"/>
      <c r="H152" s="83"/>
      <c r="I152" s="83"/>
      <c r="J152" s="83"/>
      <c r="K152" s="152"/>
      <c r="L152" s="152"/>
      <c r="M152" s="152"/>
      <c r="N152" s="152"/>
      <c r="O152" s="152"/>
      <c r="P152" s="152"/>
    </row>
    <row r="153" spans="1:16" x14ac:dyDescent="0.2">
      <c r="A153" s="140" t="s">
        <v>19</v>
      </c>
      <c r="B153" s="140" t="s">
        <v>58</v>
      </c>
      <c r="C153" s="140" t="s">
        <v>59</v>
      </c>
      <c r="D153" s="149" t="s">
        <v>59</v>
      </c>
      <c r="E153" s="139" t="s">
        <v>717</v>
      </c>
      <c r="F153" s="83"/>
      <c r="G153" s="83"/>
      <c r="H153" s="83"/>
      <c r="I153" s="83"/>
      <c r="J153" s="83"/>
      <c r="K153" s="152"/>
      <c r="L153" s="152"/>
      <c r="M153" s="152"/>
      <c r="N153" s="152"/>
      <c r="O153" s="152"/>
      <c r="P153" s="152"/>
    </row>
    <row r="154" spans="1:16" x14ac:dyDescent="0.2">
      <c r="A154" s="140" t="s">
        <v>19</v>
      </c>
      <c r="B154" s="140" t="s">
        <v>58</v>
      </c>
      <c r="C154" s="140" t="s">
        <v>59</v>
      </c>
      <c r="D154" s="149" t="s">
        <v>228</v>
      </c>
      <c r="E154" s="139" t="s">
        <v>131</v>
      </c>
      <c r="F154" s="83"/>
      <c r="G154" s="83"/>
      <c r="H154" s="83"/>
      <c r="I154" s="83"/>
      <c r="J154" s="83"/>
      <c r="K154" s="152"/>
      <c r="L154" s="152"/>
      <c r="M154" s="152"/>
      <c r="N154" s="152"/>
      <c r="O154" s="152"/>
      <c r="P154" s="152"/>
    </row>
    <row r="155" spans="1:16" x14ac:dyDescent="0.2">
      <c r="A155" s="140" t="s">
        <v>19</v>
      </c>
      <c r="B155" s="140" t="s">
        <v>23</v>
      </c>
      <c r="C155" s="140" t="s">
        <v>24</v>
      </c>
      <c r="D155" s="149" t="s">
        <v>25</v>
      </c>
      <c r="E155" s="139" t="s">
        <v>26</v>
      </c>
      <c r="F155" s="83"/>
      <c r="G155" s="83"/>
      <c r="H155" s="83"/>
      <c r="I155" s="83"/>
      <c r="J155" s="83"/>
      <c r="K155" s="152"/>
      <c r="L155" s="152"/>
      <c r="M155" s="152"/>
      <c r="N155" s="152"/>
      <c r="O155" s="152"/>
      <c r="P155" s="152"/>
    </row>
    <row r="156" spans="1:16" x14ac:dyDescent="0.2">
      <c r="A156" s="140" t="s">
        <v>19</v>
      </c>
      <c r="B156" s="140" t="s">
        <v>23</v>
      </c>
      <c r="C156" s="140" t="s">
        <v>24</v>
      </c>
      <c r="D156" s="149" t="s">
        <v>47</v>
      </c>
      <c r="E156" s="139" t="s">
        <v>48</v>
      </c>
      <c r="F156" s="83"/>
      <c r="G156" s="83"/>
      <c r="H156" s="83"/>
      <c r="I156" s="83"/>
      <c r="J156" s="83"/>
      <c r="K156" s="152"/>
      <c r="L156" s="152"/>
      <c r="M156" s="152"/>
      <c r="N156" s="152"/>
      <c r="O156" s="152"/>
      <c r="P156" s="152"/>
    </row>
    <row r="157" spans="1:16" x14ac:dyDescent="0.2">
      <c r="A157" s="140" t="s">
        <v>19</v>
      </c>
      <c r="B157" s="140" t="s">
        <v>23</v>
      </c>
      <c r="C157" s="140" t="s">
        <v>24</v>
      </c>
      <c r="D157" s="149" t="s">
        <v>51</v>
      </c>
      <c r="E157" s="139" t="s">
        <v>52</v>
      </c>
      <c r="F157" s="83"/>
      <c r="G157" s="83"/>
      <c r="H157" s="83"/>
      <c r="I157" s="83"/>
      <c r="J157" s="83"/>
      <c r="K157" s="152"/>
      <c r="L157" s="152"/>
      <c r="M157" s="152"/>
      <c r="N157" s="152"/>
      <c r="O157" s="152"/>
      <c r="P157" s="152"/>
    </row>
    <row r="158" spans="1:16" x14ac:dyDescent="0.2">
      <c r="A158" s="140" t="s">
        <v>19</v>
      </c>
      <c r="B158" s="140" t="s">
        <v>23</v>
      </c>
      <c r="C158" s="140" t="s">
        <v>24</v>
      </c>
      <c r="D158" s="149" t="s">
        <v>168</v>
      </c>
      <c r="E158" s="139" t="s">
        <v>169</v>
      </c>
      <c r="F158" s="83"/>
      <c r="G158" s="83"/>
      <c r="H158" s="83"/>
      <c r="I158" s="83"/>
      <c r="J158" s="83"/>
      <c r="K158" s="152"/>
      <c r="L158" s="152"/>
      <c r="M158" s="152"/>
      <c r="N158" s="152"/>
      <c r="O158" s="152"/>
      <c r="P158" s="152"/>
    </row>
    <row r="159" spans="1:16" x14ac:dyDescent="0.2">
      <c r="A159" s="140" t="s">
        <v>19</v>
      </c>
      <c r="B159" s="140" t="s">
        <v>23</v>
      </c>
      <c r="C159" s="140" t="s">
        <v>24</v>
      </c>
      <c r="D159" s="149" t="s">
        <v>170</v>
      </c>
      <c r="E159" s="139" t="s">
        <v>171</v>
      </c>
      <c r="F159" s="83"/>
      <c r="G159" s="83"/>
      <c r="H159" s="83"/>
      <c r="I159" s="83"/>
      <c r="J159" s="83"/>
      <c r="K159" s="152"/>
      <c r="L159" s="152"/>
      <c r="M159" s="152"/>
      <c r="N159" s="152"/>
      <c r="O159" s="152"/>
      <c r="P159" s="152"/>
    </row>
    <row r="160" spans="1:16" x14ac:dyDescent="0.2">
      <c r="A160" s="140" t="s">
        <v>19</v>
      </c>
      <c r="B160" s="140" t="s">
        <v>23</v>
      </c>
      <c r="C160" s="140" t="s">
        <v>24</v>
      </c>
      <c r="D160" s="149" t="s">
        <v>413</v>
      </c>
      <c r="E160" s="139" t="s">
        <v>732</v>
      </c>
      <c r="F160" s="83"/>
      <c r="G160" s="83"/>
      <c r="H160" s="83"/>
      <c r="I160" s="83"/>
      <c r="J160" s="83"/>
      <c r="K160" s="152"/>
      <c r="L160" s="152"/>
      <c r="M160" s="152"/>
      <c r="N160" s="152"/>
      <c r="O160" s="152"/>
      <c r="P160" s="152"/>
    </row>
    <row r="161" spans="1:16" x14ac:dyDescent="0.2">
      <c r="A161" s="140" t="s">
        <v>19</v>
      </c>
      <c r="B161" s="140" t="s">
        <v>23</v>
      </c>
      <c r="C161" s="140" t="s">
        <v>24</v>
      </c>
      <c r="D161" s="149" t="s">
        <v>82</v>
      </c>
      <c r="E161" s="139" t="s">
        <v>83</v>
      </c>
      <c r="F161" s="83"/>
      <c r="G161" s="83"/>
      <c r="H161" s="83"/>
      <c r="I161" s="83"/>
      <c r="J161" s="83"/>
      <c r="K161" s="152"/>
      <c r="L161" s="152"/>
      <c r="M161" s="152"/>
      <c r="N161" s="152"/>
      <c r="O161" s="152"/>
      <c r="P161" s="152"/>
    </row>
    <row r="162" spans="1:16" x14ac:dyDescent="0.2">
      <c r="A162" s="140" t="s">
        <v>19</v>
      </c>
      <c r="B162" s="140" t="s">
        <v>23</v>
      </c>
      <c r="C162" s="140" t="s">
        <v>24</v>
      </c>
      <c r="D162" s="149" t="s">
        <v>84</v>
      </c>
      <c r="E162" s="139" t="s">
        <v>85</v>
      </c>
      <c r="F162" s="83"/>
      <c r="G162" s="83"/>
      <c r="H162" s="83"/>
      <c r="I162" s="83"/>
      <c r="J162" s="83"/>
      <c r="K162" s="152"/>
      <c r="L162" s="152"/>
      <c r="M162" s="152"/>
      <c r="N162" s="152"/>
      <c r="O162" s="152"/>
      <c r="P162" s="152"/>
    </row>
    <row r="163" spans="1:16" x14ac:dyDescent="0.2">
      <c r="A163" s="140" t="s">
        <v>19</v>
      </c>
      <c r="B163" s="140" t="s">
        <v>23</v>
      </c>
      <c r="C163" s="140" t="s">
        <v>24</v>
      </c>
      <c r="D163" s="149" t="s">
        <v>89</v>
      </c>
      <c r="E163" s="139" t="s">
        <v>90</v>
      </c>
      <c r="F163" s="83"/>
      <c r="G163" s="83"/>
      <c r="H163" s="83"/>
      <c r="I163" s="83"/>
      <c r="J163" s="83"/>
      <c r="K163" s="152"/>
      <c r="L163" s="152"/>
      <c r="M163" s="152"/>
      <c r="N163" s="152"/>
      <c r="O163" s="152"/>
      <c r="P163" s="152"/>
    </row>
    <row r="164" spans="1:16" x14ac:dyDescent="0.2">
      <c r="A164" s="140" t="s">
        <v>19</v>
      </c>
      <c r="B164" s="140" t="s">
        <v>23</v>
      </c>
      <c r="C164" s="140" t="s">
        <v>24</v>
      </c>
      <c r="D164" s="149" t="s">
        <v>176</v>
      </c>
      <c r="E164" s="139" t="s">
        <v>177</v>
      </c>
      <c r="F164" s="83"/>
      <c r="G164" s="83"/>
      <c r="H164" s="83"/>
      <c r="I164" s="83"/>
      <c r="J164" s="83"/>
      <c r="K164" s="152"/>
      <c r="L164" s="152"/>
      <c r="M164" s="152"/>
      <c r="N164" s="152"/>
      <c r="O164" s="152"/>
      <c r="P164" s="152"/>
    </row>
    <row r="165" spans="1:16" x14ac:dyDescent="0.2">
      <c r="A165" s="140" t="s">
        <v>19</v>
      </c>
      <c r="B165" s="140" t="s">
        <v>23</v>
      </c>
      <c r="C165" s="140" t="s">
        <v>24</v>
      </c>
      <c r="D165" s="149" t="s">
        <v>93</v>
      </c>
      <c r="E165" s="139" t="s">
        <v>94</v>
      </c>
      <c r="F165" s="83"/>
      <c r="G165" s="83"/>
      <c r="H165" s="83"/>
      <c r="I165" s="83"/>
      <c r="J165" s="83"/>
      <c r="K165" s="152"/>
      <c r="L165" s="152"/>
      <c r="M165" s="152"/>
      <c r="N165" s="152"/>
      <c r="O165" s="152"/>
      <c r="P165" s="152"/>
    </row>
    <row r="166" spans="1:16" x14ac:dyDescent="0.2">
      <c r="A166" s="140" t="s">
        <v>19</v>
      </c>
      <c r="B166" s="140" t="s">
        <v>23</v>
      </c>
      <c r="C166" s="140" t="s">
        <v>24</v>
      </c>
      <c r="D166" s="149" t="s">
        <v>102</v>
      </c>
      <c r="E166" s="139" t="s">
        <v>103</v>
      </c>
      <c r="F166" s="83"/>
      <c r="G166" s="83"/>
      <c r="H166" s="83"/>
      <c r="I166" s="83"/>
      <c r="J166" s="83"/>
      <c r="K166" s="152"/>
      <c r="L166" s="152"/>
      <c r="M166" s="152"/>
      <c r="N166" s="152"/>
      <c r="O166" s="152"/>
      <c r="P166" s="152"/>
    </row>
    <row r="167" spans="1:16" x14ac:dyDescent="0.2">
      <c r="A167" s="140" t="s">
        <v>19</v>
      </c>
      <c r="B167" s="140" t="s">
        <v>23</v>
      </c>
      <c r="C167" s="140" t="s">
        <v>24</v>
      </c>
      <c r="D167" s="149" t="s">
        <v>107</v>
      </c>
      <c r="E167" s="139" t="s">
        <v>108</v>
      </c>
      <c r="F167" s="83"/>
      <c r="G167" s="83"/>
      <c r="H167" s="83"/>
      <c r="I167" s="83"/>
      <c r="J167" s="83"/>
      <c r="K167" s="152"/>
      <c r="L167" s="152"/>
      <c r="M167" s="152"/>
      <c r="N167" s="152"/>
      <c r="O167" s="152"/>
      <c r="P167" s="152"/>
    </row>
    <row r="168" spans="1:16" x14ac:dyDescent="0.2">
      <c r="A168" s="140" t="s">
        <v>19</v>
      </c>
      <c r="B168" s="140" t="s">
        <v>23</v>
      </c>
      <c r="C168" s="140" t="s">
        <v>104</v>
      </c>
      <c r="D168" s="149" t="s">
        <v>105</v>
      </c>
      <c r="E168" s="139" t="s">
        <v>106</v>
      </c>
      <c r="F168" s="83"/>
      <c r="G168" s="83"/>
      <c r="H168" s="83"/>
      <c r="I168" s="83"/>
      <c r="J168" s="83"/>
      <c r="K168" s="152"/>
      <c r="L168" s="152"/>
      <c r="M168" s="152"/>
      <c r="N168" s="152"/>
      <c r="O168" s="152"/>
      <c r="P168" s="152"/>
    </row>
    <row r="169" spans="1:16" x14ac:dyDescent="0.2">
      <c r="A169" s="140" t="s">
        <v>19</v>
      </c>
      <c r="B169" s="140" t="s">
        <v>23</v>
      </c>
      <c r="C169" s="140" t="s">
        <v>104</v>
      </c>
      <c r="D169" s="149" t="s">
        <v>140</v>
      </c>
      <c r="E169" s="139" t="s">
        <v>141</v>
      </c>
      <c r="F169" s="83"/>
      <c r="G169" s="83"/>
      <c r="H169" s="83"/>
      <c r="I169" s="83"/>
      <c r="J169" s="83"/>
      <c r="K169" s="152"/>
      <c r="L169" s="152"/>
      <c r="M169" s="152"/>
      <c r="N169" s="152"/>
      <c r="O169" s="152"/>
      <c r="P169" s="152"/>
    </row>
    <row r="170" spans="1:16" x14ac:dyDescent="0.2">
      <c r="A170" s="140" t="s">
        <v>19</v>
      </c>
      <c r="B170" s="140" t="s">
        <v>23</v>
      </c>
      <c r="C170" s="140" t="s">
        <v>38</v>
      </c>
      <c r="D170" s="149" t="s">
        <v>39</v>
      </c>
      <c r="E170" s="139" t="s">
        <v>40</v>
      </c>
      <c r="F170" s="83"/>
      <c r="G170" s="83"/>
      <c r="H170" s="83"/>
      <c r="I170" s="83"/>
      <c r="J170" s="83"/>
      <c r="K170" s="152"/>
      <c r="L170" s="152"/>
      <c r="M170" s="152"/>
      <c r="N170" s="152"/>
      <c r="O170" s="152"/>
      <c r="P170" s="152"/>
    </row>
    <row r="171" spans="1:16" x14ac:dyDescent="0.2">
      <c r="A171" s="140" t="s">
        <v>19</v>
      </c>
      <c r="B171" s="140" t="s">
        <v>23</v>
      </c>
      <c r="C171" s="140" t="s">
        <v>38</v>
      </c>
      <c r="D171" s="149" t="s">
        <v>53</v>
      </c>
      <c r="E171" s="139" t="s">
        <v>54</v>
      </c>
      <c r="F171" s="83"/>
      <c r="G171" s="83"/>
      <c r="H171" s="83"/>
      <c r="I171" s="83"/>
      <c r="J171" s="83"/>
      <c r="K171" s="152"/>
      <c r="L171" s="152"/>
      <c r="M171" s="152"/>
      <c r="N171" s="152"/>
      <c r="O171" s="152"/>
      <c r="P171" s="152"/>
    </row>
    <row r="172" spans="1:16" x14ac:dyDescent="0.2">
      <c r="A172" s="140" t="s">
        <v>19</v>
      </c>
      <c r="B172" s="140" t="s">
        <v>23</v>
      </c>
      <c r="C172" s="140" t="s">
        <v>38</v>
      </c>
      <c r="D172" s="149" t="s">
        <v>174</v>
      </c>
      <c r="E172" s="139" t="s">
        <v>175</v>
      </c>
      <c r="F172" s="83"/>
      <c r="G172" s="83"/>
      <c r="H172" s="83"/>
      <c r="I172" s="83"/>
      <c r="J172" s="83"/>
      <c r="K172" s="152"/>
      <c r="L172" s="152"/>
      <c r="M172" s="152"/>
      <c r="N172" s="152"/>
      <c r="O172" s="152"/>
      <c r="P172" s="152"/>
    </row>
    <row r="173" spans="1:16" x14ac:dyDescent="0.2">
      <c r="A173" s="140" t="s">
        <v>19</v>
      </c>
      <c r="B173" s="140" t="s">
        <v>23</v>
      </c>
      <c r="C173" s="140" t="s">
        <v>38</v>
      </c>
      <c r="D173" s="149" t="s">
        <v>91</v>
      </c>
      <c r="E173" s="139" t="s">
        <v>92</v>
      </c>
      <c r="F173" s="83"/>
      <c r="G173" s="83"/>
      <c r="H173" s="83"/>
      <c r="I173" s="83"/>
      <c r="J173" s="83"/>
      <c r="K173" s="152"/>
      <c r="L173" s="152"/>
      <c r="M173" s="152"/>
      <c r="N173" s="152"/>
      <c r="O173" s="152"/>
      <c r="P173" s="152"/>
    </row>
    <row r="174" spans="1:16" x14ac:dyDescent="0.2">
      <c r="A174" s="140" t="s">
        <v>19</v>
      </c>
      <c r="B174" s="140" t="s">
        <v>23</v>
      </c>
      <c r="C174" s="140" t="s">
        <v>38</v>
      </c>
      <c r="D174" s="149" t="s">
        <v>95</v>
      </c>
      <c r="E174" s="139" t="s">
        <v>96</v>
      </c>
      <c r="F174" s="83"/>
      <c r="G174" s="83"/>
      <c r="H174" s="83"/>
      <c r="I174" s="83"/>
      <c r="J174" s="83"/>
      <c r="K174" s="152"/>
      <c r="L174" s="152"/>
      <c r="M174" s="152"/>
      <c r="N174" s="152"/>
      <c r="O174" s="152"/>
      <c r="P174" s="152"/>
    </row>
    <row r="175" spans="1:16" x14ac:dyDescent="0.2">
      <c r="A175" s="140" t="s">
        <v>19</v>
      </c>
      <c r="B175" s="140" t="s">
        <v>23</v>
      </c>
      <c r="C175" s="140" t="s">
        <v>38</v>
      </c>
      <c r="D175" s="149" t="s">
        <v>825</v>
      </c>
      <c r="E175" s="139" t="s">
        <v>179</v>
      </c>
      <c r="F175" s="83"/>
      <c r="G175" s="83"/>
      <c r="H175" s="83"/>
      <c r="I175" s="83"/>
      <c r="J175" s="83"/>
      <c r="K175" s="152"/>
      <c r="L175" s="152"/>
      <c r="M175" s="152"/>
      <c r="N175" s="152"/>
      <c r="O175" s="152"/>
      <c r="P175" s="152"/>
    </row>
    <row r="176" spans="1:16" x14ac:dyDescent="0.2">
      <c r="A176" s="140" t="s">
        <v>19</v>
      </c>
      <c r="B176" s="140" t="s">
        <v>23</v>
      </c>
      <c r="C176" s="140" t="s">
        <v>38</v>
      </c>
      <c r="D176" s="149" t="s">
        <v>134</v>
      </c>
      <c r="E176" s="139" t="s">
        <v>135</v>
      </c>
      <c r="F176" s="83"/>
      <c r="G176" s="83"/>
      <c r="H176" s="83"/>
      <c r="I176" s="83"/>
      <c r="J176" s="83"/>
      <c r="K176" s="152"/>
      <c r="L176" s="152"/>
      <c r="M176" s="152"/>
      <c r="N176" s="152"/>
      <c r="O176" s="152"/>
      <c r="P176" s="152"/>
    </row>
    <row r="177" spans="1:16" x14ac:dyDescent="0.2">
      <c r="A177" s="140" t="s">
        <v>19</v>
      </c>
      <c r="B177" s="140" t="s">
        <v>23</v>
      </c>
      <c r="C177" s="140" t="s">
        <v>38</v>
      </c>
      <c r="D177" s="149" t="s">
        <v>138</v>
      </c>
      <c r="E177" s="139" t="s">
        <v>139</v>
      </c>
      <c r="F177" s="83"/>
      <c r="G177" s="83"/>
      <c r="H177" s="83"/>
      <c r="I177" s="83"/>
      <c r="J177" s="83"/>
      <c r="K177" s="152"/>
      <c r="L177" s="152"/>
      <c r="M177" s="152"/>
      <c r="N177" s="152"/>
      <c r="O177" s="152"/>
      <c r="P177" s="152"/>
    </row>
    <row r="178" spans="1:16" x14ac:dyDescent="0.2">
      <c r="A178" s="140" t="s">
        <v>19</v>
      </c>
      <c r="B178" s="140" t="s">
        <v>27</v>
      </c>
      <c r="C178" s="140" t="s">
        <v>66</v>
      </c>
      <c r="D178" s="149" t="s">
        <v>614</v>
      </c>
      <c r="E178" s="139" t="s">
        <v>674</v>
      </c>
      <c r="F178" s="83"/>
      <c r="G178" s="83"/>
      <c r="H178" s="83"/>
      <c r="I178" s="83"/>
      <c r="J178" s="83"/>
      <c r="K178" s="152"/>
      <c r="L178" s="152"/>
      <c r="M178" s="152"/>
      <c r="N178" s="152"/>
      <c r="O178" s="152"/>
      <c r="P178" s="152"/>
    </row>
    <row r="179" spans="1:16" x14ac:dyDescent="0.2">
      <c r="A179" s="140" t="s">
        <v>19</v>
      </c>
      <c r="B179" s="140" t="s">
        <v>27</v>
      </c>
      <c r="C179" s="140" t="s">
        <v>813</v>
      </c>
      <c r="D179" s="149" t="s">
        <v>218</v>
      </c>
      <c r="E179" s="139" t="s">
        <v>219</v>
      </c>
      <c r="F179" s="83"/>
      <c r="G179" s="83"/>
      <c r="H179" s="83"/>
      <c r="I179" s="83"/>
      <c r="J179" s="83"/>
      <c r="K179" s="152"/>
      <c r="L179" s="152"/>
      <c r="M179" s="152"/>
      <c r="N179" s="152"/>
      <c r="O179" s="152"/>
      <c r="P179" s="152"/>
    </row>
    <row r="180" spans="1:16" x14ac:dyDescent="0.2">
      <c r="A180" s="140" t="s">
        <v>19</v>
      </c>
      <c r="B180" s="140" t="s">
        <v>27</v>
      </c>
      <c r="C180" s="140" t="s">
        <v>28</v>
      </c>
      <c r="D180" s="149" t="s">
        <v>817</v>
      </c>
      <c r="E180" s="139" t="s">
        <v>734</v>
      </c>
      <c r="F180" s="83"/>
      <c r="G180" s="83"/>
      <c r="H180" s="83"/>
      <c r="I180" s="83"/>
      <c r="J180" s="83"/>
      <c r="K180" s="152"/>
      <c r="L180" s="152"/>
      <c r="M180" s="152"/>
      <c r="N180" s="152"/>
      <c r="O180" s="152"/>
      <c r="P180" s="152"/>
    </row>
    <row r="181" spans="1:16" x14ac:dyDescent="0.2">
      <c r="A181" s="140" t="s">
        <v>19</v>
      </c>
      <c r="B181" s="140" t="s">
        <v>27</v>
      </c>
      <c r="C181" s="140" t="s">
        <v>28</v>
      </c>
      <c r="D181" s="149" t="s">
        <v>356</v>
      </c>
      <c r="E181" s="139" t="s">
        <v>735</v>
      </c>
      <c r="F181" s="83"/>
      <c r="G181" s="83"/>
      <c r="H181" s="83"/>
      <c r="I181" s="83"/>
      <c r="J181" s="83"/>
      <c r="K181" s="152"/>
      <c r="L181" s="152"/>
      <c r="M181" s="152"/>
      <c r="N181" s="152"/>
      <c r="O181" s="152"/>
      <c r="P181" s="152"/>
    </row>
    <row r="182" spans="1:16" x14ac:dyDescent="0.2">
      <c r="A182" s="140" t="s">
        <v>19</v>
      </c>
      <c r="B182" s="140" t="s">
        <v>27</v>
      </c>
      <c r="C182" s="140" t="s">
        <v>28</v>
      </c>
      <c r="D182" s="149" t="s">
        <v>358</v>
      </c>
      <c r="E182" s="139" t="s">
        <v>736</v>
      </c>
      <c r="F182" s="83"/>
      <c r="G182" s="83"/>
      <c r="H182" s="83"/>
      <c r="I182" s="83"/>
      <c r="J182" s="83"/>
      <c r="K182" s="152"/>
      <c r="L182" s="152"/>
      <c r="M182" s="152"/>
      <c r="N182" s="152"/>
      <c r="O182" s="152"/>
      <c r="P182" s="152"/>
    </row>
    <row r="183" spans="1:16" x14ac:dyDescent="0.2">
      <c r="A183" s="140" t="s">
        <v>19</v>
      </c>
      <c r="B183" s="140" t="s">
        <v>27</v>
      </c>
      <c r="C183" s="140" t="s">
        <v>28</v>
      </c>
      <c r="D183" s="149" t="s">
        <v>29</v>
      </c>
      <c r="E183" s="139" t="s">
        <v>30</v>
      </c>
      <c r="F183" s="83"/>
      <c r="G183" s="83"/>
      <c r="H183" s="83"/>
      <c r="I183" s="83"/>
      <c r="J183" s="83"/>
      <c r="K183" s="152"/>
      <c r="L183" s="152"/>
      <c r="M183" s="152"/>
      <c r="N183" s="152"/>
      <c r="O183" s="152"/>
      <c r="P183" s="152"/>
    </row>
    <row r="184" spans="1:16" x14ac:dyDescent="0.2">
      <c r="A184" s="140" t="s">
        <v>19</v>
      </c>
      <c r="B184" s="140" t="s">
        <v>27</v>
      </c>
      <c r="C184" s="140" t="s">
        <v>28</v>
      </c>
      <c r="D184" s="149" t="s">
        <v>361</v>
      </c>
      <c r="E184" s="139" t="s">
        <v>737</v>
      </c>
      <c r="F184" s="83"/>
      <c r="G184" s="83"/>
      <c r="H184" s="83"/>
      <c r="I184" s="83"/>
      <c r="J184" s="83"/>
      <c r="K184" s="152"/>
      <c r="L184" s="152"/>
      <c r="M184" s="152"/>
      <c r="N184" s="152"/>
      <c r="O184" s="152"/>
      <c r="P184" s="152"/>
    </row>
    <row r="185" spans="1:16" x14ac:dyDescent="0.2">
      <c r="A185" s="140" t="s">
        <v>19</v>
      </c>
      <c r="B185" s="140" t="s">
        <v>27</v>
      </c>
      <c r="C185" s="140" t="s">
        <v>28</v>
      </c>
      <c r="D185" s="149" t="s">
        <v>363</v>
      </c>
      <c r="E185" s="139" t="s">
        <v>738</v>
      </c>
      <c r="F185" s="83"/>
      <c r="G185" s="83"/>
      <c r="H185" s="83"/>
      <c r="I185" s="83"/>
      <c r="J185" s="83"/>
      <c r="K185" s="152"/>
      <c r="L185" s="152"/>
      <c r="M185" s="152"/>
      <c r="N185" s="152"/>
      <c r="O185" s="152"/>
      <c r="P185" s="152"/>
    </row>
    <row r="186" spans="1:16" x14ac:dyDescent="0.2">
      <c r="A186" s="140" t="s">
        <v>19</v>
      </c>
      <c r="B186" s="140" t="s">
        <v>27</v>
      </c>
      <c r="C186" s="140" t="s">
        <v>28</v>
      </c>
      <c r="D186" s="149" t="s">
        <v>816</v>
      </c>
      <c r="E186" s="139" t="s">
        <v>739</v>
      </c>
      <c r="F186" s="83"/>
      <c r="G186" s="83"/>
      <c r="H186" s="83"/>
      <c r="I186" s="83"/>
      <c r="J186" s="83"/>
      <c r="K186" s="152"/>
      <c r="L186" s="152"/>
      <c r="M186" s="152"/>
      <c r="N186" s="152"/>
      <c r="O186" s="152"/>
      <c r="P186" s="152"/>
    </row>
    <row r="187" spans="1:16" x14ac:dyDescent="0.2">
      <c r="A187" s="140" t="s">
        <v>19</v>
      </c>
      <c r="B187" s="140" t="s">
        <v>27</v>
      </c>
      <c r="C187" s="140" t="s">
        <v>28</v>
      </c>
      <c r="D187" s="149" t="s">
        <v>824</v>
      </c>
      <c r="E187" s="139" t="s">
        <v>740</v>
      </c>
      <c r="F187" s="83"/>
      <c r="G187" s="83"/>
      <c r="H187" s="83"/>
      <c r="I187" s="83"/>
      <c r="J187" s="83"/>
      <c r="K187" s="152"/>
      <c r="L187" s="152"/>
      <c r="M187" s="152"/>
      <c r="N187" s="152"/>
      <c r="O187" s="152"/>
      <c r="P187" s="152"/>
    </row>
    <row r="188" spans="1:16" x14ac:dyDescent="0.2">
      <c r="A188" s="140" t="s">
        <v>19</v>
      </c>
      <c r="B188" s="140" t="s">
        <v>27</v>
      </c>
      <c r="C188" s="140" t="s">
        <v>28</v>
      </c>
      <c r="D188" s="149" t="s">
        <v>367</v>
      </c>
      <c r="E188" s="139" t="s">
        <v>741</v>
      </c>
      <c r="F188" s="83"/>
      <c r="G188" s="83"/>
      <c r="H188" s="83"/>
      <c r="I188" s="83"/>
      <c r="J188" s="83"/>
      <c r="K188" s="152"/>
      <c r="L188" s="152"/>
      <c r="M188" s="152"/>
      <c r="N188" s="152"/>
      <c r="O188" s="152"/>
      <c r="P188" s="152"/>
    </row>
    <row r="189" spans="1:16" x14ac:dyDescent="0.2">
      <c r="A189" s="140" t="s">
        <v>19</v>
      </c>
      <c r="B189" s="140" t="s">
        <v>27</v>
      </c>
      <c r="C189" s="140" t="s">
        <v>28</v>
      </c>
      <c r="D189" s="149" t="s">
        <v>232</v>
      </c>
      <c r="E189" s="139" t="s">
        <v>233</v>
      </c>
      <c r="F189" s="83"/>
      <c r="G189" s="83"/>
      <c r="H189" s="83"/>
      <c r="I189" s="83"/>
      <c r="J189" s="83"/>
      <c r="K189" s="152"/>
      <c r="L189" s="152"/>
      <c r="M189" s="152"/>
      <c r="N189" s="152"/>
      <c r="O189" s="152"/>
      <c r="P189" s="152"/>
    </row>
    <row r="190" spans="1:16" x14ac:dyDescent="0.2">
      <c r="A190" s="140" t="s">
        <v>19</v>
      </c>
      <c r="B190" s="140" t="s">
        <v>27</v>
      </c>
      <c r="C190" s="140" t="s">
        <v>28</v>
      </c>
      <c r="D190" s="149" t="s">
        <v>818</v>
      </c>
      <c r="E190" s="139" t="s">
        <v>742</v>
      </c>
      <c r="F190" s="83"/>
      <c r="G190" s="83"/>
      <c r="H190" s="83"/>
      <c r="I190" s="83"/>
      <c r="J190" s="83"/>
      <c r="K190" s="152"/>
      <c r="L190" s="152"/>
      <c r="M190" s="152"/>
      <c r="N190" s="152"/>
      <c r="O190" s="152"/>
      <c r="P190" s="152"/>
    </row>
    <row r="191" spans="1:16" x14ac:dyDescent="0.2">
      <c r="A191" s="140" t="s">
        <v>19</v>
      </c>
      <c r="B191" s="140" t="s">
        <v>27</v>
      </c>
      <c r="C191" s="140" t="s">
        <v>28</v>
      </c>
      <c r="D191" s="149" t="s">
        <v>819</v>
      </c>
      <c r="E191" s="139" t="s">
        <v>743</v>
      </c>
      <c r="F191" s="83"/>
      <c r="G191" s="83"/>
      <c r="H191" s="83"/>
      <c r="I191" s="83"/>
      <c r="J191" s="83"/>
      <c r="K191" s="152"/>
      <c r="L191" s="152"/>
      <c r="M191" s="152"/>
      <c r="N191" s="152"/>
      <c r="O191" s="152"/>
      <c r="P191" s="152"/>
    </row>
    <row r="192" spans="1:16" x14ac:dyDescent="0.2">
      <c r="A192" s="140" t="s">
        <v>19</v>
      </c>
      <c r="B192" s="140" t="s">
        <v>27</v>
      </c>
      <c r="C192" s="140" t="s">
        <v>28</v>
      </c>
      <c r="D192" s="149" t="s">
        <v>820</v>
      </c>
      <c r="E192" s="139" t="s">
        <v>744</v>
      </c>
      <c r="F192" s="160"/>
      <c r="G192" s="160"/>
      <c r="H192" s="160"/>
      <c r="I192" s="160"/>
      <c r="J192" s="160"/>
      <c r="K192" s="152"/>
      <c r="L192" s="152"/>
      <c r="M192" s="152"/>
      <c r="N192" s="152"/>
      <c r="O192" s="152"/>
      <c r="P192" s="152"/>
    </row>
    <row r="193" spans="1:19" x14ac:dyDescent="0.2">
      <c r="A193" s="140" t="s">
        <v>19</v>
      </c>
      <c r="B193" s="140" t="s">
        <v>27</v>
      </c>
      <c r="C193" s="140" t="s">
        <v>28</v>
      </c>
      <c r="D193" s="149" t="s">
        <v>378</v>
      </c>
      <c r="E193" s="139" t="s">
        <v>745</v>
      </c>
      <c r="F193" s="160"/>
      <c r="G193" s="160"/>
      <c r="H193" s="160"/>
      <c r="I193" s="160"/>
      <c r="J193" s="160"/>
      <c r="K193" s="152"/>
      <c r="L193" s="152"/>
      <c r="M193" s="152"/>
      <c r="N193" s="152"/>
      <c r="O193" s="152"/>
      <c r="P193" s="152"/>
    </row>
    <row r="194" spans="1:19" x14ac:dyDescent="0.2">
      <c r="A194" s="140" t="s">
        <v>19</v>
      </c>
      <c r="B194" s="140" t="s">
        <v>27</v>
      </c>
      <c r="C194" s="140" t="s">
        <v>28</v>
      </c>
      <c r="D194" s="149" t="s">
        <v>381</v>
      </c>
      <c r="E194" s="139" t="s">
        <v>97</v>
      </c>
      <c r="F194" s="160"/>
      <c r="G194" s="160"/>
      <c r="H194" s="160"/>
      <c r="I194" s="160"/>
      <c r="J194" s="160"/>
      <c r="K194" s="152"/>
      <c r="L194" s="152"/>
      <c r="M194" s="152"/>
      <c r="N194" s="152"/>
      <c r="O194" s="152"/>
      <c r="P194" s="152"/>
    </row>
    <row r="195" spans="1:19" x14ac:dyDescent="0.2">
      <c r="A195" s="140" t="s">
        <v>19</v>
      </c>
      <c r="B195" s="140" t="s">
        <v>27</v>
      </c>
      <c r="C195" s="140" t="s">
        <v>28</v>
      </c>
      <c r="D195" s="149" t="s">
        <v>109</v>
      </c>
      <c r="E195" s="139" t="s">
        <v>110</v>
      </c>
      <c r="F195" s="160"/>
      <c r="G195" s="160"/>
      <c r="H195" s="160"/>
      <c r="I195" s="160"/>
      <c r="J195" s="160"/>
      <c r="K195" s="152"/>
      <c r="L195" s="152"/>
      <c r="M195" s="152"/>
      <c r="N195" s="152"/>
      <c r="O195" s="152"/>
      <c r="P195" s="152"/>
    </row>
    <row r="196" spans="1:19" x14ac:dyDescent="0.2">
      <c r="A196" s="140" t="s">
        <v>19</v>
      </c>
      <c r="B196" s="140" t="s">
        <v>27</v>
      </c>
      <c r="C196" s="140" t="s">
        <v>28</v>
      </c>
      <c r="D196" s="149" t="s">
        <v>386</v>
      </c>
      <c r="E196" s="139" t="s">
        <v>746</v>
      </c>
      <c r="F196" s="160"/>
      <c r="G196" s="160"/>
      <c r="H196" s="160"/>
      <c r="I196" s="160"/>
      <c r="J196" s="160"/>
      <c r="K196" s="152"/>
      <c r="L196" s="152"/>
      <c r="M196" s="152"/>
      <c r="N196" s="152"/>
      <c r="O196" s="152"/>
      <c r="P196" s="152"/>
    </row>
    <row r="197" spans="1:19" x14ac:dyDescent="0.2">
      <c r="A197" s="140" t="s">
        <v>19</v>
      </c>
      <c r="B197" s="140" t="s">
        <v>27</v>
      </c>
      <c r="C197" s="140" t="s">
        <v>28</v>
      </c>
      <c r="D197" s="149" t="s">
        <v>821</v>
      </c>
      <c r="E197" s="139" t="s">
        <v>747</v>
      </c>
      <c r="F197" s="160"/>
      <c r="G197" s="160"/>
      <c r="H197" s="160"/>
      <c r="I197" s="160"/>
      <c r="J197" s="160"/>
      <c r="K197" s="152"/>
      <c r="L197" s="152"/>
      <c r="M197" s="152"/>
      <c r="N197" s="152"/>
      <c r="O197" s="152"/>
      <c r="P197" s="152"/>
    </row>
    <row r="198" spans="1:19" x14ac:dyDescent="0.2">
      <c r="A198" s="140" t="s">
        <v>19</v>
      </c>
      <c r="B198" s="140" t="s">
        <v>27</v>
      </c>
      <c r="C198" s="140" t="s">
        <v>28</v>
      </c>
      <c r="D198" s="149" t="s">
        <v>391</v>
      </c>
      <c r="E198" s="139" t="s">
        <v>748</v>
      </c>
      <c r="F198" s="160"/>
      <c r="G198" s="160"/>
      <c r="H198" s="160"/>
      <c r="I198" s="160"/>
      <c r="J198" s="160"/>
      <c r="K198" s="152"/>
      <c r="L198" s="152"/>
      <c r="M198" s="152"/>
      <c r="N198" s="152"/>
      <c r="O198" s="152"/>
      <c r="P198" s="152"/>
    </row>
    <row r="199" spans="1:19" x14ac:dyDescent="0.2">
      <c r="A199" s="140" t="s">
        <v>19</v>
      </c>
      <c r="B199" s="140" t="s">
        <v>27</v>
      </c>
      <c r="C199" s="140" t="s">
        <v>28</v>
      </c>
      <c r="D199" s="149" t="s">
        <v>822</v>
      </c>
      <c r="E199" s="139" t="s">
        <v>749</v>
      </c>
      <c r="F199" s="160"/>
      <c r="G199" s="160"/>
      <c r="H199" s="160"/>
      <c r="I199" s="160"/>
      <c r="J199" s="160"/>
      <c r="K199" s="152"/>
      <c r="L199" s="152"/>
      <c r="M199" s="152"/>
      <c r="N199" s="152"/>
      <c r="O199" s="152"/>
      <c r="P199" s="152"/>
    </row>
    <row r="200" spans="1:19" s="81" customFormat="1" x14ac:dyDescent="0.2">
      <c r="A200" s="140" t="s">
        <v>19</v>
      </c>
      <c r="B200" s="140" t="s">
        <v>27</v>
      </c>
      <c r="C200" s="140" t="s">
        <v>28</v>
      </c>
      <c r="D200" s="149" t="s">
        <v>28</v>
      </c>
      <c r="E200" s="139" t="s">
        <v>130</v>
      </c>
      <c r="F200" s="160"/>
      <c r="G200" s="160"/>
      <c r="H200" s="160"/>
      <c r="I200" s="160"/>
      <c r="J200" s="160"/>
      <c r="K200" s="152"/>
      <c r="L200" s="152"/>
      <c r="M200" s="152"/>
      <c r="N200" s="152"/>
      <c r="O200" s="152"/>
      <c r="P200" s="152"/>
      <c r="R200" s="80"/>
      <c r="S200" s="80"/>
    </row>
    <row r="201" spans="1:19" x14ac:dyDescent="0.2">
      <c r="A201" s="140" t="s">
        <v>19</v>
      </c>
      <c r="B201" s="140" t="s">
        <v>27</v>
      </c>
      <c r="C201" s="140" t="s">
        <v>28</v>
      </c>
      <c r="D201" s="149" t="s">
        <v>397</v>
      </c>
      <c r="E201" s="139" t="s">
        <v>750</v>
      </c>
      <c r="F201" s="160"/>
      <c r="G201" s="160"/>
      <c r="H201" s="160"/>
      <c r="I201" s="160"/>
      <c r="J201" s="160"/>
      <c r="K201" s="152"/>
      <c r="L201" s="152"/>
      <c r="M201" s="152"/>
      <c r="N201" s="152"/>
      <c r="O201" s="152"/>
      <c r="P201" s="152"/>
    </row>
    <row r="202" spans="1:19" x14ac:dyDescent="0.2">
      <c r="A202" s="140" t="s">
        <v>19</v>
      </c>
      <c r="B202" s="140" t="s">
        <v>27</v>
      </c>
      <c r="C202" s="140" t="s">
        <v>28</v>
      </c>
      <c r="D202" s="149" t="s">
        <v>400</v>
      </c>
      <c r="E202" s="139" t="s">
        <v>751</v>
      </c>
      <c r="F202" s="160"/>
      <c r="G202" s="160"/>
      <c r="H202" s="160"/>
      <c r="I202" s="160"/>
      <c r="J202" s="160"/>
      <c r="K202" s="152"/>
      <c r="L202" s="152"/>
      <c r="M202" s="152"/>
      <c r="N202" s="152"/>
      <c r="O202" s="152"/>
      <c r="P202" s="152"/>
    </row>
    <row r="203" spans="1:19" x14ac:dyDescent="0.2">
      <c r="A203" s="140" t="s">
        <v>19</v>
      </c>
      <c r="B203" s="140" t="s">
        <v>27</v>
      </c>
      <c r="C203" s="140" t="s">
        <v>28</v>
      </c>
      <c r="D203" s="149" t="s">
        <v>142</v>
      </c>
      <c r="E203" s="139" t="s">
        <v>143</v>
      </c>
      <c r="F203" s="160"/>
      <c r="G203" s="160"/>
      <c r="H203" s="160"/>
      <c r="I203" s="160"/>
      <c r="J203" s="160"/>
      <c r="K203" s="152"/>
      <c r="L203" s="152"/>
      <c r="M203" s="152"/>
      <c r="N203" s="152"/>
      <c r="O203" s="152"/>
      <c r="P203" s="152"/>
    </row>
    <row r="204" spans="1:19" x14ac:dyDescent="0.2">
      <c r="A204" s="140" t="s">
        <v>19</v>
      </c>
      <c r="B204" s="140" t="s">
        <v>27</v>
      </c>
      <c r="C204" s="140" t="s">
        <v>28</v>
      </c>
      <c r="D204" s="149" t="s">
        <v>823</v>
      </c>
      <c r="E204" s="139" t="s">
        <v>752</v>
      </c>
      <c r="F204" s="160"/>
      <c r="G204" s="160"/>
      <c r="H204" s="160"/>
      <c r="I204" s="160"/>
      <c r="J204" s="160"/>
      <c r="K204" s="152"/>
      <c r="L204" s="152"/>
      <c r="M204" s="152"/>
      <c r="N204" s="152"/>
      <c r="O204" s="152"/>
      <c r="P204" s="152"/>
    </row>
    <row r="205" spans="1:19" x14ac:dyDescent="0.2">
      <c r="A205" s="130" t="s">
        <v>801</v>
      </c>
      <c r="B205" s="139" t="s">
        <v>155</v>
      </c>
      <c r="C205" s="140" t="s">
        <v>66</v>
      </c>
      <c r="D205" s="149" t="s">
        <v>156</v>
      </c>
      <c r="E205" s="139" t="s">
        <v>157</v>
      </c>
      <c r="F205" s="160"/>
      <c r="G205" s="160"/>
      <c r="H205" s="160"/>
      <c r="I205" s="160"/>
      <c r="J205" s="160"/>
      <c r="K205" s="152"/>
      <c r="L205" s="152"/>
      <c r="M205" s="152"/>
      <c r="N205" s="152"/>
      <c r="O205" s="152"/>
      <c r="P205" s="152"/>
    </row>
    <row r="206" spans="1:19" x14ac:dyDescent="0.2">
      <c r="A206" s="130" t="s">
        <v>158</v>
      </c>
      <c r="B206" s="139" t="s">
        <v>155</v>
      </c>
      <c r="C206" s="140" t="s">
        <v>66</v>
      </c>
      <c r="D206" s="149" t="s">
        <v>159</v>
      </c>
      <c r="E206" s="139" t="s">
        <v>160</v>
      </c>
      <c r="F206" s="160"/>
      <c r="G206" s="160"/>
      <c r="H206" s="160"/>
      <c r="I206" s="160"/>
      <c r="J206" s="160"/>
      <c r="K206" s="152"/>
      <c r="L206" s="152"/>
      <c r="M206" s="152"/>
      <c r="N206" s="152"/>
      <c r="O206" s="152"/>
      <c r="P206" s="152"/>
    </row>
    <row r="207" spans="1:19" x14ac:dyDescent="0.2">
      <c r="A207" s="130" t="s">
        <v>161</v>
      </c>
      <c r="B207" s="139" t="s">
        <v>155</v>
      </c>
      <c r="C207" s="140" t="s">
        <v>66</v>
      </c>
      <c r="D207" s="150" t="s">
        <v>21</v>
      </c>
      <c r="E207" s="173" t="s">
        <v>22</v>
      </c>
      <c r="F207" s="160"/>
      <c r="G207" s="160"/>
      <c r="H207" s="161"/>
      <c r="I207" s="161"/>
      <c r="J207" s="161"/>
      <c r="P207" s="153"/>
    </row>
    <row r="208" spans="1:19" x14ac:dyDescent="0.2">
      <c r="A208" s="130" t="s">
        <v>161</v>
      </c>
      <c r="B208" s="139" t="s">
        <v>155</v>
      </c>
      <c r="C208" s="140" t="s">
        <v>66</v>
      </c>
      <c r="D208" s="170" t="s">
        <v>166</v>
      </c>
      <c r="E208" s="173" t="s">
        <v>167</v>
      </c>
      <c r="F208" s="160"/>
      <c r="G208" s="160"/>
      <c r="H208" s="161"/>
      <c r="I208" s="161"/>
      <c r="J208" s="161"/>
      <c r="P208" s="153"/>
    </row>
    <row r="209" spans="1:16" x14ac:dyDescent="0.2">
      <c r="A209" s="130" t="s">
        <v>161</v>
      </c>
      <c r="B209" s="139" t="s">
        <v>155</v>
      </c>
      <c r="C209" s="140" t="s">
        <v>66</v>
      </c>
      <c r="D209" s="150" t="s">
        <v>172</v>
      </c>
      <c r="E209" s="173" t="s">
        <v>173</v>
      </c>
      <c r="F209" s="160"/>
      <c r="G209" s="160"/>
      <c r="H209" s="161"/>
      <c r="I209" s="161"/>
      <c r="J209" s="161"/>
      <c r="P209" s="153"/>
    </row>
    <row r="210" spans="1:16" x14ac:dyDescent="0.2">
      <c r="A210" s="130" t="s">
        <v>161</v>
      </c>
      <c r="B210" s="139" t="s">
        <v>155</v>
      </c>
      <c r="C210" s="140" t="s">
        <v>66</v>
      </c>
      <c r="D210" s="170" t="s">
        <v>180</v>
      </c>
      <c r="E210" s="173" t="s">
        <v>181</v>
      </c>
      <c r="F210" s="160"/>
      <c r="G210" s="160"/>
      <c r="H210" s="161"/>
      <c r="I210" s="161"/>
      <c r="J210" s="161"/>
      <c r="P210" s="153"/>
    </row>
    <row r="211" spans="1:16" x14ac:dyDescent="0.2">
      <c r="A211" s="130" t="s">
        <v>161</v>
      </c>
      <c r="B211" s="139" t="s">
        <v>23</v>
      </c>
      <c r="C211" s="140" t="s">
        <v>38</v>
      </c>
      <c r="D211" s="170" t="s">
        <v>39</v>
      </c>
      <c r="E211" s="173" t="s">
        <v>40</v>
      </c>
      <c r="F211" s="160"/>
      <c r="G211" s="160"/>
      <c r="H211" s="161"/>
      <c r="I211" s="161"/>
      <c r="J211" s="161"/>
      <c r="P211" s="153"/>
    </row>
    <row r="212" spans="1:16" x14ac:dyDescent="0.2">
      <c r="A212" s="130" t="s">
        <v>161</v>
      </c>
      <c r="B212" s="139" t="s">
        <v>23</v>
      </c>
      <c r="C212" s="140" t="s">
        <v>38</v>
      </c>
      <c r="D212" s="150" t="s">
        <v>53</v>
      </c>
      <c r="E212" s="173" t="s">
        <v>54</v>
      </c>
      <c r="F212" s="160"/>
      <c r="G212" s="160"/>
      <c r="H212" s="161"/>
      <c r="I212" s="161"/>
      <c r="J212" s="161"/>
      <c r="P212" s="153"/>
    </row>
    <row r="213" spans="1:16" x14ac:dyDescent="0.2">
      <c r="A213" s="130" t="s">
        <v>161</v>
      </c>
      <c r="B213" s="139" t="s">
        <v>23</v>
      </c>
      <c r="C213" s="140" t="s">
        <v>38</v>
      </c>
      <c r="D213" s="170" t="s">
        <v>174</v>
      </c>
      <c r="E213" s="173" t="s">
        <v>175</v>
      </c>
      <c r="F213" s="160"/>
      <c r="G213" s="160"/>
      <c r="H213" s="161"/>
      <c r="I213" s="161"/>
      <c r="J213" s="161"/>
      <c r="P213" s="153"/>
    </row>
    <row r="214" spans="1:16" x14ac:dyDescent="0.2">
      <c r="A214" s="130" t="s">
        <v>161</v>
      </c>
      <c r="B214" s="139" t="s">
        <v>23</v>
      </c>
      <c r="C214" s="140" t="s">
        <v>38</v>
      </c>
      <c r="D214" s="170" t="s">
        <v>91</v>
      </c>
      <c r="E214" s="173" t="s">
        <v>92</v>
      </c>
      <c r="F214" s="160"/>
      <c r="G214" s="160"/>
      <c r="H214" s="161"/>
      <c r="I214" s="161"/>
      <c r="J214" s="161"/>
      <c r="P214" s="153"/>
    </row>
    <row r="215" spans="1:16" x14ac:dyDescent="0.2">
      <c r="A215" s="130" t="s">
        <v>161</v>
      </c>
      <c r="B215" s="139" t="s">
        <v>23</v>
      </c>
      <c r="C215" s="140" t="s">
        <v>38</v>
      </c>
      <c r="D215" s="150" t="s">
        <v>95</v>
      </c>
      <c r="E215" s="173" t="s">
        <v>96</v>
      </c>
      <c r="F215" s="160"/>
      <c r="G215" s="160"/>
      <c r="H215" s="161"/>
      <c r="I215" s="161"/>
      <c r="J215" s="161"/>
      <c r="P215" s="153"/>
    </row>
    <row r="216" spans="1:16" x14ac:dyDescent="0.2">
      <c r="A216" s="130" t="s">
        <v>161</v>
      </c>
      <c r="B216" s="139" t="s">
        <v>23</v>
      </c>
      <c r="C216" s="140" t="s">
        <v>38</v>
      </c>
      <c r="D216" s="170" t="s">
        <v>178</v>
      </c>
      <c r="E216" s="173" t="s">
        <v>179</v>
      </c>
      <c r="F216" s="160"/>
      <c r="G216" s="160"/>
      <c r="H216" s="161"/>
      <c r="I216" s="161"/>
      <c r="J216" s="161"/>
      <c r="P216" s="153"/>
    </row>
    <row r="217" spans="1:16" x14ac:dyDescent="0.2">
      <c r="A217" s="130" t="s">
        <v>161</v>
      </c>
      <c r="B217" s="139" t="s">
        <v>23</v>
      </c>
      <c r="C217" s="140" t="s">
        <v>38</v>
      </c>
      <c r="D217" s="150" t="s">
        <v>134</v>
      </c>
      <c r="E217" s="173" t="s">
        <v>135</v>
      </c>
      <c r="F217" s="160"/>
      <c r="G217" s="160"/>
      <c r="H217" s="161"/>
      <c r="I217" s="161"/>
      <c r="J217" s="161"/>
      <c r="P217" s="153"/>
    </row>
    <row r="218" spans="1:16" x14ac:dyDescent="0.2">
      <c r="A218" s="130" t="s">
        <v>161</v>
      </c>
      <c r="B218" s="139" t="s">
        <v>23</v>
      </c>
      <c r="C218" s="140" t="s">
        <v>38</v>
      </c>
      <c r="D218" s="150" t="s">
        <v>138</v>
      </c>
      <c r="E218" s="173" t="s">
        <v>139</v>
      </c>
      <c r="F218" s="160"/>
      <c r="G218" s="160"/>
      <c r="H218" s="161"/>
      <c r="I218" s="161"/>
      <c r="J218" s="161"/>
      <c r="P218" s="153"/>
    </row>
    <row r="219" spans="1:16" x14ac:dyDescent="0.2">
      <c r="A219" s="130" t="s">
        <v>161</v>
      </c>
      <c r="B219" s="139" t="s">
        <v>20</v>
      </c>
      <c r="C219" s="140" t="s">
        <v>37</v>
      </c>
      <c r="D219" s="150" t="s">
        <v>162</v>
      </c>
      <c r="E219" s="173" t="s">
        <v>163</v>
      </c>
      <c r="F219" s="160"/>
      <c r="G219" s="160"/>
      <c r="H219" s="161"/>
      <c r="I219" s="161"/>
      <c r="J219" s="161"/>
      <c r="P219" s="153"/>
    </row>
    <row r="220" spans="1:16" x14ac:dyDescent="0.2">
      <c r="A220" s="130" t="s">
        <v>161</v>
      </c>
      <c r="B220" s="139" t="s">
        <v>20</v>
      </c>
      <c r="C220" s="140" t="s">
        <v>37</v>
      </c>
      <c r="D220" s="150" t="s">
        <v>37</v>
      </c>
      <c r="E220" s="173" t="s">
        <v>77</v>
      </c>
      <c r="F220" s="160"/>
      <c r="G220" s="160"/>
      <c r="H220" s="161"/>
      <c r="I220" s="161"/>
      <c r="J220" s="161"/>
      <c r="P220" s="153"/>
    </row>
    <row r="221" spans="1:16" x14ac:dyDescent="0.2">
      <c r="A221" s="130" t="s">
        <v>161</v>
      </c>
      <c r="B221" s="139" t="s">
        <v>20</v>
      </c>
      <c r="C221" s="140" t="s">
        <v>37</v>
      </c>
      <c r="D221" s="170" t="s">
        <v>121</v>
      </c>
      <c r="E221" s="173" t="s">
        <v>122</v>
      </c>
      <c r="F221" s="160"/>
      <c r="G221" s="160"/>
      <c r="H221" s="161"/>
      <c r="I221" s="161"/>
      <c r="J221" s="161"/>
      <c r="P221" s="153"/>
    </row>
    <row r="222" spans="1:16" x14ac:dyDescent="0.2">
      <c r="A222" s="130" t="s">
        <v>161</v>
      </c>
      <c r="B222" s="139" t="s">
        <v>20</v>
      </c>
      <c r="C222" s="140" t="s">
        <v>37</v>
      </c>
      <c r="D222" s="150" t="s">
        <v>152</v>
      </c>
      <c r="E222" s="173" t="s">
        <v>153</v>
      </c>
      <c r="F222" s="160"/>
      <c r="G222" s="160"/>
      <c r="H222" s="161"/>
      <c r="I222" s="161"/>
      <c r="J222" s="161"/>
      <c r="P222" s="153"/>
    </row>
    <row r="223" spans="1:16" x14ac:dyDescent="0.2">
      <c r="A223" s="130" t="s">
        <v>161</v>
      </c>
      <c r="B223" s="139" t="s">
        <v>20</v>
      </c>
      <c r="C223" s="140" t="s">
        <v>34</v>
      </c>
      <c r="D223" s="150" t="s">
        <v>35</v>
      </c>
      <c r="E223" s="173" t="s">
        <v>36</v>
      </c>
      <c r="F223" s="160"/>
      <c r="G223" s="160"/>
      <c r="H223" s="161"/>
      <c r="I223" s="161"/>
      <c r="J223" s="161"/>
      <c r="P223" s="153"/>
    </row>
    <row r="224" spans="1:16" x14ac:dyDescent="0.2">
      <c r="A224" s="130" t="s">
        <v>161</v>
      </c>
      <c r="B224" s="139" t="s">
        <v>20</v>
      </c>
      <c r="C224" s="140" t="s">
        <v>34</v>
      </c>
      <c r="D224" s="150" t="s">
        <v>164</v>
      </c>
      <c r="E224" s="173" t="s">
        <v>165</v>
      </c>
      <c r="F224" s="160"/>
      <c r="G224" s="160"/>
      <c r="H224" s="161"/>
      <c r="I224" s="161"/>
      <c r="J224" s="161"/>
      <c r="P224" s="153"/>
    </row>
    <row r="225" spans="1:16" x14ac:dyDescent="0.2">
      <c r="A225" s="130" t="s">
        <v>161</v>
      </c>
      <c r="B225" s="139" t="s">
        <v>20</v>
      </c>
      <c r="C225" s="140" t="s">
        <v>34</v>
      </c>
      <c r="D225" s="170" t="s">
        <v>49</v>
      </c>
      <c r="E225" s="173" t="s">
        <v>50</v>
      </c>
      <c r="F225" s="160"/>
      <c r="G225" s="160"/>
      <c r="H225" s="161"/>
      <c r="I225" s="161"/>
      <c r="J225" s="161"/>
      <c r="P225" s="153"/>
    </row>
    <row r="226" spans="1:16" x14ac:dyDescent="0.2">
      <c r="A226" s="130" t="s">
        <v>161</v>
      </c>
      <c r="B226" s="139" t="s">
        <v>20</v>
      </c>
      <c r="C226" s="140" t="s">
        <v>34</v>
      </c>
      <c r="D226" s="170" t="s">
        <v>62</v>
      </c>
      <c r="E226" s="173" t="s">
        <v>63</v>
      </c>
      <c r="F226" s="160"/>
      <c r="G226" s="160"/>
      <c r="H226" s="161"/>
      <c r="I226" s="161"/>
      <c r="J226" s="161"/>
      <c r="P226" s="153"/>
    </row>
    <row r="227" spans="1:16" x14ac:dyDescent="0.2">
      <c r="A227" s="130" t="s">
        <v>161</v>
      </c>
      <c r="B227" s="139" t="s">
        <v>20</v>
      </c>
      <c r="C227" s="140" t="s">
        <v>34</v>
      </c>
      <c r="D227" s="150" t="s">
        <v>113</v>
      </c>
      <c r="E227" s="173" t="s">
        <v>114</v>
      </c>
      <c r="F227" s="160"/>
      <c r="G227" s="160"/>
      <c r="H227" s="161"/>
      <c r="I227" s="161"/>
      <c r="J227" s="161"/>
      <c r="P227" s="153"/>
    </row>
    <row r="228" spans="1:16" x14ac:dyDescent="0.2">
      <c r="A228" s="130" t="s">
        <v>161</v>
      </c>
      <c r="B228" s="139" t="s">
        <v>20</v>
      </c>
      <c r="C228" s="140" t="s">
        <v>34</v>
      </c>
      <c r="D228" s="170" t="s">
        <v>144</v>
      </c>
      <c r="E228" s="173" t="s">
        <v>145</v>
      </c>
      <c r="F228" s="160"/>
      <c r="G228" s="160"/>
      <c r="H228" s="161"/>
      <c r="I228" s="161"/>
      <c r="J228" s="161"/>
      <c r="P228" s="153"/>
    </row>
    <row r="229" spans="1:16" x14ac:dyDescent="0.2">
      <c r="A229" s="130" t="s">
        <v>161</v>
      </c>
      <c r="B229" s="139" t="s">
        <v>20</v>
      </c>
      <c r="C229" s="140" t="s">
        <v>34</v>
      </c>
      <c r="D229" s="150" t="s">
        <v>150</v>
      </c>
      <c r="E229" s="173" t="s">
        <v>151</v>
      </c>
      <c r="F229" s="160"/>
      <c r="G229" s="160"/>
      <c r="H229" s="161"/>
      <c r="I229" s="161"/>
      <c r="J229" s="161"/>
      <c r="P229" s="153"/>
    </row>
    <row r="230" spans="1:16" x14ac:dyDescent="0.2">
      <c r="A230" s="130" t="s">
        <v>161</v>
      </c>
      <c r="B230" s="139" t="s">
        <v>23</v>
      </c>
      <c r="C230" s="140" t="s">
        <v>24</v>
      </c>
      <c r="D230" s="170" t="s">
        <v>25</v>
      </c>
      <c r="E230" s="173" t="s">
        <v>26</v>
      </c>
      <c r="F230" s="160"/>
      <c r="G230" s="160"/>
      <c r="H230" s="161"/>
      <c r="I230" s="161"/>
      <c r="J230" s="161"/>
      <c r="P230" s="153"/>
    </row>
    <row r="231" spans="1:16" x14ac:dyDescent="0.2">
      <c r="A231" s="130" t="s">
        <v>161</v>
      </c>
      <c r="B231" s="139" t="s">
        <v>23</v>
      </c>
      <c r="C231" s="140" t="s">
        <v>24</v>
      </c>
      <c r="D231" s="150" t="s">
        <v>47</v>
      </c>
      <c r="E231" s="173" t="s">
        <v>48</v>
      </c>
      <c r="F231" s="160"/>
      <c r="G231" s="160"/>
      <c r="H231" s="161"/>
      <c r="I231" s="161"/>
      <c r="J231" s="161"/>
      <c r="P231" s="153"/>
    </row>
    <row r="232" spans="1:16" x14ac:dyDescent="0.2">
      <c r="A232" s="130" t="s">
        <v>161</v>
      </c>
      <c r="B232" s="139" t="s">
        <v>23</v>
      </c>
      <c r="C232" s="140" t="s">
        <v>24</v>
      </c>
      <c r="D232" s="150" t="s">
        <v>51</v>
      </c>
      <c r="E232" s="173" t="s">
        <v>52</v>
      </c>
      <c r="F232" s="160"/>
      <c r="G232" s="160"/>
      <c r="H232" s="161"/>
      <c r="I232" s="161"/>
      <c r="J232" s="161"/>
      <c r="P232" s="153"/>
    </row>
    <row r="233" spans="1:16" x14ac:dyDescent="0.2">
      <c r="A233" s="130" t="s">
        <v>161</v>
      </c>
      <c r="B233" s="139" t="s">
        <v>23</v>
      </c>
      <c r="C233" s="140" t="s">
        <v>24</v>
      </c>
      <c r="D233" s="170" t="s">
        <v>168</v>
      </c>
      <c r="E233" s="173" t="s">
        <v>169</v>
      </c>
      <c r="F233" s="160"/>
      <c r="G233" s="160"/>
      <c r="H233" s="161"/>
      <c r="I233" s="161"/>
      <c r="J233" s="161"/>
      <c r="P233" s="153"/>
    </row>
    <row r="234" spans="1:16" x14ac:dyDescent="0.2">
      <c r="A234" s="130" t="s">
        <v>161</v>
      </c>
      <c r="B234" s="139" t="s">
        <v>23</v>
      </c>
      <c r="C234" s="140" t="s">
        <v>24</v>
      </c>
      <c r="D234" s="170" t="s">
        <v>170</v>
      </c>
      <c r="E234" s="173" t="s">
        <v>171</v>
      </c>
      <c r="F234" s="160"/>
      <c r="G234" s="160"/>
      <c r="H234" s="161"/>
      <c r="I234" s="161"/>
      <c r="J234" s="161"/>
      <c r="P234" s="153"/>
    </row>
    <row r="235" spans="1:16" x14ac:dyDescent="0.2">
      <c r="A235" s="130" t="s">
        <v>161</v>
      </c>
      <c r="B235" s="139" t="s">
        <v>23</v>
      </c>
      <c r="C235" s="140" t="s">
        <v>24</v>
      </c>
      <c r="D235" s="170" t="s">
        <v>82</v>
      </c>
      <c r="E235" s="173" t="s">
        <v>83</v>
      </c>
      <c r="F235" s="160"/>
      <c r="G235" s="160"/>
      <c r="H235" s="161"/>
      <c r="I235" s="161"/>
      <c r="J235" s="161"/>
      <c r="P235" s="153"/>
    </row>
    <row r="236" spans="1:16" x14ac:dyDescent="0.2">
      <c r="A236" s="130" t="s">
        <v>161</v>
      </c>
      <c r="B236" s="139" t="s">
        <v>23</v>
      </c>
      <c r="C236" s="140" t="s">
        <v>24</v>
      </c>
      <c r="D236" s="170" t="s">
        <v>84</v>
      </c>
      <c r="E236" s="173" t="s">
        <v>85</v>
      </c>
      <c r="F236" s="160"/>
      <c r="G236" s="160"/>
      <c r="H236" s="161"/>
      <c r="I236" s="161"/>
      <c r="J236" s="161"/>
      <c r="P236" s="153"/>
    </row>
    <row r="237" spans="1:16" x14ac:dyDescent="0.2">
      <c r="A237" s="130" t="s">
        <v>161</v>
      </c>
      <c r="B237" s="139" t="s">
        <v>23</v>
      </c>
      <c r="C237" s="140" t="s">
        <v>24</v>
      </c>
      <c r="D237" s="170" t="s">
        <v>89</v>
      </c>
      <c r="E237" s="173" t="s">
        <v>90</v>
      </c>
      <c r="F237" s="160"/>
      <c r="G237" s="160"/>
      <c r="H237" s="161"/>
      <c r="I237" s="161"/>
      <c r="J237" s="161"/>
      <c r="P237" s="153"/>
    </row>
    <row r="238" spans="1:16" x14ac:dyDescent="0.2">
      <c r="A238" s="130" t="s">
        <v>161</v>
      </c>
      <c r="B238" s="139" t="s">
        <v>23</v>
      </c>
      <c r="C238" s="140" t="s">
        <v>24</v>
      </c>
      <c r="D238" s="170" t="s">
        <v>176</v>
      </c>
      <c r="E238" s="173" t="s">
        <v>177</v>
      </c>
      <c r="F238" s="160"/>
      <c r="G238" s="160"/>
      <c r="H238" s="161"/>
      <c r="I238" s="161"/>
      <c r="J238" s="161"/>
      <c r="P238" s="153"/>
    </row>
    <row r="239" spans="1:16" x14ac:dyDescent="0.2">
      <c r="A239" s="130" t="s">
        <v>161</v>
      </c>
      <c r="B239" s="139" t="s">
        <v>23</v>
      </c>
      <c r="C239" s="140" t="s">
        <v>24</v>
      </c>
      <c r="D239" s="170" t="s">
        <v>93</v>
      </c>
      <c r="E239" s="173" t="s">
        <v>94</v>
      </c>
      <c r="F239" s="160"/>
      <c r="G239" s="160"/>
      <c r="H239" s="161"/>
      <c r="I239" s="161"/>
      <c r="J239" s="161"/>
      <c r="P239" s="153"/>
    </row>
    <row r="240" spans="1:16" x14ac:dyDescent="0.2">
      <c r="A240" s="130" t="s">
        <v>161</v>
      </c>
      <c r="B240" s="139" t="s">
        <v>23</v>
      </c>
      <c r="C240" s="140" t="s">
        <v>24</v>
      </c>
      <c r="D240" s="170" t="s">
        <v>102</v>
      </c>
      <c r="E240" s="173" t="s">
        <v>103</v>
      </c>
      <c r="F240" s="160"/>
      <c r="G240" s="160"/>
      <c r="H240" s="161"/>
      <c r="I240" s="161"/>
      <c r="J240" s="161"/>
      <c r="P240" s="153"/>
    </row>
    <row r="241" spans="1:16" x14ac:dyDescent="0.2">
      <c r="A241" s="130" t="s">
        <v>161</v>
      </c>
      <c r="B241" s="139" t="s">
        <v>23</v>
      </c>
      <c r="C241" s="140" t="s">
        <v>24</v>
      </c>
      <c r="D241" s="150" t="s">
        <v>107</v>
      </c>
      <c r="E241" s="173" t="s">
        <v>108</v>
      </c>
      <c r="F241" s="160"/>
      <c r="G241" s="160"/>
      <c r="H241" s="161"/>
      <c r="I241" s="161"/>
      <c r="J241" s="161"/>
      <c r="P241" s="153"/>
    </row>
    <row r="242" spans="1:16" x14ac:dyDescent="0.2">
      <c r="A242" s="130" t="s">
        <v>161</v>
      </c>
      <c r="B242" s="139" t="s">
        <v>23</v>
      </c>
      <c r="C242" s="140" t="s">
        <v>104</v>
      </c>
      <c r="D242" s="170" t="s">
        <v>105</v>
      </c>
      <c r="E242" s="173" t="s">
        <v>106</v>
      </c>
      <c r="F242" s="160"/>
      <c r="G242" s="160"/>
      <c r="H242" s="161"/>
      <c r="I242" s="161"/>
      <c r="J242" s="161"/>
      <c r="P242" s="153"/>
    </row>
    <row r="243" spans="1:16" x14ac:dyDescent="0.2">
      <c r="A243" s="130" t="s">
        <v>161</v>
      </c>
      <c r="B243" s="139" t="s">
        <v>23</v>
      </c>
      <c r="C243" s="140" t="s">
        <v>104</v>
      </c>
      <c r="D243" s="170" t="s">
        <v>140</v>
      </c>
      <c r="E243" s="173" t="s">
        <v>141</v>
      </c>
      <c r="F243" s="160"/>
      <c r="G243" s="160"/>
      <c r="H243" s="161"/>
      <c r="I243" s="161"/>
      <c r="J243" s="161"/>
      <c r="P243" s="153"/>
    </row>
    <row r="244" spans="1:16" x14ac:dyDescent="0.2">
      <c r="A244" s="140" t="s">
        <v>182</v>
      </c>
      <c r="B244" s="140" t="s">
        <v>71</v>
      </c>
      <c r="C244" s="140" t="s">
        <v>66</v>
      </c>
      <c r="D244" s="149" t="s">
        <v>564</v>
      </c>
      <c r="E244" s="139" t="s">
        <v>653</v>
      </c>
      <c r="F244" s="160"/>
      <c r="G244" s="160"/>
      <c r="H244" s="160"/>
      <c r="I244" s="160"/>
      <c r="J244" s="160"/>
      <c r="K244" s="152"/>
      <c r="L244" s="152"/>
      <c r="M244" s="152"/>
      <c r="N244" s="152"/>
      <c r="O244" s="152"/>
      <c r="P244" s="152"/>
    </row>
    <row r="245" spans="1:16" x14ac:dyDescent="0.2">
      <c r="A245" s="140" t="s">
        <v>182</v>
      </c>
      <c r="B245" s="140" t="s">
        <v>71</v>
      </c>
      <c r="C245" s="140" t="s">
        <v>66</v>
      </c>
      <c r="D245" s="149" t="s">
        <v>568</v>
      </c>
      <c r="E245" s="139" t="s">
        <v>654</v>
      </c>
      <c r="F245" s="160"/>
      <c r="G245" s="160"/>
      <c r="H245" s="160"/>
      <c r="I245" s="160"/>
      <c r="J245" s="160"/>
      <c r="K245" s="152"/>
      <c r="L245" s="152"/>
      <c r="M245" s="152"/>
      <c r="N245" s="152"/>
      <c r="O245" s="152"/>
      <c r="P245" s="152"/>
    </row>
    <row r="246" spans="1:16" x14ac:dyDescent="0.2">
      <c r="A246" s="140" t="s">
        <v>182</v>
      </c>
      <c r="B246" s="140" t="s">
        <v>71</v>
      </c>
      <c r="C246" s="140" t="s">
        <v>66</v>
      </c>
      <c r="D246" s="149" t="s">
        <v>183</v>
      </c>
      <c r="E246" s="139" t="s">
        <v>184</v>
      </c>
      <c r="F246" s="160"/>
      <c r="G246" s="160"/>
      <c r="H246" s="160"/>
      <c r="I246" s="160"/>
      <c r="J246" s="160"/>
      <c r="K246" s="152"/>
      <c r="L246" s="152"/>
      <c r="M246" s="152"/>
      <c r="N246" s="152"/>
      <c r="O246" s="152"/>
      <c r="P246" s="152"/>
    </row>
    <row r="247" spans="1:16" x14ac:dyDescent="0.2">
      <c r="A247" s="140" t="s">
        <v>182</v>
      </c>
      <c r="B247" s="140" t="s">
        <v>71</v>
      </c>
      <c r="C247" s="140" t="s">
        <v>66</v>
      </c>
      <c r="D247" s="149" t="s">
        <v>185</v>
      </c>
      <c r="E247" s="139" t="s">
        <v>72</v>
      </c>
      <c r="F247" s="160"/>
      <c r="G247" s="160"/>
      <c r="H247" s="160"/>
      <c r="I247" s="160"/>
      <c r="J247" s="160"/>
      <c r="K247" s="152"/>
      <c r="L247" s="152"/>
      <c r="M247" s="152"/>
      <c r="N247" s="152"/>
      <c r="O247" s="152"/>
      <c r="P247" s="152"/>
    </row>
    <row r="248" spans="1:16" x14ac:dyDescent="0.2">
      <c r="A248" s="140" t="s">
        <v>182</v>
      </c>
      <c r="B248" s="140" t="s">
        <v>71</v>
      </c>
      <c r="C248" s="140" t="s">
        <v>66</v>
      </c>
      <c r="D248" s="149" t="s">
        <v>572</v>
      </c>
      <c r="E248" s="139" t="s">
        <v>655</v>
      </c>
      <c r="F248" s="160"/>
      <c r="G248" s="160"/>
      <c r="H248" s="160"/>
      <c r="I248" s="160"/>
      <c r="J248" s="160"/>
      <c r="K248" s="152"/>
      <c r="L248" s="152"/>
      <c r="M248" s="152"/>
      <c r="N248" s="152"/>
      <c r="O248" s="152"/>
      <c r="P248" s="152"/>
    </row>
    <row r="249" spans="1:16" x14ac:dyDescent="0.2">
      <c r="A249" s="140" t="s">
        <v>182</v>
      </c>
      <c r="B249" s="140" t="s">
        <v>71</v>
      </c>
      <c r="C249" s="140" t="s">
        <v>66</v>
      </c>
      <c r="D249" s="149" t="s">
        <v>230</v>
      </c>
      <c r="E249" s="139" t="s">
        <v>231</v>
      </c>
      <c r="F249" s="160"/>
      <c r="G249" s="160"/>
      <c r="H249" s="160"/>
      <c r="I249" s="160"/>
      <c r="J249" s="160"/>
      <c r="K249" s="152"/>
      <c r="L249" s="152"/>
      <c r="M249" s="152"/>
      <c r="N249" s="152"/>
      <c r="O249" s="152"/>
      <c r="P249" s="152"/>
    </row>
    <row r="250" spans="1:16" x14ac:dyDescent="0.2">
      <c r="A250" s="140" t="s">
        <v>182</v>
      </c>
      <c r="B250" s="140" t="s">
        <v>71</v>
      </c>
      <c r="C250" s="140" t="s">
        <v>66</v>
      </c>
      <c r="D250" s="149" t="s">
        <v>575</v>
      </c>
      <c r="E250" s="139" t="s">
        <v>656</v>
      </c>
      <c r="F250" s="160"/>
      <c r="G250" s="160"/>
      <c r="H250" s="160"/>
      <c r="I250" s="160"/>
      <c r="J250" s="160"/>
      <c r="K250" s="152"/>
      <c r="L250" s="152"/>
      <c r="M250" s="152"/>
      <c r="N250" s="152"/>
      <c r="O250" s="152"/>
      <c r="P250" s="152"/>
    </row>
    <row r="251" spans="1:16" x14ac:dyDescent="0.2">
      <c r="A251" s="140" t="s">
        <v>182</v>
      </c>
      <c r="B251" s="140" t="s">
        <v>71</v>
      </c>
      <c r="C251" s="140" t="s">
        <v>66</v>
      </c>
      <c r="D251" s="149" t="s">
        <v>577</v>
      </c>
      <c r="E251" s="139" t="s">
        <v>657</v>
      </c>
      <c r="F251" s="160"/>
      <c r="G251" s="160"/>
      <c r="H251" s="160"/>
      <c r="I251" s="160"/>
      <c r="J251" s="160"/>
      <c r="K251" s="152"/>
      <c r="L251" s="152"/>
      <c r="M251" s="152"/>
      <c r="N251" s="152"/>
      <c r="O251" s="152"/>
      <c r="P251" s="152"/>
    </row>
    <row r="252" spans="1:16" x14ac:dyDescent="0.2">
      <c r="A252" s="140" t="s">
        <v>182</v>
      </c>
      <c r="B252" s="140" t="s">
        <v>71</v>
      </c>
      <c r="C252" s="140" t="s">
        <v>66</v>
      </c>
      <c r="D252" s="149" t="s">
        <v>579</v>
      </c>
      <c r="E252" s="139" t="s">
        <v>658</v>
      </c>
      <c r="F252" s="160"/>
      <c r="G252" s="160"/>
      <c r="H252" s="160"/>
      <c r="I252" s="160"/>
      <c r="J252" s="160"/>
      <c r="K252" s="152"/>
      <c r="L252" s="152"/>
      <c r="M252" s="152"/>
      <c r="N252" s="152"/>
      <c r="O252" s="152"/>
      <c r="P252" s="152"/>
    </row>
    <row r="253" spans="1:16" x14ac:dyDescent="0.2">
      <c r="A253" s="140" t="s">
        <v>182</v>
      </c>
      <c r="B253" s="140" t="s">
        <v>71</v>
      </c>
      <c r="C253" s="140" t="s">
        <v>66</v>
      </c>
      <c r="D253" s="149" t="s">
        <v>581</v>
      </c>
      <c r="E253" s="139" t="s">
        <v>659</v>
      </c>
      <c r="F253" s="160"/>
      <c r="G253" s="160"/>
      <c r="H253" s="160"/>
      <c r="I253" s="160"/>
      <c r="J253" s="160"/>
      <c r="K253" s="152"/>
      <c r="L253" s="152"/>
      <c r="M253" s="152"/>
      <c r="N253" s="152"/>
      <c r="O253" s="152"/>
      <c r="P253" s="152"/>
    </row>
    <row r="254" spans="1:16" x14ac:dyDescent="0.2">
      <c r="A254" s="140" t="s">
        <v>182</v>
      </c>
      <c r="B254" s="140" t="s">
        <v>20</v>
      </c>
      <c r="C254" s="140" t="s">
        <v>66</v>
      </c>
      <c r="D254" s="149" t="s">
        <v>21</v>
      </c>
      <c r="E254" s="139" t="s">
        <v>22</v>
      </c>
      <c r="F254" s="160"/>
      <c r="G254" s="160"/>
      <c r="H254" s="160"/>
      <c r="I254" s="160"/>
      <c r="J254" s="160"/>
      <c r="K254" s="152"/>
      <c r="L254" s="152"/>
      <c r="M254" s="152"/>
      <c r="N254" s="152"/>
      <c r="O254" s="152"/>
      <c r="P254" s="152"/>
    </row>
    <row r="255" spans="1:16" x14ac:dyDescent="0.2">
      <c r="A255" s="140" t="s">
        <v>182</v>
      </c>
      <c r="B255" s="140" t="s">
        <v>20</v>
      </c>
      <c r="C255" s="140" t="s">
        <v>34</v>
      </c>
      <c r="D255" s="149" t="s">
        <v>35</v>
      </c>
      <c r="E255" s="139" t="s">
        <v>36</v>
      </c>
      <c r="F255" s="160"/>
      <c r="G255" s="160"/>
      <c r="H255" s="160"/>
      <c r="I255" s="160"/>
      <c r="J255" s="160"/>
      <c r="K255" s="152"/>
      <c r="L255" s="152"/>
      <c r="M255" s="152"/>
      <c r="N255" s="152"/>
      <c r="O255" s="152"/>
      <c r="P255" s="152"/>
    </row>
    <row r="256" spans="1:16" x14ac:dyDescent="0.2">
      <c r="A256" s="140" t="s">
        <v>182</v>
      </c>
      <c r="B256" s="140" t="s">
        <v>20</v>
      </c>
      <c r="C256" s="140" t="s">
        <v>34</v>
      </c>
      <c r="D256" s="149" t="s">
        <v>164</v>
      </c>
      <c r="E256" s="139" t="s">
        <v>165</v>
      </c>
      <c r="F256" s="160"/>
      <c r="G256" s="160"/>
      <c r="H256" s="160"/>
      <c r="I256" s="160"/>
      <c r="J256" s="160"/>
      <c r="K256" s="152"/>
      <c r="L256" s="152"/>
      <c r="M256" s="152"/>
      <c r="N256" s="152"/>
      <c r="O256" s="152"/>
      <c r="P256" s="152"/>
    </row>
    <row r="257" spans="1:16" x14ac:dyDescent="0.2">
      <c r="A257" s="140" t="s">
        <v>182</v>
      </c>
      <c r="B257" s="140" t="s">
        <v>20</v>
      </c>
      <c r="C257" s="140" t="s">
        <v>34</v>
      </c>
      <c r="D257" s="149" t="s">
        <v>49</v>
      </c>
      <c r="E257" s="139" t="s">
        <v>50</v>
      </c>
      <c r="F257" s="160"/>
      <c r="G257" s="160"/>
      <c r="H257" s="160"/>
      <c r="I257" s="160"/>
      <c r="J257" s="160"/>
      <c r="K257" s="152"/>
      <c r="L257" s="152"/>
      <c r="M257" s="152"/>
      <c r="N257" s="152"/>
      <c r="O257" s="152"/>
      <c r="P257" s="152"/>
    </row>
    <row r="258" spans="1:16" x14ac:dyDescent="0.2">
      <c r="A258" s="140" t="s">
        <v>182</v>
      </c>
      <c r="B258" s="140" t="s">
        <v>20</v>
      </c>
      <c r="C258" s="140" t="s">
        <v>34</v>
      </c>
      <c r="D258" s="149" t="s">
        <v>62</v>
      </c>
      <c r="E258" s="139" t="s">
        <v>63</v>
      </c>
      <c r="F258" s="160"/>
      <c r="G258" s="160"/>
      <c r="H258" s="160"/>
      <c r="I258" s="160"/>
      <c r="J258" s="160"/>
      <c r="K258" s="152"/>
      <c r="L258" s="152"/>
      <c r="M258" s="152"/>
      <c r="N258" s="152"/>
      <c r="O258" s="152"/>
      <c r="P258" s="152"/>
    </row>
    <row r="259" spans="1:16" x14ac:dyDescent="0.2">
      <c r="A259" s="140" t="s">
        <v>182</v>
      </c>
      <c r="B259" s="140" t="s">
        <v>20</v>
      </c>
      <c r="C259" s="140" t="s">
        <v>34</v>
      </c>
      <c r="D259" s="149" t="s">
        <v>441</v>
      </c>
      <c r="E259" s="139" t="s">
        <v>729</v>
      </c>
      <c r="F259" s="160"/>
      <c r="G259" s="160"/>
      <c r="H259" s="160"/>
      <c r="I259" s="160"/>
      <c r="J259" s="160"/>
      <c r="K259" s="152"/>
      <c r="L259" s="152"/>
      <c r="M259" s="152"/>
      <c r="N259" s="152"/>
      <c r="O259" s="152"/>
      <c r="P259" s="152"/>
    </row>
    <row r="260" spans="1:16" x14ac:dyDescent="0.2">
      <c r="A260" s="140" t="s">
        <v>182</v>
      </c>
      <c r="B260" s="140" t="s">
        <v>20</v>
      </c>
      <c r="C260" s="140" t="s">
        <v>34</v>
      </c>
      <c r="D260" s="149" t="s">
        <v>113</v>
      </c>
      <c r="E260" s="139" t="s">
        <v>114</v>
      </c>
      <c r="F260" s="160"/>
      <c r="G260" s="160"/>
      <c r="H260" s="160"/>
      <c r="I260" s="160"/>
      <c r="J260" s="160"/>
      <c r="K260" s="152"/>
      <c r="L260" s="152"/>
      <c r="M260" s="152"/>
      <c r="N260" s="152"/>
      <c r="O260" s="152"/>
      <c r="P260" s="152"/>
    </row>
    <row r="261" spans="1:16" x14ac:dyDescent="0.2">
      <c r="A261" s="140" t="s">
        <v>182</v>
      </c>
      <c r="B261" s="140" t="s">
        <v>20</v>
      </c>
      <c r="C261" s="140" t="s">
        <v>34</v>
      </c>
      <c r="D261" s="149" t="s">
        <v>144</v>
      </c>
      <c r="E261" s="139" t="s">
        <v>145</v>
      </c>
      <c r="F261" s="160"/>
      <c r="G261" s="160"/>
      <c r="H261" s="160"/>
      <c r="I261" s="160"/>
      <c r="J261" s="160"/>
      <c r="K261" s="152"/>
      <c r="L261" s="152"/>
      <c r="M261" s="152"/>
      <c r="N261" s="152"/>
      <c r="O261" s="152"/>
      <c r="P261" s="152"/>
    </row>
    <row r="262" spans="1:16" x14ac:dyDescent="0.2">
      <c r="A262" s="140" t="s">
        <v>182</v>
      </c>
      <c r="B262" s="140" t="s">
        <v>20</v>
      </c>
      <c r="C262" s="140" t="s">
        <v>34</v>
      </c>
      <c r="D262" s="149" t="s">
        <v>827</v>
      </c>
      <c r="E262" s="139" t="s">
        <v>151</v>
      </c>
      <c r="F262" s="160"/>
      <c r="G262" s="160"/>
      <c r="H262" s="160"/>
      <c r="I262" s="160"/>
      <c r="J262" s="160"/>
      <c r="K262" s="152"/>
      <c r="L262" s="152"/>
      <c r="M262" s="152"/>
      <c r="N262" s="152"/>
      <c r="O262" s="152"/>
      <c r="P262" s="152"/>
    </row>
    <row r="263" spans="1:16" x14ac:dyDescent="0.2">
      <c r="A263" s="140" t="s">
        <v>182</v>
      </c>
      <c r="B263" s="140" t="s">
        <v>20</v>
      </c>
      <c r="C263" s="140" t="s">
        <v>37</v>
      </c>
      <c r="D263" s="149" t="s">
        <v>828</v>
      </c>
      <c r="E263" s="139" t="s">
        <v>163</v>
      </c>
      <c r="F263" s="160"/>
      <c r="G263" s="160"/>
      <c r="H263" s="160"/>
      <c r="I263" s="160"/>
      <c r="J263" s="160"/>
      <c r="K263" s="152"/>
      <c r="L263" s="152"/>
      <c r="M263" s="152"/>
      <c r="N263" s="152"/>
      <c r="O263" s="152"/>
      <c r="P263" s="152"/>
    </row>
    <row r="264" spans="1:16" x14ac:dyDescent="0.2">
      <c r="A264" s="140" t="s">
        <v>182</v>
      </c>
      <c r="B264" s="140" t="s">
        <v>20</v>
      </c>
      <c r="C264" s="140" t="s">
        <v>37</v>
      </c>
      <c r="D264" s="149" t="s">
        <v>37</v>
      </c>
      <c r="E264" s="139" t="s">
        <v>77</v>
      </c>
      <c r="F264" s="160"/>
      <c r="G264" s="160"/>
      <c r="H264" s="160"/>
      <c r="I264" s="160"/>
      <c r="J264" s="160"/>
      <c r="K264" s="152"/>
      <c r="L264" s="152"/>
      <c r="M264" s="152"/>
      <c r="N264" s="152"/>
      <c r="O264" s="152"/>
      <c r="P264" s="152"/>
    </row>
    <row r="265" spans="1:16" x14ac:dyDescent="0.2">
      <c r="A265" s="140" t="s">
        <v>182</v>
      </c>
      <c r="B265" s="140" t="s">
        <v>20</v>
      </c>
      <c r="C265" s="140" t="s">
        <v>37</v>
      </c>
      <c r="D265" s="149" t="s">
        <v>76</v>
      </c>
      <c r="E265" s="139" t="s">
        <v>77</v>
      </c>
      <c r="F265" s="160"/>
      <c r="G265" s="160"/>
      <c r="H265" s="160"/>
      <c r="I265" s="160"/>
      <c r="J265" s="160"/>
      <c r="K265" s="152"/>
      <c r="L265" s="152"/>
      <c r="M265" s="152"/>
      <c r="N265" s="152"/>
      <c r="O265" s="152"/>
      <c r="P265" s="152"/>
    </row>
    <row r="266" spans="1:16" x14ac:dyDescent="0.2">
      <c r="A266" s="140" t="s">
        <v>182</v>
      </c>
      <c r="B266" s="140" t="s">
        <v>20</v>
      </c>
      <c r="C266" s="140" t="s">
        <v>37</v>
      </c>
      <c r="D266" s="149" t="s">
        <v>829</v>
      </c>
      <c r="E266" s="139" t="s">
        <v>122</v>
      </c>
      <c r="F266" s="160"/>
      <c r="G266" s="160"/>
      <c r="H266" s="160"/>
      <c r="I266" s="160"/>
      <c r="J266" s="160"/>
      <c r="K266" s="152"/>
      <c r="L266" s="152"/>
      <c r="M266" s="152"/>
      <c r="N266" s="152"/>
      <c r="O266" s="152"/>
      <c r="P266" s="152"/>
    </row>
    <row r="267" spans="1:16" x14ac:dyDescent="0.2">
      <c r="A267" s="140" t="s">
        <v>182</v>
      </c>
      <c r="B267" s="140" t="s">
        <v>20</v>
      </c>
      <c r="C267" s="140" t="s">
        <v>37</v>
      </c>
      <c r="D267" s="149" t="s">
        <v>152</v>
      </c>
      <c r="E267" s="139" t="s">
        <v>153</v>
      </c>
      <c r="F267" s="160"/>
      <c r="G267" s="160"/>
      <c r="H267" s="160"/>
      <c r="I267" s="160"/>
      <c r="J267" s="160"/>
      <c r="K267" s="152"/>
      <c r="L267" s="152"/>
      <c r="M267" s="152"/>
      <c r="N267" s="152"/>
      <c r="O267" s="152"/>
      <c r="P267" s="152"/>
    </row>
    <row r="268" spans="1:16" x14ac:dyDescent="0.2">
      <c r="A268" s="140" t="s">
        <v>182</v>
      </c>
      <c r="B268" s="140" t="s">
        <v>155</v>
      </c>
      <c r="C268" s="140" t="s">
        <v>66</v>
      </c>
      <c r="D268" s="149" t="s">
        <v>186</v>
      </c>
      <c r="E268" s="139" t="s">
        <v>187</v>
      </c>
      <c r="F268" s="160"/>
      <c r="G268" s="160"/>
      <c r="H268" s="160"/>
      <c r="I268" s="160"/>
      <c r="J268" s="160"/>
      <c r="K268" s="152"/>
      <c r="L268" s="152"/>
      <c r="M268" s="152"/>
      <c r="N268" s="152"/>
      <c r="O268" s="152"/>
      <c r="P268" s="152"/>
    </row>
    <row r="269" spans="1:16" x14ac:dyDescent="0.2">
      <c r="A269" s="140" t="s">
        <v>182</v>
      </c>
      <c r="B269" s="140" t="s">
        <v>155</v>
      </c>
      <c r="C269" s="140" t="s">
        <v>66</v>
      </c>
      <c r="D269" s="149" t="s">
        <v>159</v>
      </c>
      <c r="E269" s="139" t="s">
        <v>160</v>
      </c>
      <c r="F269" s="160"/>
      <c r="G269" s="160"/>
      <c r="H269" s="160"/>
      <c r="I269" s="160"/>
      <c r="J269" s="160"/>
      <c r="K269" s="152"/>
      <c r="L269" s="152"/>
      <c r="M269" s="152"/>
      <c r="N269" s="152"/>
      <c r="O269" s="152"/>
      <c r="P269" s="152"/>
    </row>
    <row r="270" spans="1:16" x14ac:dyDescent="0.2">
      <c r="A270" s="140" t="s">
        <v>182</v>
      </c>
      <c r="B270" s="140" t="s">
        <v>155</v>
      </c>
      <c r="C270" s="140" t="s">
        <v>66</v>
      </c>
      <c r="D270" s="149" t="s">
        <v>188</v>
      </c>
      <c r="E270" s="139" t="s">
        <v>189</v>
      </c>
      <c r="F270" s="160"/>
      <c r="G270" s="160"/>
      <c r="H270" s="160"/>
      <c r="I270" s="160"/>
      <c r="J270" s="160"/>
      <c r="K270" s="152"/>
      <c r="L270" s="152"/>
      <c r="M270" s="152"/>
      <c r="N270" s="152"/>
      <c r="O270" s="152"/>
      <c r="P270" s="152"/>
    </row>
    <row r="271" spans="1:16" x14ac:dyDescent="0.2">
      <c r="A271" s="140" t="s">
        <v>182</v>
      </c>
      <c r="B271" s="140" t="s">
        <v>155</v>
      </c>
      <c r="C271" s="140" t="s">
        <v>66</v>
      </c>
      <c r="D271" s="149" t="s">
        <v>190</v>
      </c>
      <c r="E271" s="139" t="s">
        <v>191</v>
      </c>
      <c r="F271" s="160"/>
      <c r="G271" s="160"/>
      <c r="H271" s="160"/>
      <c r="I271" s="160"/>
      <c r="J271" s="160"/>
      <c r="K271" s="152"/>
      <c r="L271" s="152"/>
      <c r="M271" s="152"/>
      <c r="N271" s="152"/>
      <c r="O271" s="152"/>
      <c r="P271" s="152"/>
    </row>
    <row r="272" spans="1:16" x14ac:dyDescent="0.2">
      <c r="A272" s="140" t="s">
        <v>182</v>
      </c>
      <c r="B272" s="140" t="s">
        <v>155</v>
      </c>
      <c r="C272" s="140" t="s">
        <v>66</v>
      </c>
      <c r="D272" s="149" t="s">
        <v>192</v>
      </c>
      <c r="E272" s="139" t="s">
        <v>193</v>
      </c>
      <c r="F272" s="160"/>
      <c r="G272" s="160"/>
      <c r="H272" s="160"/>
      <c r="I272" s="160"/>
      <c r="J272" s="160"/>
      <c r="K272" s="152"/>
      <c r="L272" s="152"/>
      <c r="M272" s="152"/>
      <c r="N272" s="152"/>
      <c r="O272" s="152"/>
      <c r="P272" s="152"/>
    </row>
    <row r="273" spans="1:16" x14ac:dyDescent="0.2">
      <c r="A273" s="140" t="s">
        <v>182</v>
      </c>
      <c r="B273" s="140" t="s">
        <v>155</v>
      </c>
      <c r="C273" s="140" t="s">
        <v>66</v>
      </c>
      <c r="D273" s="149" t="s">
        <v>194</v>
      </c>
      <c r="E273" s="139" t="s">
        <v>195</v>
      </c>
      <c r="F273" s="160"/>
      <c r="G273" s="160"/>
      <c r="H273" s="160"/>
      <c r="I273" s="160"/>
      <c r="J273" s="160"/>
      <c r="K273" s="152"/>
      <c r="L273" s="152"/>
      <c r="M273" s="152"/>
      <c r="N273" s="152"/>
      <c r="O273" s="152"/>
      <c r="P273" s="152"/>
    </row>
    <row r="274" spans="1:16" x14ac:dyDescent="0.2">
      <c r="A274" s="140" t="s">
        <v>182</v>
      </c>
      <c r="B274" s="140" t="s">
        <v>155</v>
      </c>
      <c r="C274" s="140" t="s">
        <v>66</v>
      </c>
      <c r="D274" s="149" t="s">
        <v>156</v>
      </c>
      <c r="E274" s="139" t="s">
        <v>157</v>
      </c>
      <c r="F274" s="160"/>
      <c r="G274" s="160"/>
      <c r="H274" s="161"/>
      <c r="I274" s="161"/>
      <c r="J274" s="161"/>
      <c r="P274" s="153"/>
    </row>
    <row r="275" spans="1:16" x14ac:dyDescent="0.2">
      <c r="A275" s="140" t="s">
        <v>182</v>
      </c>
      <c r="B275" s="140" t="s">
        <v>155</v>
      </c>
      <c r="C275" s="140" t="s">
        <v>66</v>
      </c>
      <c r="D275" s="149" t="s">
        <v>196</v>
      </c>
      <c r="E275" s="139" t="s">
        <v>197</v>
      </c>
      <c r="F275" s="160"/>
      <c r="G275" s="160"/>
      <c r="H275" s="160"/>
      <c r="I275" s="160"/>
      <c r="J275" s="160"/>
      <c r="K275" s="152"/>
      <c r="L275" s="152"/>
      <c r="M275" s="152"/>
      <c r="N275" s="152"/>
      <c r="O275" s="152"/>
      <c r="P275" s="152"/>
    </row>
    <row r="276" spans="1:16" x14ac:dyDescent="0.2">
      <c r="A276" s="140" t="s">
        <v>182</v>
      </c>
      <c r="B276" s="140" t="s">
        <v>44</v>
      </c>
      <c r="C276" s="140" t="s">
        <v>812</v>
      </c>
      <c r="D276" s="149" t="s">
        <v>517</v>
      </c>
      <c r="E276" s="139" t="s">
        <v>676</v>
      </c>
      <c r="F276" s="160"/>
      <c r="G276" s="160"/>
      <c r="H276" s="160"/>
      <c r="I276" s="160"/>
      <c r="J276" s="160"/>
      <c r="K276" s="152"/>
      <c r="L276" s="152"/>
      <c r="M276" s="152"/>
      <c r="N276" s="152"/>
      <c r="O276" s="152"/>
      <c r="P276" s="152"/>
    </row>
    <row r="277" spans="1:16" x14ac:dyDescent="0.2">
      <c r="A277" s="140" t="s">
        <v>182</v>
      </c>
      <c r="B277" s="140" t="s">
        <v>44</v>
      </c>
      <c r="C277" s="140" t="s">
        <v>812</v>
      </c>
      <c r="D277" s="149" t="s">
        <v>830</v>
      </c>
      <c r="E277" s="139" t="s">
        <v>677</v>
      </c>
      <c r="F277" s="160"/>
      <c r="G277" s="160"/>
      <c r="H277" s="160"/>
      <c r="I277" s="160"/>
      <c r="J277" s="160"/>
      <c r="K277" s="152"/>
      <c r="L277" s="152"/>
      <c r="M277" s="152"/>
      <c r="N277" s="152"/>
      <c r="O277" s="152"/>
      <c r="P277" s="152"/>
    </row>
    <row r="278" spans="1:16" x14ac:dyDescent="0.2">
      <c r="A278" s="140" t="s">
        <v>182</v>
      </c>
      <c r="B278" s="140" t="s">
        <v>44</v>
      </c>
      <c r="C278" s="140" t="s">
        <v>812</v>
      </c>
      <c r="D278" s="149" t="s">
        <v>831</v>
      </c>
      <c r="E278" s="139" t="s">
        <v>678</v>
      </c>
      <c r="F278" s="160"/>
      <c r="G278" s="160"/>
      <c r="H278" s="161"/>
      <c r="I278" s="161"/>
      <c r="J278" s="161"/>
      <c r="P278" s="153"/>
    </row>
    <row r="279" spans="1:16" x14ac:dyDescent="0.2">
      <c r="A279" s="140" t="s">
        <v>182</v>
      </c>
      <c r="B279" s="140" t="s">
        <v>44</v>
      </c>
      <c r="C279" s="140" t="s">
        <v>812</v>
      </c>
      <c r="D279" s="149" t="s">
        <v>204</v>
      </c>
      <c r="E279" s="139" t="s">
        <v>205</v>
      </c>
      <c r="F279" s="160"/>
      <c r="G279" s="160"/>
      <c r="H279" s="161"/>
      <c r="I279" s="161"/>
      <c r="J279" s="161"/>
      <c r="P279" s="153"/>
    </row>
    <row r="280" spans="1:16" x14ac:dyDescent="0.2">
      <c r="A280" s="140" t="s">
        <v>182</v>
      </c>
      <c r="B280" s="140" t="s">
        <v>44</v>
      </c>
      <c r="C280" s="140" t="s">
        <v>812</v>
      </c>
      <c r="D280" s="149" t="s">
        <v>198</v>
      </c>
      <c r="E280" s="139" t="s">
        <v>199</v>
      </c>
      <c r="F280" s="165"/>
      <c r="G280" s="160"/>
      <c r="H280" s="161"/>
      <c r="I280" s="161"/>
      <c r="J280" s="161"/>
      <c r="P280" s="153"/>
    </row>
    <row r="281" spans="1:16" x14ac:dyDescent="0.2">
      <c r="A281" s="140" t="s">
        <v>182</v>
      </c>
      <c r="B281" s="140" t="s">
        <v>44</v>
      </c>
      <c r="C281" s="140" t="s">
        <v>812</v>
      </c>
      <c r="D281" s="149" t="s">
        <v>200</v>
      </c>
      <c r="E281" s="139" t="s">
        <v>201</v>
      </c>
      <c r="F281" s="160"/>
      <c r="G281" s="160"/>
      <c r="H281" s="161"/>
      <c r="I281" s="161"/>
      <c r="J281" s="161"/>
      <c r="P281" s="153"/>
    </row>
    <row r="282" spans="1:16" x14ac:dyDescent="0.2">
      <c r="A282" s="140" t="s">
        <v>182</v>
      </c>
      <c r="B282" s="140" t="s">
        <v>44</v>
      </c>
      <c r="C282" s="140" t="s">
        <v>812</v>
      </c>
      <c r="D282" s="149" t="s">
        <v>832</v>
      </c>
      <c r="E282" s="139" t="s">
        <v>679</v>
      </c>
      <c r="F282" s="160"/>
      <c r="G282" s="160"/>
      <c r="H282" s="161"/>
      <c r="I282" s="161"/>
      <c r="J282" s="161"/>
      <c r="P282" s="153"/>
    </row>
    <row r="283" spans="1:16" x14ac:dyDescent="0.2">
      <c r="A283" s="140" t="s">
        <v>182</v>
      </c>
      <c r="B283" s="140" t="s">
        <v>44</v>
      </c>
      <c r="C283" s="140" t="s">
        <v>812</v>
      </c>
      <c r="D283" s="149" t="s">
        <v>45</v>
      </c>
      <c r="E283" s="139" t="s">
        <v>46</v>
      </c>
      <c r="F283" s="160"/>
      <c r="G283" s="160"/>
      <c r="H283" s="161"/>
      <c r="I283" s="161"/>
      <c r="J283" s="161"/>
      <c r="P283" s="153"/>
    </row>
    <row r="284" spans="1:16" x14ac:dyDescent="0.2">
      <c r="A284" s="140" t="s">
        <v>182</v>
      </c>
      <c r="B284" s="140" t="s">
        <v>44</v>
      </c>
      <c r="C284" s="140" t="s">
        <v>812</v>
      </c>
      <c r="D284" s="149" t="s">
        <v>526</v>
      </c>
      <c r="E284" s="139" t="s">
        <v>680</v>
      </c>
      <c r="F284" s="160"/>
      <c r="G284" s="160"/>
      <c r="H284" s="161"/>
      <c r="I284" s="161"/>
      <c r="J284" s="161"/>
      <c r="P284" s="153"/>
    </row>
    <row r="285" spans="1:16" x14ac:dyDescent="0.2">
      <c r="A285" s="140" t="s">
        <v>182</v>
      </c>
      <c r="B285" s="140" t="s">
        <v>44</v>
      </c>
      <c r="C285" s="140" t="s">
        <v>812</v>
      </c>
      <c r="D285" s="149" t="s">
        <v>833</v>
      </c>
      <c r="E285" s="139" t="s">
        <v>681</v>
      </c>
      <c r="F285" s="160"/>
      <c r="G285" s="160"/>
      <c r="H285" s="161"/>
      <c r="I285" s="161"/>
      <c r="J285" s="161"/>
      <c r="P285" s="153"/>
    </row>
    <row r="286" spans="1:16" x14ac:dyDescent="0.2">
      <c r="A286" s="140" t="s">
        <v>182</v>
      </c>
      <c r="B286" s="140" t="s">
        <v>44</v>
      </c>
      <c r="C286" s="140" t="s">
        <v>812</v>
      </c>
      <c r="D286" s="149" t="s">
        <v>834</v>
      </c>
      <c r="E286" s="139" t="s">
        <v>682</v>
      </c>
      <c r="F286" s="160"/>
      <c r="G286" s="160"/>
      <c r="H286" s="161"/>
      <c r="I286" s="161"/>
      <c r="J286" s="161"/>
      <c r="P286" s="153"/>
    </row>
    <row r="287" spans="1:16" x14ac:dyDescent="0.2">
      <c r="A287" s="140" t="s">
        <v>182</v>
      </c>
      <c r="B287" s="140" t="s">
        <v>44</v>
      </c>
      <c r="C287" s="140" t="s">
        <v>812</v>
      </c>
      <c r="D287" s="149" t="s">
        <v>835</v>
      </c>
      <c r="E287" s="139" t="s">
        <v>683</v>
      </c>
      <c r="F287" s="160"/>
      <c r="G287" s="160"/>
      <c r="H287" s="161"/>
      <c r="I287" s="161"/>
      <c r="J287" s="161"/>
      <c r="P287" s="153"/>
    </row>
    <row r="288" spans="1:16" x14ac:dyDescent="0.2">
      <c r="A288" s="140" t="s">
        <v>182</v>
      </c>
      <c r="B288" s="140" t="s">
        <v>44</v>
      </c>
      <c r="C288" s="140" t="s">
        <v>812</v>
      </c>
      <c r="D288" s="149" t="s">
        <v>836</v>
      </c>
      <c r="E288" s="139" t="s">
        <v>684</v>
      </c>
      <c r="F288" s="160"/>
      <c r="G288" s="160"/>
      <c r="H288" s="161"/>
      <c r="I288" s="161"/>
      <c r="J288" s="161"/>
      <c r="P288" s="153"/>
    </row>
    <row r="289" spans="1:16" x14ac:dyDescent="0.2">
      <c r="A289" s="140" t="s">
        <v>182</v>
      </c>
      <c r="B289" s="140" t="s">
        <v>44</v>
      </c>
      <c r="C289" s="140" t="s">
        <v>812</v>
      </c>
      <c r="D289" s="149" t="s">
        <v>837</v>
      </c>
      <c r="E289" s="139" t="s">
        <v>685</v>
      </c>
      <c r="F289" s="160"/>
      <c r="G289" s="160"/>
      <c r="H289" s="161"/>
      <c r="I289" s="161"/>
      <c r="J289" s="161"/>
      <c r="P289" s="153"/>
    </row>
    <row r="290" spans="1:16" x14ac:dyDescent="0.2">
      <c r="A290" s="140" t="s">
        <v>182</v>
      </c>
      <c r="B290" s="140" t="s">
        <v>44</v>
      </c>
      <c r="C290" s="140" t="s">
        <v>812</v>
      </c>
      <c r="D290" s="149" t="s">
        <v>838</v>
      </c>
      <c r="E290" s="139" t="s">
        <v>686</v>
      </c>
      <c r="F290" s="160"/>
      <c r="G290" s="160"/>
      <c r="H290" s="161"/>
      <c r="I290" s="161"/>
      <c r="J290" s="161"/>
      <c r="P290" s="153"/>
    </row>
    <row r="291" spans="1:16" x14ac:dyDescent="0.2">
      <c r="A291" s="140" t="s">
        <v>182</v>
      </c>
      <c r="B291" s="140" t="s">
        <v>44</v>
      </c>
      <c r="C291" s="140" t="s">
        <v>812</v>
      </c>
      <c r="D291" s="149" t="s">
        <v>534</v>
      </c>
      <c r="E291" s="139" t="s">
        <v>687</v>
      </c>
      <c r="F291" s="160"/>
      <c r="G291" s="160"/>
      <c r="H291" s="161"/>
      <c r="I291" s="161"/>
      <c r="J291" s="161"/>
      <c r="P291" s="153"/>
    </row>
    <row r="292" spans="1:16" x14ac:dyDescent="0.2">
      <c r="A292" s="140" t="s">
        <v>182</v>
      </c>
      <c r="B292" s="140" t="s">
        <v>44</v>
      </c>
      <c r="C292" s="140" t="s">
        <v>812</v>
      </c>
      <c r="D292" s="149" t="s">
        <v>100</v>
      </c>
      <c r="E292" s="139" t="s">
        <v>101</v>
      </c>
      <c r="F292" s="160"/>
      <c r="G292" s="160"/>
      <c r="H292" s="161"/>
      <c r="I292" s="161"/>
      <c r="J292" s="161"/>
      <c r="P292" s="153"/>
    </row>
    <row r="293" spans="1:16" x14ac:dyDescent="0.2">
      <c r="A293" s="140" t="s">
        <v>182</v>
      </c>
      <c r="B293" s="140" t="s">
        <v>44</v>
      </c>
      <c r="C293" s="140" t="s">
        <v>812</v>
      </c>
      <c r="D293" s="149" t="s">
        <v>202</v>
      </c>
      <c r="E293" s="139" t="s">
        <v>203</v>
      </c>
      <c r="F293" s="160"/>
      <c r="G293" s="160"/>
      <c r="H293" s="161"/>
      <c r="I293" s="161"/>
      <c r="J293" s="161"/>
      <c r="P293" s="153"/>
    </row>
    <row r="294" spans="1:16" x14ac:dyDescent="0.2">
      <c r="A294" s="140" t="s">
        <v>182</v>
      </c>
      <c r="B294" s="140" t="s">
        <v>44</v>
      </c>
      <c r="C294" s="140" t="s">
        <v>812</v>
      </c>
      <c r="D294" s="149" t="s">
        <v>538</v>
      </c>
      <c r="E294" s="139" t="s">
        <v>115</v>
      </c>
      <c r="F294" s="160"/>
      <c r="G294" s="160"/>
      <c r="H294" s="161"/>
      <c r="I294" s="161"/>
      <c r="J294" s="161"/>
      <c r="P294" s="153"/>
    </row>
    <row r="295" spans="1:16" x14ac:dyDescent="0.2">
      <c r="A295" s="140" t="s">
        <v>182</v>
      </c>
      <c r="B295" s="140" t="s">
        <v>44</v>
      </c>
      <c r="C295" s="140" t="s">
        <v>812</v>
      </c>
      <c r="D295" s="149" t="s">
        <v>539</v>
      </c>
      <c r="E295" s="139" t="s">
        <v>688</v>
      </c>
      <c r="F295" s="160"/>
      <c r="G295" s="160"/>
      <c r="H295" s="161"/>
      <c r="I295" s="161"/>
      <c r="J295" s="161"/>
      <c r="P295" s="153"/>
    </row>
    <row r="296" spans="1:16" x14ac:dyDescent="0.2">
      <c r="A296" s="140" t="s">
        <v>182</v>
      </c>
      <c r="B296" s="140" t="s">
        <v>44</v>
      </c>
      <c r="C296" s="140" t="s">
        <v>812</v>
      </c>
      <c r="D296" s="149" t="s">
        <v>541</v>
      </c>
      <c r="E296" s="139" t="s">
        <v>689</v>
      </c>
      <c r="F296" s="160"/>
      <c r="G296" s="160"/>
      <c r="H296" s="161"/>
      <c r="I296" s="161"/>
      <c r="J296" s="161"/>
      <c r="P296" s="153"/>
    </row>
    <row r="297" spans="1:16" x14ac:dyDescent="0.2">
      <c r="A297" s="140" t="s">
        <v>182</v>
      </c>
      <c r="B297" s="140" t="s">
        <v>44</v>
      </c>
      <c r="C297" s="140" t="s">
        <v>812</v>
      </c>
      <c r="D297" s="149" t="s">
        <v>543</v>
      </c>
      <c r="E297" s="139" t="s">
        <v>690</v>
      </c>
      <c r="F297" s="160"/>
      <c r="G297" s="160"/>
      <c r="H297" s="161"/>
      <c r="I297" s="161"/>
      <c r="J297" s="161"/>
      <c r="P297" s="153"/>
    </row>
    <row r="298" spans="1:16" x14ac:dyDescent="0.2">
      <c r="A298" s="140" t="s">
        <v>182</v>
      </c>
      <c r="B298" s="140" t="s">
        <v>44</v>
      </c>
      <c r="C298" s="140" t="s">
        <v>812</v>
      </c>
      <c r="D298" s="149" t="s">
        <v>545</v>
      </c>
      <c r="E298" s="139" t="s">
        <v>691</v>
      </c>
      <c r="F298" s="160"/>
      <c r="G298" s="160"/>
      <c r="H298" s="161"/>
      <c r="I298" s="161"/>
      <c r="J298" s="161"/>
      <c r="P298" s="153"/>
    </row>
    <row r="299" spans="1:16" x14ac:dyDescent="0.2">
      <c r="A299" s="140" t="s">
        <v>182</v>
      </c>
      <c r="B299" s="140" t="s">
        <v>44</v>
      </c>
      <c r="C299" s="140" t="s">
        <v>812</v>
      </c>
      <c r="D299" s="149" t="s">
        <v>839</v>
      </c>
      <c r="E299" s="139" t="s">
        <v>692</v>
      </c>
      <c r="F299" s="160"/>
      <c r="G299" s="160"/>
      <c r="H299" s="161"/>
      <c r="I299" s="161"/>
      <c r="J299" s="161"/>
      <c r="P299" s="153"/>
    </row>
    <row r="300" spans="1:16" x14ac:dyDescent="0.2">
      <c r="A300" s="140" t="s">
        <v>182</v>
      </c>
      <c r="B300" s="140" t="s">
        <v>44</v>
      </c>
      <c r="C300" s="140" t="s">
        <v>812</v>
      </c>
      <c r="D300" s="149" t="s">
        <v>146</v>
      </c>
      <c r="E300" s="139" t="s">
        <v>147</v>
      </c>
      <c r="F300" s="160"/>
      <c r="G300" s="160"/>
      <c r="H300" s="161"/>
      <c r="I300" s="161"/>
      <c r="J300" s="161"/>
      <c r="P300" s="153"/>
    </row>
    <row r="301" spans="1:16" x14ac:dyDescent="0.2">
      <c r="A301" s="140" t="s">
        <v>182</v>
      </c>
      <c r="B301" s="140" t="s">
        <v>44</v>
      </c>
      <c r="C301" s="140" t="s">
        <v>69</v>
      </c>
      <c r="D301" s="149" t="s">
        <v>470</v>
      </c>
      <c r="E301" s="139" t="s">
        <v>718</v>
      </c>
      <c r="F301" s="160"/>
      <c r="G301" s="160"/>
      <c r="H301" s="161"/>
      <c r="I301" s="161"/>
      <c r="J301" s="161"/>
      <c r="P301" s="153"/>
    </row>
    <row r="302" spans="1:16" x14ac:dyDescent="0.2">
      <c r="A302" s="140" t="s">
        <v>182</v>
      </c>
      <c r="B302" s="140" t="s">
        <v>44</v>
      </c>
      <c r="C302" s="140" t="s">
        <v>69</v>
      </c>
      <c r="D302" s="149" t="s">
        <v>69</v>
      </c>
      <c r="E302" s="139" t="s">
        <v>70</v>
      </c>
      <c r="F302" s="160"/>
      <c r="G302" s="160"/>
      <c r="H302" s="161"/>
      <c r="I302" s="161"/>
      <c r="J302" s="161"/>
      <c r="P302" s="153"/>
    </row>
    <row r="303" spans="1:16" x14ac:dyDescent="0.2">
      <c r="A303" s="140" t="s">
        <v>182</v>
      </c>
      <c r="B303" s="140" t="s">
        <v>73</v>
      </c>
      <c r="C303" s="140" t="s">
        <v>74</v>
      </c>
      <c r="D303" s="149" t="s">
        <v>454</v>
      </c>
      <c r="E303" s="139" t="s">
        <v>724</v>
      </c>
      <c r="F303" s="160"/>
      <c r="G303" s="160"/>
      <c r="H303" s="161"/>
      <c r="I303" s="161"/>
      <c r="J303" s="161"/>
      <c r="P303" s="153"/>
    </row>
    <row r="304" spans="1:16" x14ac:dyDescent="0.2">
      <c r="A304" s="140" t="s">
        <v>182</v>
      </c>
      <c r="B304" s="140" t="s">
        <v>73</v>
      </c>
      <c r="C304" s="140" t="s">
        <v>74</v>
      </c>
      <c r="D304" s="149" t="s">
        <v>206</v>
      </c>
      <c r="E304" s="139" t="s">
        <v>207</v>
      </c>
      <c r="F304" s="160"/>
      <c r="G304" s="160"/>
      <c r="H304" s="161"/>
      <c r="I304" s="161"/>
      <c r="J304" s="161"/>
      <c r="P304" s="153"/>
    </row>
    <row r="305" spans="1:16" x14ac:dyDescent="0.2">
      <c r="A305" s="140" t="s">
        <v>182</v>
      </c>
      <c r="B305" s="140" t="s">
        <v>73</v>
      </c>
      <c r="C305" s="140" t="s">
        <v>74</v>
      </c>
      <c r="D305" s="149" t="s">
        <v>459</v>
      </c>
      <c r="E305" s="139" t="s">
        <v>725</v>
      </c>
      <c r="F305" s="160"/>
      <c r="G305" s="160"/>
      <c r="H305" s="161"/>
      <c r="I305" s="161"/>
      <c r="J305" s="161"/>
      <c r="P305" s="153"/>
    </row>
    <row r="306" spans="1:16" x14ac:dyDescent="0.2">
      <c r="A306" s="140" t="s">
        <v>182</v>
      </c>
      <c r="B306" s="140" t="s">
        <v>73</v>
      </c>
      <c r="C306" s="140" t="s">
        <v>74</v>
      </c>
      <c r="D306" s="149" t="s">
        <v>208</v>
      </c>
      <c r="E306" s="139" t="s">
        <v>209</v>
      </c>
      <c r="F306" s="160"/>
      <c r="G306" s="160"/>
      <c r="H306" s="161"/>
      <c r="I306" s="161"/>
      <c r="J306" s="161"/>
      <c r="P306" s="153"/>
    </row>
    <row r="307" spans="1:16" x14ac:dyDescent="0.2">
      <c r="A307" s="140" t="s">
        <v>182</v>
      </c>
      <c r="B307" s="140" t="s">
        <v>73</v>
      </c>
      <c r="C307" s="140" t="s">
        <v>74</v>
      </c>
      <c r="D307" s="149" t="s">
        <v>210</v>
      </c>
      <c r="E307" s="139" t="s">
        <v>211</v>
      </c>
      <c r="F307" s="160"/>
      <c r="G307" s="160"/>
      <c r="H307" s="161"/>
      <c r="I307" s="161"/>
      <c r="J307" s="161"/>
      <c r="P307" s="153"/>
    </row>
    <row r="308" spans="1:16" x14ac:dyDescent="0.2">
      <c r="A308" s="140" t="s">
        <v>182</v>
      </c>
      <c r="B308" s="140" t="s">
        <v>73</v>
      </c>
      <c r="C308" s="140" t="s">
        <v>74</v>
      </c>
      <c r="D308" s="149" t="s">
        <v>212</v>
      </c>
      <c r="E308" s="139" t="s">
        <v>213</v>
      </c>
      <c r="F308" s="160"/>
      <c r="G308" s="160"/>
      <c r="H308" s="161"/>
      <c r="I308" s="161"/>
      <c r="J308" s="161"/>
      <c r="P308" s="153"/>
    </row>
    <row r="309" spans="1:16" x14ac:dyDescent="0.2">
      <c r="A309" s="140" t="s">
        <v>182</v>
      </c>
      <c r="B309" s="140" t="s">
        <v>73</v>
      </c>
      <c r="C309" s="140" t="s">
        <v>74</v>
      </c>
      <c r="D309" s="149" t="s">
        <v>74</v>
      </c>
      <c r="E309" s="139" t="s">
        <v>75</v>
      </c>
      <c r="F309" s="160"/>
      <c r="G309" s="160"/>
      <c r="H309" s="161"/>
      <c r="I309" s="161"/>
      <c r="J309" s="161"/>
      <c r="P309" s="153"/>
    </row>
    <row r="310" spans="1:16" ht="15" x14ac:dyDescent="0.25">
      <c r="A310" s="151" t="s">
        <v>182</v>
      </c>
      <c r="B310" s="151" t="s">
        <v>73</v>
      </c>
      <c r="C310" s="151" t="s">
        <v>74</v>
      </c>
      <c r="D310" s="151" t="s">
        <v>450</v>
      </c>
      <c r="E310" s="151" t="s">
        <v>126</v>
      </c>
      <c r="F310" s="160"/>
      <c r="G310" s="160"/>
      <c r="H310" s="161"/>
      <c r="I310" s="161"/>
      <c r="J310" s="161"/>
      <c r="P310" s="153"/>
    </row>
    <row r="311" spans="1:16" x14ac:dyDescent="0.2">
      <c r="A311" s="140" t="s">
        <v>182</v>
      </c>
      <c r="B311" s="140" t="s">
        <v>73</v>
      </c>
      <c r="C311" s="140" t="s">
        <v>74</v>
      </c>
      <c r="D311" s="149" t="s">
        <v>464</v>
      </c>
      <c r="E311" s="139" t="s">
        <v>726</v>
      </c>
      <c r="F311" s="160"/>
      <c r="G311" s="160"/>
      <c r="H311" s="161"/>
      <c r="I311" s="161"/>
      <c r="J311" s="161"/>
      <c r="P311" s="153"/>
    </row>
    <row r="312" spans="1:16" x14ac:dyDescent="0.2">
      <c r="A312" s="140" t="s">
        <v>182</v>
      </c>
      <c r="B312" s="140" t="s">
        <v>73</v>
      </c>
      <c r="C312" s="140" t="s">
        <v>74</v>
      </c>
      <c r="D312" s="149" t="s">
        <v>214</v>
      </c>
      <c r="E312" s="139" t="s">
        <v>215</v>
      </c>
      <c r="F312" s="160"/>
      <c r="G312" s="160"/>
      <c r="H312" s="161"/>
      <c r="I312" s="161"/>
      <c r="J312" s="161"/>
      <c r="P312" s="153"/>
    </row>
    <row r="313" spans="1:16" x14ac:dyDescent="0.2">
      <c r="A313" s="140" t="s">
        <v>182</v>
      </c>
      <c r="B313" s="140" t="s">
        <v>73</v>
      </c>
      <c r="C313" s="140" t="s">
        <v>74</v>
      </c>
      <c r="D313" s="149" t="s">
        <v>466</v>
      </c>
      <c r="E313" s="139" t="s">
        <v>727</v>
      </c>
      <c r="F313" s="160"/>
      <c r="G313" s="160"/>
      <c r="H313" s="161"/>
      <c r="I313" s="161"/>
      <c r="J313" s="161"/>
      <c r="P313" s="153"/>
    </row>
    <row r="314" spans="1:16" x14ac:dyDescent="0.2">
      <c r="A314" s="140" t="s">
        <v>182</v>
      </c>
      <c r="B314" s="140" t="s">
        <v>73</v>
      </c>
      <c r="C314" s="140" t="s">
        <v>74</v>
      </c>
      <c r="D314" s="149" t="s">
        <v>125</v>
      </c>
      <c r="E314" s="139" t="s">
        <v>126</v>
      </c>
      <c r="F314" s="160"/>
      <c r="G314" s="160"/>
      <c r="H314" s="161"/>
      <c r="I314" s="161"/>
      <c r="J314" s="161"/>
      <c r="P314" s="153"/>
    </row>
    <row r="315" spans="1:16" x14ac:dyDescent="0.2">
      <c r="A315" s="140" t="s">
        <v>182</v>
      </c>
      <c r="B315" s="140" t="s">
        <v>73</v>
      </c>
      <c r="C315" s="140" t="s">
        <v>74</v>
      </c>
      <c r="D315" s="149" t="s">
        <v>840</v>
      </c>
      <c r="E315" s="139" t="s">
        <v>728</v>
      </c>
      <c r="F315" s="160"/>
      <c r="G315" s="160"/>
      <c r="H315" s="161"/>
      <c r="I315" s="161"/>
      <c r="J315" s="161"/>
      <c r="P315" s="153"/>
    </row>
    <row r="316" spans="1:16" x14ac:dyDescent="0.2">
      <c r="A316" s="140" t="s">
        <v>182</v>
      </c>
      <c r="B316" s="140" t="s">
        <v>73</v>
      </c>
      <c r="C316" s="140" t="s">
        <v>116</v>
      </c>
      <c r="D316" s="149" t="s">
        <v>117</v>
      </c>
      <c r="E316" s="139" t="s">
        <v>118</v>
      </c>
      <c r="F316" s="160"/>
      <c r="G316" s="160"/>
      <c r="H316" s="161"/>
      <c r="I316" s="161"/>
      <c r="J316" s="161"/>
      <c r="P316" s="153"/>
    </row>
    <row r="317" spans="1:16" x14ac:dyDescent="0.2">
      <c r="A317" s="140" t="s">
        <v>182</v>
      </c>
      <c r="B317" s="140" t="s">
        <v>73</v>
      </c>
      <c r="C317" s="140" t="s">
        <v>116</v>
      </c>
      <c r="D317" s="149" t="s">
        <v>216</v>
      </c>
      <c r="E317" s="139" t="s">
        <v>217</v>
      </c>
      <c r="F317" s="160"/>
      <c r="G317" s="160"/>
      <c r="H317" s="161"/>
      <c r="I317" s="161"/>
      <c r="J317" s="161"/>
      <c r="P317" s="153"/>
    </row>
    <row r="318" spans="1:16" x14ac:dyDescent="0.2">
      <c r="A318" s="140" t="s">
        <v>182</v>
      </c>
      <c r="B318" s="140" t="s">
        <v>73</v>
      </c>
      <c r="C318" s="140" t="s">
        <v>116</v>
      </c>
      <c r="D318" s="149" t="s">
        <v>841</v>
      </c>
      <c r="E318" s="139" t="s">
        <v>753</v>
      </c>
      <c r="F318" s="160"/>
      <c r="G318" s="160"/>
      <c r="H318" s="161"/>
      <c r="I318" s="161"/>
      <c r="J318" s="161"/>
      <c r="P318" s="153"/>
    </row>
    <row r="319" spans="1:16" x14ac:dyDescent="0.2">
      <c r="A319" s="140" t="s">
        <v>182</v>
      </c>
      <c r="B319" s="140" t="s">
        <v>73</v>
      </c>
      <c r="C319" s="140" t="s">
        <v>119</v>
      </c>
      <c r="D319" s="149" t="s">
        <v>119</v>
      </c>
      <c r="E319" s="139" t="s">
        <v>120</v>
      </c>
      <c r="F319" s="160"/>
      <c r="G319" s="160"/>
      <c r="H319" s="161"/>
      <c r="I319" s="161"/>
      <c r="J319" s="161"/>
      <c r="P319" s="153"/>
    </row>
    <row r="320" spans="1:16" x14ac:dyDescent="0.2">
      <c r="A320" s="140" t="s">
        <v>182</v>
      </c>
      <c r="B320" s="140" t="s">
        <v>73</v>
      </c>
      <c r="C320" s="140" t="s">
        <v>119</v>
      </c>
      <c r="D320" s="149" t="s">
        <v>148</v>
      </c>
      <c r="E320" s="139" t="s">
        <v>149</v>
      </c>
      <c r="F320" s="160"/>
      <c r="G320" s="160"/>
      <c r="H320" s="161"/>
      <c r="I320" s="161"/>
      <c r="J320" s="161"/>
      <c r="P320" s="153"/>
    </row>
    <row r="321" spans="1:16" x14ac:dyDescent="0.2">
      <c r="A321" s="140" t="s">
        <v>182</v>
      </c>
      <c r="B321" s="140" t="s">
        <v>41</v>
      </c>
      <c r="C321" s="140" t="s">
        <v>813</v>
      </c>
      <c r="D321" s="149" t="s">
        <v>842</v>
      </c>
      <c r="E321" s="139" t="s">
        <v>698</v>
      </c>
      <c r="F321" s="160"/>
      <c r="G321" s="160"/>
      <c r="H321" s="161"/>
      <c r="I321" s="161"/>
      <c r="J321" s="161"/>
      <c r="P321" s="153"/>
    </row>
    <row r="322" spans="1:16" x14ac:dyDescent="0.2">
      <c r="A322" s="140" t="s">
        <v>182</v>
      </c>
      <c r="B322" s="140" t="s">
        <v>41</v>
      </c>
      <c r="C322" s="140" t="s">
        <v>813</v>
      </c>
      <c r="D322" s="149" t="s">
        <v>843</v>
      </c>
      <c r="E322" s="139" t="s">
        <v>699</v>
      </c>
      <c r="F322" s="160"/>
      <c r="G322" s="160"/>
      <c r="H322" s="161"/>
      <c r="I322" s="161"/>
      <c r="J322" s="161"/>
      <c r="P322" s="153"/>
    </row>
    <row r="323" spans="1:16" x14ac:dyDescent="0.2">
      <c r="A323" s="140" t="s">
        <v>182</v>
      </c>
      <c r="B323" s="140" t="s">
        <v>41</v>
      </c>
      <c r="C323" s="140" t="s">
        <v>813</v>
      </c>
      <c r="D323" s="149" t="s">
        <v>497</v>
      </c>
      <c r="E323" s="139" t="s">
        <v>700</v>
      </c>
      <c r="F323" s="160"/>
      <c r="G323" s="160"/>
      <c r="H323" s="161"/>
      <c r="I323" s="161"/>
      <c r="J323" s="161"/>
      <c r="P323" s="153"/>
    </row>
    <row r="324" spans="1:16" x14ac:dyDescent="0.2">
      <c r="A324" s="140" t="s">
        <v>182</v>
      </c>
      <c r="B324" s="140" t="s">
        <v>41</v>
      </c>
      <c r="C324" s="140" t="s">
        <v>813</v>
      </c>
      <c r="D324" s="149" t="s">
        <v>42</v>
      </c>
      <c r="E324" s="139" t="s">
        <v>43</v>
      </c>
      <c r="F324" s="160"/>
      <c r="G324" s="160"/>
      <c r="H324" s="161"/>
      <c r="I324" s="161"/>
      <c r="J324" s="161"/>
      <c r="P324" s="153"/>
    </row>
    <row r="325" spans="1:16" x14ac:dyDescent="0.2">
      <c r="A325" s="140" t="s">
        <v>182</v>
      </c>
      <c r="B325" s="140" t="s">
        <v>41</v>
      </c>
      <c r="C325" s="140" t="s">
        <v>813</v>
      </c>
      <c r="D325" s="149" t="s">
        <v>844</v>
      </c>
      <c r="E325" s="139" t="s">
        <v>701</v>
      </c>
      <c r="F325" s="160"/>
      <c r="G325" s="160"/>
      <c r="H325" s="161"/>
      <c r="I325" s="161"/>
      <c r="J325" s="161"/>
      <c r="P325" s="153"/>
    </row>
    <row r="326" spans="1:16" x14ac:dyDescent="0.2">
      <c r="A326" s="140" t="s">
        <v>182</v>
      </c>
      <c r="B326" s="140" t="s">
        <v>41</v>
      </c>
      <c r="C326" s="140" t="s">
        <v>813</v>
      </c>
      <c r="D326" s="149" t="s">
        <v>845</v>
      </c>
      <c r="E326" s="139" t="s">
        <v>702</v>
      </c>
      <c r="F326" s="160"/>
      <c r="G326" s="160"/>
      <c r="H326" s="161"/>
      <c r="I326" s="161"/>
      <c r="J326" s="161"/>
      <c r="P326" s="153"/>
    </row>
    <row r="327" spans="1:16" x14ac:dyDescent="0.2">
      <c r="A327" s="140" t="s">
        <v>182</v>
      </c>
      <c r="B327" s="140" t="s">
        <v>41</v>
      </c>
      <c r="C327" s="140" t="s">
        <v>813</v>
      </c>
      <c r="D327" s="149" t="s">
        <v>846</v>
      </c>
      <c r="E327" s="139" t="s">
        <v>703</v>
      </c>
      <c r="F327" s="160"/>
      <c r="G327" s="160"/>
      <c r="H327" s="161"/>
      <c r="I327" s="161"/>
      <c r="J327" s="161"/>
      <c r="P327" s="153"/>
    </row>
    <row r="328" spans="1:16" x14ac:dyDescent="0.2">
      <c r="A328" s="140" t="s">
        <v>182</v>
      </c>
      <c r="B328" s="140" t="s">
        <v>41</v>
      </c>
      <c r="C328" s="140" t="s">
        <v>813</v>
      </c>
      <c r="D328" s="149" t="s">
        <v>64</v>
      </c>
      <c r="E328" s="139" t="s">
        <v>65</v>
      </c>
      <c r="F328" s="160"/>
      <c r="G328" s="160"/>
      <c r="H328" s="161"/>
      <c r="I328" s="161"/>
      <c r="J328" s="161"/>
      <c r="P328" s="153"/>
    </row>
    <row r="329" spans="1:16" x14ac:dyDescent="0.2">
      <c r="A329" s="140" t="s">
        <v>182</v>
      </c>
      <c r="B329" s="140" t="s">
        <v>41</v>
      </c>
      <c r="C329" s="140" t="s">
        <v>813</v>
      </c>
      <c r="D329" s="149" t="s">
        <v>847</v>
      </c>
      <c r="E329" s="139" t="s">
        <v>704</v>
      </c>
      <c r="F329" s="160"/>
      <c r="G329" s="160"/>
      <c r="H329" s="161"/>
      <c r="I329" s="161"/>
      <c r="J329" s="161"/>
      <c r="P329" s="153"/>
    </row>
    <row r="330" spans="1:16" x14ac:dyDescent="0.2">
      <c r="A330" s="140" t="s">
        <v>182</v>
      </c>
      <c r="B330" s="140" t="s">
        <v>41</v>
      </c>
      <c r="C330" s="140" t="s">
        <v>813</v>
      </c>
      <c r="D330" s="149" t="s">
        <v>504</v>
      </c>
      <c r="E330" s="139" t="s">
        <v>705</v>
      </c>
      <c r="F330" s="160"/>
      <c r="G330" s="160"/>
      <c r="H330" s="161"/>
      <c r="I330" s="161"/>
      <c r="J330" s="161"/>
      <c r="P330" s="153"/>
    </row>
    <row r="331" spans="1:16" x14ac:dyDescent="0.2">
      <c r="A331" s="140" t="s">
        <v>182</v>
      </c>
      <c r="B331" s="140" t="s">
        <v>41</v>
      </c>
      <c r="C331" s="140" t="s">
        <v>813</v>
      </c>
      <c r="D331" s="149" t="s">
        <v>848</v>
      </c>
      <c r="E331" s="139" t="s">
        <v>706</v>
      </c>
      <c r="F331" s="160"/>
      <c r="G331" s="160"/>
      <c r="H331" s="161"/>
      <c r="I331" s="161"/>
      <c r="J331" s="161"/>
      <c r="P331" s="153"/>
    </row>
    <row r="332" spans="1:16" x14ac:dyDescent="0.2">
      <c r="A332" s="140" t="s">
        <v>182</v>
      </c>
      <c r="B332" s="140" t="s">
        <v>41</v>
      </c>
      <c r="C332" s="140" t="s">
        <v>813</v>
      </c>
      <c r="D332" s="149" t="s">
        <v>849</v>
      </c>
      <c r="E332" s="139" t="s">
        <v>707</v>
      </c>
      <c r="F332" s="160"/>
      <c r="G332" s="160"/>
      <c r="H332" s="161"/>
      <c r="I332" s="161"/>
      <c r="J332" s="161"/>
      <c r="P332" s="153"/>
    </row>
    <row r="333" spans="1:16" x14ac:dyDescent="0.2">
      <c r="A333" s="140" t="s">
        <v>182</v>
      </c>
      <c r="B333" s="140" t="s">
        <v>41</v>
      </c>
      <c r="C333" s="140" t="s">
        <v>813</v>
      </c>
      <c r="D333" s="149" t="s">
        <v>850</v>
      </c>
      <c r="E333" s="139" t="s">
        <v>708</v>
      </c>
      <c r="F333" s="160"/>
      <c r="G333" s="160"/>
      <c r="H333" s="161"/>
      <c r="I333" s="161"/>
      <c r="J333" s="161"/>
      <c r="P333" s="153"/>
    </row>
    <row r="334" spans="1:16" x14ac:dyDescent="0.2">
      <c r="A334" s="140" t="s">
        <v>182</v>
      </c>
      <c r="B334" s="140" t="s">
        <v>41</v>
      </c>
      <c r="C334" s="140" t="s">
        <v>813</v>
      </c>
      <c r="D334" s="149" t="s">
        <v>851</v>
      </c>
      <c r="E334" s="139" t="s">
        <v>709</v>
      </c>
      <c r="F334" s="160"/>
      <c r="G334" s="160"/>
      <c r="H334" s="161"/>
      <c r="I334" s="161"/>
      <c r="J334" s="161"/>
      <c r="P334" s="153"/>
    </row>
    <row r="335" spans="1:16" x14ac:dyDescent="0.2">
      <c r="A335" s="140" t="s">
        <v>182</v>
      </c>
      <c r="B335" s="140" t="s">
        <v>55</v>
      </c>
      <c r="C335" s="140" t="s">
        <v>220</v>
      </c>
      <c r="D335" s="149" t="s">
        <v>220</v>
      </c>
      <c r="E335" s="139" t="s">
        <v>221</v>
      </c>
      <c r="F335" s="160"/>
      <c r="G335" s="160"/>
      <c r="H335" s="161"/>
      <c r="I335" s="161"/>
      <c r="J335" s="161"/>
      <c r="P335" s="153"/>
    </row>
    <row r="336" spans="1:16" x14ac:dyDescent="0.2">
      <c r="A336" s="140" t="s">
        <v>182</v>
      </c>
      <c r="B336" s="140" t="s">
        <v>55</v>
      </c>
      <c r="C336" s="140" t="s">
        <v>220</v>
      </c>
      <c r="D336" s="149" t="s">
        <v>852</v>
      </c>
      <c r="E336" s="139" t="s">
        <v>696</v>
      </c>
      <c r="F336" s="160"/>
      <c r="G336" s="160"/>
      <c r="H336" s="161"/>
      <c r="I336" s="161"/>
      <c r="J336" s="161"/>
      <c r="P336" s="153"/>
    </row>
    <row r="337" spans="1:16" x14ac:dyDescent="0.2">
      <c r="A337" s="140" t="s">
        <v>182</v>
      </c>
      <c r="B337" s="140" t="s">
        <v>55</v>
      </c>
      <c r="C337" s="140" t="s">
        <v>220</v>
      </c>
      <c r="D337" s="149" t="s">
        <v>515</v>
      </c>
      <c r="E337" s="139" t="s">
        <v>697</v>
      </c>
      <c r="F337" s="160"/>
      <c r="G337" s="160"/>
      <c r="H337" s="161"/>
      <c r="I337" s="161"/>
      <c r="J337" s="161"/>
      <c r="P337" s="153"/>
    </row>
    <row r="338" spans="1:16" x14ac:dyDescent="0.2">
      <c r="A338" s="140" t="s">
        <v>182</v>
      </c>
      <c r="B338" s="140" t="s">
        <v>55</v>
      </c>
      <c r="C338" s="140" t="s">
        <v>56</v>
      </c>
      <c r="D338" s="149" t="s">
        <v>488</v>
      </c>
      <c r="E338" s="139" t="s">
        <v>711</v>
      </c>
      <c r="F338" s="160"/>
      <c r="G338" s="160"/>
      <c r="H338" s="161"/>
      <c r="I338" s="161"/>
      <c r="J338" s="161"/>
      <c r="P338" s="153"/>
    </row>
    <row r="339" spans="1:16" x14ac:dyDescent="0.2">
      <c r="A339" s="140" t="s">
        <v>182</v>
      </c>
      <c r="B339" s="140" t="s">
        <v>55</v>
      </c>
      <c r="C339" s="140" t="s">
        <v>56</v>
      </c>
      <c r="D339" s="149" t="s">
        <v>56</v>
      </c>
      <c r="E339" s="139" t="s">
        <v>57</v>
      </c>
      <c r="F339" s="160"/>
      <c r="G339" s="160"/>
      <c r="H339" s="161"/>
      <c r="I339" s="161"/>
      <c r="J339" s="161"/>
      <c r="P339" s="153"/>
    </row>
    <row r="340" spans="1:16" x14ac:dyDescent="0.2">
      <c r="A340" s="140" t="s">
        <v>182</v>
      </c>
      <c r="B340" s="140" t="s">
        <v>55</v>
      </c>
      <c r="C340" s="140" t="s">
        <v>86</v>
      </c>
      <c r="D340" s="149" t="s">
        <v>445</v>
      </c>
      <c r="E340" s="139" t="s">
        <v>719</v>
      </c>
      <c r="F340" s="160"/>
      <c r="G340" s="160"/>
      <c r="H340" s="161"/>
      <c r="I340" s="161"/>
      <c r="J340" s="161"/>
      <c r="P340" s="153"/>
    </row>
    <row r="341" spans="1:16" x14ac:dyDescent="0.2">
      <c r="A341" s="140" t="s">
        <v>182</v>
      </c>
      <c r="B341" s="140" t="s">
        <v>55</v>
      </c>
      <c r="C341" s="140" t="s">
        <v>86</v>
      </c>
      <c r="D341" s="149" t="s">
        <v>853</v>
      </c>
      <c r="E341" s="139" t="s">
        <v>720</v>
      </c>
      <c r="F341" s="160"/>
      <c r="G341" s="160"/>
      <c r="H341" s="161"/>
      <c r="I341" s="161"/>
      <c r="J341" s="161"/>
      <c r="P341" s="153"/>
    </row>
    <row r="342" spans="1:16" x14ac:dyDescent="0.2">
      <c r="A342" s="140" t="s">
        <v>182</v>
      </c>
      <c r="B342" s="140" t="s">
        <v>55</v>
      </c>
      <c r="C342" s="140" t="s">
        <v>86</v>
      </c>
      <c r="D342" s="149" t="s">
        <v>854</v>
      </c>
      <c r="E342" s="139" t="s">
        <v>721</v>
      </c>
      <c r="F342" s="160"/>
      <c r="G342" s="160"/>
      <c r="H342" s="161"/>
      <c r="I342" s="161"/>
      <c r="J342" s="161"/>
      <c r="P342" s="153"/>
    </row>
    <row r="343" spans="1:16" x14ac:dyDescent="0.2">
      <c r="A343" s="140" t="s">
        <v>182</v>
      </c>
      <c r="B343" s="140" t="s">
        <v>55</v>
      </c>
      <c r="C343" s="140" t="s">
        <v>86</v>
      </c>
      <c r="D343" s="149" t="s">
        <v>855</v>
      </c>
      <c r="E343" s="139" t="s">
        <v>722</v>
      </c>
      <c r="F343" s="160"/>
      <c r="G343" s="160"/>
      <c r="H343" s="161"/>
      <c r="I343" s="161"/>
      <c r="J343" s="161"/>
      <c r="P343" s="153"/>
    </row>
    <row r="344" spans="1:16" x14ac:dyDescent="0.2">
      <c r="A344" s="140" t="s">
        <v>182</v>
      </c>
      <c r="B344" s="140" t="s">
        <v>55</v>
      </c>
      <c r="C344" s="140" t="s">
        <v>86</v>
      </c>
      <c r="D344" s="149" t="s">
        <v>87</v>
      </c>
      <c r="E344" s="139" t="s">
        <v>88</v>
      </c>
      <c r="F344" s="160"/>
      <c r="G344" s="160"/>
      <c r="H344" s="161"/>
      <c r="I344" s="161"/>
      <c r="J344" s="161"/>
      <c r="P344" s="153"/>
    </row>
    <row r="345" spans="1:16" x14ac:dyDescent="0.2">
      <c r="A345" s="140" t="s">
        <v>182</v>
      </c>
      <c r="B345" s="140" t="s">
        <v>55</v>
      </c>
      <c r="C345" s="140" t="s">
        <v>86</v>
      </c>
      <c r="D345" s="149" t="s">
        <v>856</v>
      </c>
      <c r="E345" s="139" t="s">
        <v>723</v>
      </c>
      <c r="F345" s="160"/>
      <c r="G345" s="160"/>
      <c r="H345" s="161"/>
      <c r="I345" s="161"/>
      <c r="J345" s="161"/>
      <c r="P345" s="153"/>
    </row>
    <row r="346" spans="1:16" x14ac:dyDescent="0.2">
      <c r="A346" s="140" t="s">
        <v>182</v>
      </c>
      <c r="B346" s="140" t="s">
        <v>55</v>
      </c>
      <c r="C346" s="140" t="s">
        <v>78</v>
      </c>
      <c r="D346" s="149" t="s">
        <v>326</v>
      </c>
      <c r="E346" s="139" t="s">
        <v>693</v>
      </c>
      <c r="F346" s="160"/>
      <c r="G346" s="160"/>
      <c r="H346" s="161"/>
      <c r="I346" s="161"/>
      <c r="J346" s="161"/>
      <c r="P346" s="153"/>
    </row>
    <row r="347" spans="1:16" x14ac:dyDescent="0.2">
      <c r="A347" s="140" t="s">
        <v>182</v>
      </c>
      <c r="B347" s="140" t="s">
        <v>55</v>
      </c>
      <c r="C347" s="140" t="s">
        <v>78</v>
      </c>
      <c r="D347" s="149" t="s">
        <v>79</v>
      </c>
      <c r="E347" s="139" t="s">
        <v>80</v>
      </c>
      <c r="F347" s="160"/>
      <c r="G347" s="160"/>
      <c r="H347" s="161"/>
      <c r="I347" s="161"/>
      <c r="J347" s="161"/>
      <c r="P347" s="153"/>
    </row>
    <row r="348" spans="1:16" x14ac:dyDescent="0.2">
      <c r="A348" s="140" t="s">
        <v>182</v>
      </c>
      <c r="B348" s="140" t="s">
        <v>55</v>
      </c>
      <c r="C348" s="140" t="s">
        <v>78</v>
      </c>
      <c r="D348" s="149" t="s">
        <v>857</v>
      </c>
      <c r="E348" s="139" t="s">
        <v>694</v>
      </c>
      <c r="F348" s="160"/>
      <c r="G348" s="160"/>
      <c r="H348" s="161"/>
      <c r="I348" s="161"/>
      <c r="J348" s="161"/>
      <c r="P348" s="153"/>
    </row>
    <row r="349" spans="1:16" x14ac:dyDescent="0.2">
      <c r="A349" s="140" t="s">
        <v>182</v>
      </c>
      <c r="B349" s="140" t="s">
        <v>55</v>
      </c>
      <c r="C349" s="140" t="s">
        <v>78</v>
      </c>
      <c r="D349" s="149" t="s">
        <v>98</v>
      </c>
      <c r="E349" s="139" t="s">
        <v>99</v>
      </c>
      <c r="F349" s="160"/>
      <c r="G349" s="160"/>
      <c r="H349" s="161"/>
      <c r="I349" s="161"/>
      <c r="J349" s="161"/>
      <c r="P349" s="153"/>
    </row>
    <row r="350" spans="1:16" x14ac:dyDescent="0.2">
      <c r="A350" s="140" t="s">
        <v>182</v>
      </c>
      <c r="B350" s="140" t="s">
        <v>55</v>
      </c>
      <c r="C350" s="140" t="s">
        <v>78</v>
      </c>
      <c r="D350" s="149" t="s">
        <v>333</v>
      </c>
      <c r="E350" s="139" t="s">
        <v>695</v>
      </c>
      <c r="F350" s="160"/>
      <c r="G350" s="160"/>
      <c r="H350" s="161"/>
      <c r="I350" s="161"/>
      <c r="J350" s="161"/>
      <c r="P350" s="153"/>
    </row>
    <row r="351" spans="1:16" x14ac:dyDescent="0.2">
      <c r="A351" s="140" t="s">
        <v>182</v>
      </c>
      <c r="B351" s="140" t="s">
        <v>31</v>
      </c>
      <c r="C351" s="140" t="s">
        <v>32</v>
      </c>
      <c r="D351" s="149" t="s">
        <v>32</v>
      </c>
      <c r="E351" s="139" t="s">
        <v>33</v>
      </c>
      <c r="F351" s="160"/>
      <c r="G351" s="160"/>
      <c r="H351" s="161"/>
      <c r="I351" s="161"/>
      <c r="J351" s="161"/>
      <c r="P351" s="153"/>
    </row>
    <row r="352" spans="1:16" x14ac:dyDescent="0.2">
      <c r="A352" s="140" t="s">
        <v>182</v>
      </c>
      <c r="B352" s="140" t="s">
        <v>31</v>
      </c>
      <c r="C352" s="140" t="s">
        <v>127</v>
      </c>
      <c r="D352" s="149" t="s">
        <v>858</v>
      </c>
      <c r="E352" s="139" t="s">
        <v>712</v>
      </c>
      <c r="F352" s="160"/>
      <c r="G352" s="160"/>
      <c r="H352" s="161"/>
      <c r="I352" s="161"/>
      <c r="J352" s="161"/>
      <c r="P352" s="153"/>
    </row>
    <row r="353" spans="1:16" x14ac:dyDescent="0.2">
      <c r="A353" s="140" t="s">
        <v>182</v>
      </c>
      <c r="B353" s="140" t="s">
        <v>31</v>
      </c>
      <c r="C353" s="140" t="s">
        <v>127</v>
      </c>
      <c r="D353" s="149" t="s">
        <v>483</v>
      </c>
      <c r="E353" s="139" t="s">
        <v>713</v>
      </c>
      <c r="F353" s="160"/>
      <c r="G353" s="160"/>
      <c r="H353" s="161"/>
      <c r="I353" s="161"/>
      <c r="J353" s="161"/>
      <c r="P353" s="153"/>
    </row>
    <row r="354" spans="1:16" x14ac:dyDescent="0.2">
      <c r="A354" s="140" t="s">
        <v>182</v>
      </c>
      <c r="B354" s="140" t="s">
        <v>31</v>
      </c>
      <c r="C354" s="140" t="s">
        <v>127</v>
      </c>
      <c r="D354" s="149" t="s">
        <v>485</v>
      </c>
      <c r="E354" s="139" t="s">
        <v>714</v>
      </c>
      <c r="F354" s="160"/>
      <c r="G354" s="160"/>
      <c r="H354" s="161"/>
      <c r="I354" s="161"/>
      <c r="J354" s="161"/>
      <c r="P354" s="153"/>
    </row>
    <row r="355" spans="1:16" x14ac:dyDescent="0.2">
      <c r="A355" s="140" t="s">
        <v>182</v>
      </c>
      <c r="B355" s="140" t="s">
        <v>31</v>
      </c>
      <c r="C355" s="140" t="s">
        <v>127</v>
      </c>
      <c r="D355" s="149" t="s">
        <v>859</v>
      </c>
      <c r="E355" s="139" t="s">
        <v>715</v>
      </c>
      <c r="F355" s="160"/>
      <c r="G355" s="160"/>
      <c r="H355" s="161"/>
      <c r="I355" s="161"/>
      <c r="J355" s="161"/>
      <c r="P355" s="153"/>
    </row>
    <row r="356" spans="1:16" x14ac:dyDescent="0.2">
      <c r="A356" s="140" t="s">
        <v>182</v>
      </c>
      <c r="B356" s="140" t="s">
        <v>31</v>
      </c>
      <c r="C356" s="140" t="s">
        <v>127</v>
      </c>
      <c r="D356" s="149" t="s">
        <v>860</v>
      </c>
      <c r="E356" s="139" t="s">
        <v>129</v>
      </c>
      <c r="F356" s="160"/>
      <c r="G356" s="160"/>
      <c r="H356" s="161"/>
      <c r="I356" s="161"/>
      <c r="J356" s="161"/>
      <c r="P356" s="153"/>
    </row>
    <row r="357" spans="1:16" x14ac:dyDescent="0.2">
      <c r="A357" s="140" t="s">
        <v>182</v>
      </c>
      <c r="B357" s="140" t="s">
        <v>31</v>
      </c>
      <c r="C357" s="140" t="s">
        <v>111</v>
      </c>
      <c r="D357" s="149" t="s">
        <v>430</v>
      </c>
      <c r="E357" s="139" t="s">
        <v>730</v>
      </c>
      <c r="F357" s="160"/>
      <c r="G357" s="160"/>
      <c r="H357" s="161"/>
      <c r="I357" s="161"/>
      <c r="J357" s="161"/>
      <c r="P357" s="153"/>
    </row>
    <row r="358" spans="1:16" x14ac:dyDescent="0.2">
      <c r="A358" s="140" t="s">
        <v>182</v>
      </c>
      <c r="B358" s="140" t="s">
        <v>31</v>
      </c>
      <c r="C358" s="140" t="s">
        <v>111</v>
      </c>
      <c r="D358" s="149" t="s">
        <v>861</v>
      </c>
      <c r="E358" s="139" t="s">
        <v>731</v>
      </c>
      <c r="F358" s="160"/>
      <c r="G358" s="160"/>
      <c r="H358" s="161"/>
      <c r="I358" s="161"/>
      <c r="J358" s="161"/>
      <c r="P358" s="153"/>
    </row>
    <row r="359" spans="1:16" x14ac:dyDescent="0.2">
      <c r="A359" s="140" t="s">
        <v>182</v>
      </c>
      <c r="B359" s="140" t="s">
        <v>31</v>
      </c>
      <c r="C359" s="140" t="s">
        <v>111</v>
      </c>
      <c r="D359" s="149" t="s">
        <v>111</v>
      </c>
      <c r="E359" s="139" t="s">
        <v>112</v>
      </c>
      <c r="F359" s="160"/>
      <c r="G359" s="160"/>
      <c r="H359" s="161"/>
      <c r="I359" s="161"/>
      <c r="J359" s="161"/>
      <c r="P359" s="153"/>
    </row>
    <row r="360" spans="1:16" x14ac:dyDescent="0.2">
      <c r="A360" s="140" t="s">
        <v>182</v>
      </c>
      <c r="B360" s="140" t="s">
        <v>31</v>
      </c>
      <c r="C360" s="140" t="s">
        <v>132</v>
      </c>
      <c r="D360" s="149" t="s">
        <v>346</v>
      </c>
      <c r="E360" s="139" t="s">
        <v>733</v>
      </c>
      <c r="F360" s="160"/>
      <c r="G360" s="160"/>
      <c r="H360" s="161"/>
      <c r="I360" s="161"/>
      <c r="J360" s="161"/>
      <c r="P360" s="153"/>
    </row>
    <row r="361" spans="1:16" x14ac:dyDescent="0.2">
      <c r="A361" s="140" t="s">
        <v>182</v>
      </c>
      <c r="B361" s="140" t="s">
        <v>31</v>
      </c>
      <c r="C361" s="140" t="s">
        <v>132</v>
      </c>
      <c r="D361" s="149" t="s">
        <v>132</v>
      </c>
      <c r="E361" s="139" t="s">
        <v>133</v>
      </c>
      <c r="F361" s="160"/>
      <c r="G361" s="160"/>
      <c r="H361" s="161"/>
      <c r="I361" s="161"/>
      <c r="J361" s="161"/>
      <c r="P361" s="153"/>
    </row>
    <row r="362" spans="1:16" x14ac:dyDescent="0.2">
      <c r="A362" s="140" t="s">
        <v>182</v>
      </c>
      <c r="B362" s="140" t="s">
        <v>31</v>
      </c>
      <c r="C362" s="140" t="s">
        <v>814</v>
      </c>
      <c r="D362" s="149" t="s">
        <v>863</v>
      </c>
      <c r="E362" s="139" t="s">
        <v>754</v>
      </c>
      <c r="F362" s="160"/>
      <c r="G362" s="160"/>
      <c r="H362" s="161"/>
      <c r="I362" s="161"/>
      <c r="J362" s="161"/>
      <c r="P362" s="153"/>
    </row>
    <row r="363" spans="1:16" x14ac:dyDescent="0.2">
      <c r="A363" s="140" t="s">
        <v>182</v>
      </c>
      <c r="B363" s="140" t="s">
        <v>31</v>
      </c>
      <c r="C363" s="140" t="s">
        <v>814</v>
      </c>
      <c r="D363" s="149" t="s">
        <v>864</v>
      </c>
      <c r="E363" s="139" t="s">
        <v>755</v>
      </c>
      <c r="F363" s="160"/>
      <c r="G363" s="160"/>
      <c r="H363" s="161"/>
      <c r="I363" s="161"/>
      <c r="J363" s="161"/>
      <c r="P363" s="153"/>
    </row>
    <row r="364" spans="1:16" x14ac:dyDescent="0.2">
      <c r="A364" s="140" t="s">
        <v>182</v>
      </c>
      <c r="B364" s="140" t="s">
        <v>31</v>
      </c>
      <c r="C364" s="140" t="s">
        <v>814</v>
      </c>
      <c r="D364" s="149" t="s">
        <v>865</v>
      </c>
      <c r="E364" s="139" t="s">
        <v>756</v>
      </c>
      <c r="F364" s="160"/>
      <c r="G364" s="160"/>
      <c r="H364" s="161"/>
      <c r="I364" s="161"/>
      <c r="J364" s="161"/>
      <c r="P364" s="153"/>
    </row>
    <row r="365" spans="1:16" x14ac:dyDescent="0.2">
      <c r="A365" s="140" t="s">
        <v>182</v>
      </c>
      <c r="B365" s="140" t="s">
        <v>31</v>
      </c>
      <c r="C365" s="140" t="s">
        <v>814</v>
      </c>
      <c r="D365" s="149" t="s">
        <v>866</v>
      </c>
      <c r="E365" s="139" t="s">
        <v>757</v>
      </c>
      <c r="F365" s="160"/>
      <c r="G365" s="160"/>
      <c r="H365" s="161"/>
      <c r="I365" s="161"/>
      <c r="J365" s="161"/>
      <c r="P365" s="153"/>
    </row>
    <row r="366" spans="1:16" x14ac:dyDescent="0.2">
      <c r="A366" s="140" t="s">
        <v>182</v>
      </c>
      <c r="B366" s="140" t="s">
        <v>31</v>
      </c>
      <c r="C366" s="140" t="s">
        <v>814</v>
      </c>
      <c r="D366" s="149" t="s">
        <v>123</v>
      </c>
      <c r="E366" s="139" t="s">
        <v>124</v>
      </c>
      <c r="F366" s="160"/>
      <c r="G366" s="160"/>
      <c r="H366" s="161"/>
      <c r="I366" s="161"/>
      <c r="J366" s="161"/>
      <c r="P366" s="153"/>
    </row>
    <row r="367" spans="1:16" x14ac:dyDescent="0.2">
      <c r="A367" s="140" t="s">
        <v>182</v>
      </c>
      <c r="B367" s="140" t="s">
        <v>31</v>
      </c>
      <c r="C367" s="140" t="s">
        <v>814</v>
      </c>
      <c r="D367" s="149" t="s">
        <v>867</v>
      </c>
      <c r="E367" s="139" t="s">
        <v>758</v>
      </c>
      <c r="F367" s="160"/>
      <c r="G367" s="160"/>
      <c r="H367" s="161"/>
      <c r="I367" s="161"/>
      <c r="J367" s="161"/>
      <c r="P367" s="153"/>
    </row>
    <row r="368" spans="1:16" x14ac:dyDescent="0.2">
      <c r="A368" s="140" t="s">
        <v>182</v>
      </c>
      <c r="B368" s="140" t="s">
        <v>58</v>
      </c>
      <c r="C368" s="140" t="s">
        <v>66</v>
      </c>
      <c r="D368" s="149" t="s">
        <v>585</v>
      </c>
      <c r="E368" s="139" t="s">
        <v>660</v>
      </c>
      <c r="F368" s="160"/>
      <c r="G368" s="160"/>
      <c r="H368" s="161"/>
      <c r="I368" s="161"/>
      <c r="J368" s="161"/>
      <c r="P368" s="153"/>
    </row>
    <row r="369" spans="1:16" x14ac:dyDescent="0.2">
      <c r="A369" s="140" t="s">
        <v>182</v>
      </c>
      <c r="B369" s="140" t="s">
        <v>58</v>
      </c>
      <c r="C369" s="140" t="s">
        <v>66</v>
      </c>
      <c r="D369" s="149" t="s">
        <v>868</v>
      </c>
      <c r="E369" s="139" t="s">
        <v>661</v>
      </c>
      <c r="F369" s="160"/>
      <c r="G369" s="160"/>
      <c r="H369" s="161"/>
      <c r="I369" s="161"/>
      <c r="J369" s="161"/>
      <c r="P369" s="153"/>
    </row>
    <row r="370" spans="1:16" x14ac:dyDescent="0.2">
      <c r="A370" s="140" t="s">
        <v>182</v>
      </c>
      <c r="B370" s="140" t="s">
        <v>58</v>
      </c>
      <c r="C370" s="140" t="s">
        <v>66</v>
      </c>
      <c r="D370" s="149" t="s">
        <v>590</v>
      </c>
      <c r="E370" s="139" t="s">
        <v>662</v>
      </c>
      <c r="F370" s="160"/>
      <c r="G370" s="160"/>
      <c r="H370" s="161"/>
      <c r="I370" s="161"/>
      <c r="J370" s="161"/>
      <c r="P370" s="153"/>
    </row>
    <row r="371" spans="1:16" x14ac:dyDescent="0.2">
      <c r="A371" s="140" t="s">
        <v>182</v>
      </c>
      <c r="B371" s="140" t="s">
        <v>58</v>
      </c>
      <c r="C371" s="140" t="s">
        <v>66</v>
      </c>
      <c r="D371" s="149" t="s">
        <v>598</v>
      </c>
      <c r="E371" s="139" t="s">
        <v>666</v>
      </c>
      <c r="F371" s="160"/>
      <c r="G371" s="160"/>
      <c r="H371" s="161"/>
      <c r="I371" s="161"/>
      <c r="J371" s="161"/>
      <c r="P371" s="153"/>
    </row>
    <row r="372" spans="1:16" x14ac:dyDescent="0.2">
      <c r="A372" s="140" t="s">
        <v>182</v>
      </c>
      <c r="B372" s="140" t="s">
        <v>58</v>
      </c>
      <c r="C372" s="140" t="s">
        <v>66</v>
      </c>
      <c r="D372" s="149" t="s">
        <v>222</v>
      </c>
      <c r="E372" s="139" t="s">
        <v>223</v>
      </c>
      <c r="F372" s="160"/>
      <c r="G372" s="160"/>
      <c r="H372" s="161"/>
      <c r="I372" s="161"/>
      <c r="J372" s="161"/>
      <c r="P372" s="153"/>
    </row>
    <row r="373" spans="1:16" x14ac:dyDescent="0.2">
      <c r="A373" s="140" t="s">
        <v>182</v>
      </c>
      <c r="B373" s="140" t="s">
        <v>58</v>
      </c>
      <c r="C373" s="140" t="s">
        <v>66</v>
      </c>
      <c r="D373" s="149" t="s">
        <v>186</v>
      </c>
      <c r="E373" s="139" t="s">
        <v>663</v>
      </c>
      <c r="F373" s="160"/>
      <c r="G373" s="160"/>
      <c r="H373" s="161"/>
      <c r="I373" s="161"/>
      <c r="J373" s="161"/>
      <c r="P373" s="153"/>
    </row>
    <row r="374" spans="1:16" x14ac:dyDescent="0.2">
      <c r="A374" s="140" t="s">
        <v>182</v>
      </c>
      <c r="B374" s="140" t="s">
        <v>58</v>
      </c>
      <c r="C374" s="140" t="s">
        <v>66</v>
      </c>
      <c r="D374" s="149" t="s">
        <v>224</v>
      </c>
      <c r="E374" s="139" t="s">
        <v>225</v>
      </c>
      <c r="F374" s="160"/>
      <c r="G374" s="160"/>
      <c r="H374" s="161"/>
      <c r="I374" s="161"/>
      <c r="J374" s="161"/>
      <c r="P374" s="153"/>
    </row>
    <row r="375" spans="1:16" x14ac:dyDescent="0.2">
      <c r="A375" s="140" t="s">
        <v>182</v>
      </c>
      <c r="B375" s="140" t="s">
        <v>58</v>
      </c>
      <c r="C375" s="140" t="s">
        <v>66</v>
      </c>
      <c r="D375" s="149" t="s">
        <v>869</v>
      </c>
      <c r="E375" s="139" t="s">
        <v>664</v>
      </c>
      <c r="F375" s="160"/>
      <c r="G375" s="160"/>
      <c r="H375" s="161"/>
      <c r="I375" s="161"/>
      <c r="J375" s="161"/>
      <c r="P375" s="153"/>
    </row>
    <row r="376" spans="1:16" x14ac:dyDescent="0.2">
      <c r="A376" s="140" t="s">
        <v>182</v>
      </c>
      <c r="B376" s="140" t="s">
        <v>58</v>
      </c>
      <c r="C376" s="140" t="s">
        <v>66</v>
      </c>
      <c r="D376" s="149" t="s">
        <v>166</v>
      </c>
      <c r="E376" s="139" t="s">
        <v>167</v>
      </c>
      <c r="F376" s="160"/>
      <c r="G376" s="160"/>
      <c r="H376" s="161"/>
      <c r="I376" s="161"/>
      <c r="J376" s="161"/>
      <c r="P376" s="153"/>
    </row>
    <row r="377" spans="1:16" x14ac:dyDescent="0.2">
      <c r="A377" s="140" t="s">
        <v>182</v>
      </c>
      <c r="B377" s="140" t="s">
        <v>58</v>
      </c>
      <c r="C377" s="140" t="s">
        <v>66</v>
      </c>
      <c r="D377" s="149" t="s">
        <v>870</v>
      </c>
      <c r="E377" s="139" t="s">
        <v>665</v>
      </c>
      <c r="F377" s="160"/>
      <c r="G377" s="160"/>
      <c r="H377" s="161"/>
      <c r="I377" s="161"/>
      <c r="J377" s="161"/>
      <c r="P377" s="153"/>
    </row>
    <row r="378" spans="1:16" x14ac:dyDescent="0.2">
      <c r="A378" s="140" t="s">
        <v>182</v>
      </c>
      <c r="B378" s="140" t="s">
        <v>58</v>
      </c>
      <c r="C378" s="140" t="s">
        <v>66</v>
      </c>
      <c r="D378" s="149" t="s">
        <v>871</v>
      </c>
      <c r="E378" s="139" t="s">
        <v>667</v>
      </c>
      <c r="F378" s="160"/>
      <c r="G378" s="160"/>
      <c r="H378" s="161"/>
      <c r="I378" s="161"/>
      <c r="J378" s="161"/>
      <c r="P378" s="153"/>
    </row>
    <row r="379" spans="1:16" x14ac:dyDescent="0.2">
      <c r="A379" s="140" t="s">
        <v>182</v>
      </c>
      <c r="B379" s="140" t="s">
        <v>58</v>
      </c>
      <c r="C379" s="140" t="s">
        <v>66</v>
      </c>
      <c r="D379" s="149" t="s">
        <v>67</v>
      </c>
      <c r="E379" s="139" t="s">
        <v>68</v>
      </c>
      <c r="F379" s="160"/>
      <c r="G379" s="160"/>
      <c r="H379" s="161"/>
      <c r="I379" s="161"/>
      <c r="J379" s="161"/>
      <c r="P379" s="153"/>
    </row>
    <row r="380" spans="1:16" x14ac:dyDescent="0.2">
      <c r="A380" s="140" t="s">
        <v>182</v>
      </c>
      <c r="B380" s="140" t="s">
        <v>58</v>
      </c>
      <c r="C380" s="140" t="s">
        <v>66</v>
      </c>
      <c r="D380" s="149" t="s">
        <v>872</v>
      </c>
      <c r="E380" s="139" t="s">
        <v>668</v>
      </c>
      <c r="F380" s="160"/>
      <c r="G380" s="160"/>
      <c r="H380" s="161"/>
      <c r="I380" s="161"/>
      <c r="J380" s="161"/>
      <c r="P380" s="153"/>
    </row>
    <row r="381" spans="1:16" x14ac:dyDescent="0.2">
      <c r="A381" s="140" t="s">
        <v>182</v>
      </c>
      <c r="B381" s="140" t="s">
        <v>58</v>
      </c>
      <c r="C381" s="140" t="s">
        <v>66</v>
      </c>
      <c r="D381" s="149" t="s">
        <v>873</v>
      </c>
      <c r="E381" s="139" t="s">
        <v>669</v>
      </c>
      <c r="F381" s="160"/>
      <c r="G381" s="160"/>
      <c r="H381" s="161"/>
      <c r="I381" s="161"/>
      <c r="J381" s="161"/>
      <c r="P381" s="153"/>
    </row>
    <row r="382" spans="1:16" x14ac:dyDescent="0.2">
      <c r="A382" s="140" t="s">
        <v>182</v>
      </c>
      <c r="B382" s="140" t="s">
        <v>58</v>
      </c>
      <c r="C382" s="140" t="s">
        <v>66</v>
      </c>
      <c r="D382" s="149" t="s">
        <v>226</v>
      </c>
      <c r="E382" s="139" t="s">
        <v>227</v>
      </c>
      <c r="F382" s="160"/>
      <c r="G382" s="160"/>
      <c r="H382" s="161"/>
      <c r="I382" s="161"/>
      <c r="J382" s="161"/>
      <c r="P382" s="153"/>
    </row>
    <row r="383" spans="1:16" x14ac:dyDescent="0.2">
      <c r="A383" s="140" t="s">
        <v>182</v>
      </c>
      <c r="B383" s="140" t="s">
        <v>58</v>
      </c>
      <c r="C383" s="140" t="s">
        <v>66</v>
      </c>
      <c r="D383" s="149" t="s">
        <v>874</v>
      </c>
      <c r="E383" s="139" t="s">
        <v>670</v>
      </c>
      <c r="F383" s="160"/>
      <c r="G383" s="160"/>
      <c r="H383" s="161"/>
      <c r="I383" s="161"/>
      <c r="J383" s="161"/>
      <c r="P383" s="153"/>
    </row>
    <row r="384" spans="1:16" x14ac:dyDescent="0.2">
      <c r="A384" s="140" t="s">
        <v>182</v>
      </c>
      <c r="B384" s="140" t="s">
        <v>58</v>
      </c>
      <c r="C384" s="140" t="s">
        <v>66</v>
      </c>
      <c r="D384" s="149" t="s">
        <v>607</v>
      </c>
      <c r="E384" s="139" t="s">
        <v>81</v>
      </c>
      <c r="F384" s="160"/>
      <c r="G384" s="160"/>
      <c r="H384" s="161"/>
      <c r="I384" s="161"/>
      <c r="J384" s="161"/>
      <c r="P384" s="153"/>
    </row>
    <row r="385" spans="1:16" x14ac:dyDescent="0.2">
      <c r="A385" s="140" t="s">
        <v>182</v>
      </c>
      <c r="B385" s="140" t="s">
        <v>58</v>
      </c>
      <c r="C385" s="140" t="s">
        <v>66</v>
      </c>
      <c r="D385" s="149" t="s">
        <v>609</v>
      </c>
      <c r="E385" s="139" t="s">
        <v>671</v>
      </c>
      <c r="F385" s="160"/>
      <c r="G385" s="160"/>
      <c r="H385" s="161"/>
      <c r="I385" s="161"/>
      <c r="J385" s="161"/>
      <c r="P385" s="153"/>
    </row>
    <row r="386" spans="1:16" x14ac:dyDescent="0.2">
      <c r="A386" s="140" t="s">
        <v>182</v>
      </c>
      <c r="B386" s="140" t="s">
        <v>58</v>
      </c>
      <c r="C386" s="140" t="s">
        <v>66</v>
      </c>
      <c r="D386" s="149" t="s">
        <v>875</v>
      </c>
      <c r="E386" s="139" t="s">
        <v>173</v>
      </c>
      <c r="F386" s="160"/>
      <c r="G386" s="160"/>
      <c r="H386" s="161"/>
      <c r="I386" s="161"/>
      <c r="J386" s="161"/>
      <c r="P386" s="153"/>
    </row>
    <row r="387" spans="1:16" x14ac:dyDescent="0.2">
      <c r="A387" s="140" t="s">
        <v>182</v>
      </c>
      <c r="B387" s="140" t="s">
        <v>58</v>
      </c>
      <c r="C387" s="140" t="s">
        <v>66</v>
      </c>
      <c r="D387" s="149" t="s">
        <v>876</v>
      </c>
      <c r="E387" s="139" t="s">
        <v>672</v>
      </c>
      <c r="F387" s="160"/>
      <c r="G387" s="160"/>
      <c r="H387" s="161"/>
      <c r="I387" s="161"/>
      <c r="J387" s="161"/>
      <c r="P387" s="153"/>
    </row>
    <row r="388" spans="1:16" x14ac:dyDescent="0.2">
      <c r="A388" s="140" t="s">
        <v>182</v>
      </c>
      <c r="B388" s="140" t="s">
        <v>58</v>
      </c>
      <c r="C388" s="140" t="s">
        <v>66</v>
      </c>
      <c r="D388" s="149" t="s">
        <v>136</v>
      </c>
      <c r="E388" s="139" t="s">
        <v>137</v>
      </c>
      <c r="F388" s="160"/>
      <c r="G388" s="160"/>
      <c r="H388" s="161"/>
      <c r="I388" s="161"/>
      <c r="J388" s="161"/>
      <c r="P388" s="153"/>
    </row>
    <row r="389" spans="1:16" x14ac:dyDescent="0.2">
      <c r="A389" s="140" t="s">
        <v>182</v>
      </c>
      <c r="B389" s="140" t="s">
        <v>58</v>
      </c>
      <c r="C389" s="140" t="s">
        <v>66</v>
      </c>
      <c r="D389" s="149" t="s">
        <v>615</v>
      </c>
      <c r="E389" s="139" t="s">
        <v>675</v>
      </c>
      <c r="F389" s="160"/>
      <c r="G389" s="160"/>
      <c r="H389" s="161"/>
      <c r="I389" s="161"/>
      <c r="J389" s="161"/>
      <c r="P389" s="153"/>
    </row>
    <row r="390" spans="1:16" x14ac:dyDescent="0.2">
      <c r="A390" s="140" t="s">
        <v>182</v>
      </c>
      <c r="B390" s="140" t="s">
        <v>58</v>
      </c>
      <c r="C390" s="140" t="s">
        <v>66</v>
      </c>
      <c r="D390" s="149" t="s">
        <v>877</v>
      </c>
      <c r="E390" s="139" t="s">
        <v>181</v>
      </c>
      <c r="F390" s="160"/>
      <c r="G390" s="160"/>
      <c r="H390" s="161"/>
      <c r="I390" s="161"/>
      <c r="J390" s="161"/>
      <c r="P390" s="153"/>
    </row>
    <row r="391" spans="1:16" x14ac:dyDescent="0.2">
      <c r="A391" s="140" t="s">
        <v>182</v>
      </c>
      <c r="B391" s="140" t="s">
        <v>58</v>
      </c>
      <c r="C391" s="140" t="s">
        <v>66</v>
      </c>
      <c r="D391" s="149" t="s">
        <v>612</v>
      </c>
      <c r="E391" s="139" t="s">
        <v>673</v>
      </c>
      <c r="F391" s="160"/>
      <c r="G391" s="160"/>
      <c r="H391" s="161"/>
      <c r="I391" s="161"/>
      <c r="J391" s="161"/>
      <c r="P391" s="153"/>
    </row>
    <row r="392" spans="1:16" x14ac:dyDescent="0.2">
      <c r="A392" s="140" t="s">
        <v>182</v>
      </c>
      <c r="B392" s="140" t="s">
        <v>58</v>
      </c>
      <c r="C392" s="140" t="s">
        <v>59</v>
      </c>
      <c r="D392" s="149" t="s">
        <v>60</v>
      </c>
      <c r="E392" s="139" t="s">
        <v>61</v>
      </c>
      <c r="F392" s="160"/>
      <c r="G392" s="160"/>
      <c r="H392" s="161"/>
      <c r="I392" s="161"/>
      <c r="J392" s="161"/>
      <c r="P392" s="153"/>
    </row>
    <row r="393" spans="1:16" x14ac:dyDescent="0.2">
      <c r="A393" s="140" t="s">
        <v>182</v>
      </c>
      <c r="B393" s="140" t="s">
        <v>58</v>
      </c>
      <c r="C393" s="140" t="s">
        <v>59</v>
      </c>
      <c r="D393" s="149" t="s">
        <v>826</v>
      </c>
      <c r="E393" s="139" t="s">
        <v>716</v>
      </c>
      <c r="F393" s="160"/>
      <c r="G393" s="160"/>
      <c r="H393" s="161"/>
      <c r="I393" s="161"/>
      <c r="J393" s="161"/>
      <c r="P393" s="153"/>
    </row>
    <row r="394" spans="1:16" x14ac:dyDescent="0.2">
      <c r="A394" s="140" t="s">
        <v>182</v>
      </c>
      <c r="B394" s="140" t="s">
        <v>58</v>
      </c>
      <c r="C394" s="140" t="s">
        <v>59</v>
      </c>
      <c r="D394" s="149" t="s">
        <v>59</v>
      </c>
      <c r="E394" s="139" t="s">
        <v>717</v>
      </c>
      <c r="F394" s="160"/>
      <c r="G394" s="160"/>
      <c r="H394" s="161"/>
      <c r="I394" s="161"/>
      <c r="J394" s="161"/>
      <c r="P394" s="153"/>
    </row>
    <row r="395" spans="1:16" x14ac:dyDescent="0.2">
      <c r="A395" s="140" t="s">
        <v>182</v>
      </c>
      <c r="B395" s="140" t="s">
        <v>58</v>
      </c>
      <c r="C395" s="140" t="s">
        <v>59</v>
      </c>
      <c r="D395" s="149" t="s">
        <v>228</v>
      </c>
      <c r="E395" s="139" t="s">
        <v>131</v>
      </c>
      <c r="F395" s="160"/>
      <c r="G395" s="160"/>
      <c r="H395" s="161"/>
      <c r="I395" s="161"/>
      <c r="J395" s="161"/>
      <c r="P395" s="153"/>
    </row>
    <row r="396" spans="1:16" x14ac:dyDescent="0.2">
      <c r="A396" s="140" t="s">
        <v>182</v>
      </c>
      <c r="B396" s="140" t="s">
        <v>23</v>
      </c>
      <c r="C396" s="140" t="s">
        <v>24</v>
      </c>
      <c r="D396" s="149" t="s">
        <v>25</v>
      </c>
      <c r="E396" s="139" t="s">
        <v>26</v>
      </c>
      <c r="F396" s="160"/>
      <c r="G396" s="160"/>
      <c r="H396" s="161"/>
      <c r="I396" s="161"/>
      <c r="J396" s="161"/>
      <c r="P396" s="153"/>
    </row>
    <row r="397" spans="1:16" x14ac:dyDescent="0.2">
      <c r="A397" s="140" t="s">
        <v>182</v>
      </c>
      <c r="B397" s="140" t="s">
        <v>23</v>
      </c>
      <c r="C397" s="140" t="s">
        <v>24</v>
      </c>
      <c r="D397" s="149" t="s">
        <v>47</v>
      </c>
      <c r="E397" s="139" t="s">
        <v>48</v>
      </c>
      <c r="F397" s="160"/>
      <c r="G397" s="160"/>
      <c r="H397" s="161"/>
      <c r="I397" s="161"/>
      <c r="J397" s="161"/>
      <c r="P397" s="153"/>
    </row>
    <row r="398" spans="1:16" x14ac:dyDescent="0.2">
      <c r="A398" s="140" t="s">
        <v>182</v>
      </c>
      <c r="B398" s="140" t="s">
        <v>23</v>
      </c>
      <c r="C398" s="140" t="s">
        <v>24</v>
      </c>
      <c r="D398" s="149" t="s">
        <v>51</v>
      </c>
      <c r="E398" s="139" t="s">
        <v>52</v>
      </c>
      <c r="F398" s="160"/>
      <c r="G398" s="160"/>
      <c r="H398" s="161"/>
      <c r="I398" s="161"/>
      <c r="J398" s="161"/>
      <c r="P398" s="153"/>
    </row>
    <row r="399" spans="1:16" x14ac:dyDescent="0.2">
      <c r="A399" s="140" t="s">
        <v>182</v>
      </c>
      <c r="B399" s="140" t="s">
        <v>23</v>
      </c>
      <c r="C399" s="140" t="s">
        <v>24</v>
      </c>
      <c r="D399" s="149" t="s">
        <v>168</v>
      </c>
      <c r="E399" s="139" t="s">
        <v>169</v>
      </c>
      <c r="F399" s="160"/>
      <c r="G399" s="160"/>
      <c r="H399" s="161"/>
      <c r="I399" s="161"/>
      <c r="J399" s="161"/>
      <c r="P399" s="153"/>
    </row>
    <row r="400" spans="1:16" x14ac:dyDescent="0.2">
      <c r="A400" s="140" t="s">
        <v>182</v>
      </c>
      <c r="B400" s="140" t="s">
        <v>23</v>
      </c>
      <c r="C400" s="140" t="s">
        <v>24</v>
      </c>
      <c r="D400" s="149" t="s">
        <v>170</v>
      </c>
      <c r="E400" s="139" t="s">
        <v>171</v>
      </c>
      <c r="F400" s="160"/>
      <c r="G400" s="160"/>
      <c r="H400" s="161"/>
      <c r="I400" s="161"/>
      <c r="J400" s="161"/>
      <c r="P400" s="153"/>
    </row>
    <row r="401" spans="1:16" x14ac:dyDescent="0.2">
      <c r="A401" s="140" t="s">
        <v>182</v>
      </c>
      <c r="B401" s="140" t="s">
        <v>23</v>
      </c>
      <c r="C401" s="140" t="s">
        <v>24</v>
      </c>
      <c r="D401" s="149" t="s">
        <v>413</v>
      </c>
      <c r="E401" s="139" t="s">
        <v>732</v>
      </c>
      <c r="F401" s="160"/>
      <c r="G401" s="160"/>
      <c r="H401" s="161"/>
      <c r="I401" s="161"/>
      <c r="J401" s="161"/>
      <c r="P401" s="153"/>
    </row>
    <row r="402" spans="1:16" x14ac:dyDescent="0.2">
      <c r="A402" s="140" t="s">
        <v>182</v>
      </c>
      <c r="B402" s="140" t="s">
        <v>23</v>
      </c>
      <c r="C402" s="140" t="s">
        <v>24</v>
      </c>
      <c r="D402" s="149" t="s">
        <v>82</v>
      </c>
      <c r="E402" s="139" t="s">
        <v>83</v>
      </c>
      <c r="F402" s="160"/>
      <c r="G402" s="160"/>
      <c r="H402" s="161"/>
      <c r="I402" s="161"/>
      <c r="J402" s="161"/>
      <c r="P402" s="153"/>
    </row>
    <row r="403" spans="1:16" x14ac:dyDescent="0.2">
      <c r="A403" s="140" t="s">
        <v>182</v>
      </c>
      <c r="B403" s="140" t="s">
        <v>23</v>
      </c>
      <c r="C403" s="140" t="s">
        <v>24</v>
      </c>
      <c r="D403" s="149" t="s">
        <v>84</v>
      </c>
      <c r="E403" s="139" t="s">
        <v>85</v>
      </c>
      <c r="F403" s="160"/>
      <c r="G403" s="160"/>
      <c r="H403" s="161"/>
      <c r="I403" s="161"/>
      <c r="J403" s="161"/>
      <c r="P403" s="153"/>
    </row>
    <row r="404" spans="1:16" x14ac:dyDescent="0.2">
      <c r="A404" s="140" t="s">
        <v>182</v>
      </c>
      <c r="B404" s="140" t="s">
        <v>23</v>
      </c>
      <c r="C404" s="140" t="s">
        <v>24</v>
      </c>
      <c r="D404" s="149" t="s">
        <v>89</v>
      </c>
      <c r="E404" s="139" t="s">
        <v>90</v>
      </c>
      <c r="F404" s="160"/>
      <c r="G404" s="160"/>
      <c r="H404" s="161"/>
      <c r="I404" s="161"/>
      <c r="J404" s="161"/>
      <c r="P404" s="153"/>
    </row>
    <row r="405" spans="1:16" x14ac:dyDescent="0.2">
      <c r="A405" s="140" t="s">
        <v>182</v>
      </c>
      <c r="B405" s="140" t="s">
        <v>23</v>
      </c>
      <c r="C405" s="140" t="s">
        <v>24</v>
      </c>
      <c r="D405" s="149" t="s">
        <v>176</v>
      </c>
      <c r="E405" s="139" t="s">
        <v>177</v>
      </c>
      <c r="F405" s="160"/>
      <c r="G405" s="160"/>
      <c r="H405" s="161"/>
      <c r="I405" s="161"/>
      <c r="J405" s="161"/>
      <c r="P405" s="153"/>
    </row>
    <row r="406" spans="1:16" x14ac:dyDescent="0.2">
      <c r="A406" s="140" t="s">
        <v>182</v>
      </c>
      <c r="B406" s="140" t="s">
        <v>23</v>
      </c>
      <c r="C406" s="140" t="s">
        <v>24</v>
      </c>
      <c r="D406" s="149" t="s">
        <v>93</v>
      </c>
      <c r="E406" s="139" t="s">
        <v>94</v>
      </c>
      <c r="F406" s="160"/>
      <c r="G406" s="160"/>
      <c r="H406" s="161"/>
      <c r="I406" s="161"/>
      <c r="J406" s="161"/>
      <c r="P406" s="153"/>
    </row>
    <row r="407" spans="1:16" x14ac:dyDescent="0.2">
      <c r="A407" s="140" t="s">
        <v>182</v>
      </c>
      <c r="B407" s="140" t="s">
        <v>23</v>
      </c>
      <c r="C407" s="140" t="s">
        <v>24</v>
      </c>
      <c r="D407" s="149" t="s">
        <v>102</v>
      </c>
      <c r="E407" s="139" t="s">
        <v>103</v>
      </c>
      <c r="F407" s="160"/>
      <c r="G407" s="160"/>
      <c r="H407" s="161"/>
      <c r="I407" s="161"/>
      <c r="J407" s="161"/>
      <c r="P407" s="153"/>
    </row>
    <row r="408" spans="1:16" x14ac:dyDescent="0.2">
      <c r="A408" s="140" t="s">
        <v>182</v>
      </c>
      <c r="B408" s="140" t="s">
        <v>23</v>
      </c>
      <c r="C408" s="140" t="s">
        <v>24</v>
      </c>
      <c r="D408" s="149" t="s">
        <v>107</v>
      </c>
      <c r="E408" s="139" t="s">
        <v>108</v>
      </c>
      <c r="F408" s="160"/>
      <c r="G408" s="160"/>
      <c r="H408" s="161"/>
      <c r="I408" s="161"/>
      <c r="J408" s="161"/>
      <c r="P408" s="153"/>
    </row>
    <row r="409" spans="1:16" x14ac:dyDescent="0.2">
      <c r="A409" s="140" t="s">
        <v>182</v>
      </c>
      <c r="B409" s="140" t="s">
        <v>23</v>
      </c>
      <c r="C409" s="140" t="s">
        <v>104</v>
      </c>
      <c r="D409" s="149" t="s">
        <v>105</v>
      </c>
      <c r="E409" s="139" t="s">
        <v>106</v>
      </c>
      <c r="F409" s="160"/>
      <c r="G409" s="160"/>
      <c r="H409" s="161"/>
      <c r="I409" s="161"/>
      <c r="J409" s="161"/>
      <c r="P409" s="153"/>
    </row>
    <row r="410" spans="1:16" x14ac:dyDescent="0.2">
      <c r="A410" s="140" t="s">
        <v>182</v>
      </c>
      <c r="B410" s="140" t="s">
        <v>23</v>
      </c>
      <c r="C410" s="140" t="s">
        <v>104</v>
      </c>
      <c r="D410" s="149" t="s">
        <v>140</v>
      </c>
      <c r="E410" s="139" t="s">
        <v>141</v>
      </c>
      <c r="F410" s="160"/>
      <c r="G410" s="160"/>
      <c r="H410" s="161"/>
      <c r="I410" s="161"/>
      <c r="J410" s="161"/>
      <c r="P410" s="153"/>
    </row>
    <row r="411" spans="1:16" x14ac:dyDescent="0.2">
      <c r="A411" s="140" t="s">
        <v>182</v>
      </c>
      <c r="B411" s="140" t="s">
        <v>23</v>
      </c>
      <c r="C411" s="140" t="s">
        <v>38</v>
      </c>
      <c r="D411" s="149" t="s">
        <v>39</v>
      </c>
      <c r="E411" s="139" t="s">
        <v>40</v>
      </c>
      <c r="F411" s="160"/>
      <c r="G411" s="160"/>
      <c r="H411" s="161"/>
      <c r="I411" s="161"/>
      <c r="J411" s="161"/>
      <c r="P411" s="153"/>
    </row>
    <row r="412" spans="1:16" x14ac:dyDescent="0.2">
      <c r="A412" s="140" t="s">
        <v>182</v>
      </c>
      <c r="B412" s="140" t="s">
        <v>23</v>
      </c>
      <c r="C412" s="140" t="s">
        <v>38</v>
      </c>
      <c r="D412" s="149" t="s">
        <v>53</v>
      </c>
      <c r="E412" s="139" t="s">
        <v>54</v>
      </c>
      <c r="F412" s="160"/>
      <c r="G412" s="160"/>
      <c r="H412" s="161"/>
      <c r="I412" s="161"/>
      <c r="J412" s="161"/>
      <c r="P412" s="153"/>
    </row>
    <row r="413" spans="1:16" x14ac:dyDescent="0.2">
      <c r="A413" s="140" t="s">
        <v>182</v>
      </c>
      <c r="B413" s="140" t="s">
        <v>23</v>
      </c>
      <c r="C413" s="140" t="s">
        <v>38</v>
      </c>
      <c r="D413" s="149" t="s">
        <v>174</v>
      </c>
      <c r="E413" s="139" t="s">
        <v>175</v>
      </c>
      <c r="F413" s="160"/>
      <c r="G413" s="160"/>
      <c r="H413" s="161"/>
      <c r="I413" s="161"/>
      <c r="J413" s="161"/>
      <c r="P413" s="153"/>
    </row>
    <row r="414" spans="1:16" x14ac:dyDescent="0.2">
      <c r="A414" s="140" t="s">
        <v>182</v>
      </c>
      <c r="B414" s="140" t="s">
        <v>23</v>
      </c>
      <c r="C414" s="140" t="s">
        <v>38</v>
      </c>
      <c r="D414" s="149" t="s">
        <v>91</v>
      </c>
      <c r="E414" s="139" t="s">
        <v>92</v>
      </c>
      <c r="F414" s="160"/>
      <c r="G414" s="160"/>
      <c r="H414" s="161"/>
      <c r="I414" s="161"/>
      <c r="J414" s="161"/>
      <c r="P414" s="153"/>
    </row>
    <row r="415" spans="1:16" x14ac:dyDescent="0.2">
      <c r="A415" s="140" t="s">
        <v>182</v>
      </c>
      <c r="B415" s="140" t="s">
        <v>23</v>
      </c>
      <c r="C415" s="140" t="s">
        <v>38</v>
      </c>
      <c r="D415" s="149" t="s">
        <v>95</v>
      </c>
      <c r="E415" s="139" t="s">
        <v>96</v>
      </c>
      <c r="F415" s="160"/>
      <c r="G415" s="160"/>
      <c r="H415" s="161"/>
      <c r="I415" s="161"/>
      <c r="J415" s="161"/>
      <c r="P415" s="153"/>
    </row>
    <row r="416" spans="1:16" x14ac:dyDescent="0.2">
      <c r="A416" s="140" t="s">
        <v>182</v>
      </c>
      <c r="B416" s="140" t="s">
        <v>23</v>
      </c>
      <c r="C416" s="140" t="s">
        <v>38</v>
      </c>
      <c r="D416" s="149" t="s">
        <v>825</v>
      </c>
      <c r="E416" s="139" t="s">
        <v>179</v>
      </c>
      <c r="F416" s="160"/>
      <c r="G416" s="160"/>
      <c r="H416" s="161"/>
      <c r="I416" s="161"/>
      <c r="J416" s="161"/>
      <c r="P416" s="153"/>
    </row>
    <row r="417" spans="1:16" x14ac:dyDescent="0.2">
      <c r="A417" s="140" t="s">
        <v>182</v>
      </c>
      <c r="B417" s="140" t="s">
        <v>23</v>
      </c>
      <c r="C417" s="140" t="s">
        <v>38</v>
      </c>
      <c r="D417" s="149" t="s">
        <v>134</v>
      </c>
      <c r="E417" s="139" t="s">
        <v>135</v>
      </c>
      <c r="F417" s="160"/>
      <c r="G417" s="160"/>
      <c r="H417" s="161"/>
      <c r="I417" s="161"/>
      <c r="J417" s="161"/>
      <c r="P417" s="153"/>
    </row>
    <row r="418" spans="1:16" x14ac:dyDescent="0.2">
      <c r="A418" s="140" t="s">
        <v>182</v>
      </c>
      <c r="B418" s="140" t="s">
        <v>23</v>
      </c>
      <c r="C418" s="140" t="s">
        <v>38</v>
      </c>
      <c r="D418" s="149" t="s">
        <v>138</v>
      </c>
      <c r="E418" s="139" t="s">
        <v>139</v>
      </c>
      <c r="F418" s="160"/>
      <c r="G418" s="160"/>
      <c r="H418" s="161"/>
      <c r="I418" s="161"/>
      <c r="J418" s="161"/>
      <c r="P418" s="153"/>
    </row>
    <row r="419" spans="1:16" x14ac:dyDescent="0.2">
      <c r="A419" s="140" t="s">
        <v>182</v>
      </c>
      <c r="B419" s="140" t="s">
        <v>27</v>
      </c>
      <c r="C419" s="140" t="s">
        <v>66</v>
      </c>
      <c r="D419" s="149" t="s">
        <v>614</v>
      </c>
      <c r="E419" s="139" t="s">
        <v>674</v>
      </c>
      <c r="F419" s="160"/>
      <c r="G419" s="160"/>
      <c r="H419" s="161"/>
      <c r="I419" s="161"/>
      <c r="J419" s="161"/>
      <c r="P419" s="153"/>
    </row>
    <row r="420" spans="1:16" x14ac:dyDescent="0.2">
      <c r="A420" s="140" t="s">
        <v>182</v>
      </c>
      <c r="B420" s="140" t="s">
        <v>27</v>
      </c>
      <c r="C420" s="140" t="s">
        <v>813</v>
      </c>
      <c r="D420" s="149" t="s">
        <v>218</v>
      </c>
      <c r="E420" s="139" t="s">
        <v>219</v>
      </c>
      <c r="F420" s="160"/>
      <c r="G420" s="160"/>
      <c r="H420" s="161"/>
      <c r="I420" s="161"/>
      <c r="J420" s="161"/>
      <c r="P420" s="153"/>
    </row>
    <row r="421" spans="1:16" x14ac:dyDescent="0.2">
      <c r="A421" s="140" t="s">
        <v>182</v>
      </c>
      <c r="B421" s="140" t="s">
        <v>27</v>
      </c>
      <c r="C421" s="140" t="s">
        <v>28</v>
      </c>
      <c r="D421" s="149" t="s">
        <v>817</v>
      </c>
      <c r="E421" s="139" t="s">
        <v>734</v>
      </c>
      <c r="F421" s="160"/>
      <c r="G421" s="160"/>
      <c r="H421" s="161"/>
      <c r="I421" s="161"/>
      <c r="J421" s="161"/>
      <c r="P421" s="153"/>
    </row>
    <row r="422" spans="1:16" x14ac:dyDescent="0.2">
      <c r="A422" s="140" t="s">
        <v>182</v>
      </c>
      <c r="B422" s="140" t="s">
        <v>27</v>
      </c>
      <c r="C422" s="140" t="s">
        <v>28</v>
      </c>
      <c r="D422" s="149" t="s">
        <v>356</v>
      </c>
      <c r="E422" s="139" t="s">
        <v>735</v>
      </c>
      <c r="F422" s="160"/>
      <c r="G422" s="160"/>
      <c r="H422" s="161"/>
      <c r="I422" s="161"/>
      <c r="J422" s="161"/>
      <c r="P422" s="153"/>
    </row>
    <row r="423" spans="1:16" x14ac:dyDescent="0.2">
      <c r="A423" s="140" t="s">
        <v>182</v>
      </c>
      <c r="B423" s="140" t="s">
        <v>27</v>
      </c>
      <c r="C423" s="140" t="s">
        <v>28</v>
      </c>
      <c r="D423" s="149" t="s">
        <v>358</v>
      </c>
      <c r="E423" s="139" t="s">
        <v>736</v>
      </c>
      <c r="F423" s="160"/>
      <c r="G423" s="160"/>
      <c r="H423" s="161"/>
      <c r="I423" s="161"/>
      <c r="J423" s="161"/>
      <c r="P423" s="153"/>
    </row>
    <row r="424" spans="1:16" x14ac:dyDescent="0.2">
      <c r="A424" s="140" t="s">
        <v>182</v>
      </c>
      <c r="B424" s="140" t="s">
        <v>27</v>
      </c>
      <c r="C424" s="140" t="s">
        <v>28</v>
      </c>
      <c r="D424" s="149" t="s">
        <v>29</v>
      </c>
      <c r="E424" s="139" t="s">
        <v>30</v>
      </c>
      <c r="F424" s="160"/>
      <c r="G424" s="160"/>
      <c r="H424" s="161"/>
      <c r="I424" s="161"/>
      <c r="J424" s="161"/>
      <c r="P424" s="153"/>
    </row>
    <row r="425" spans="1:16" x14ac:dyDescent="0.2">
      <c r="A425" s="140" t="s">
        <v>182</v>
      </c>
      <c r="B425" s="140" t="s">
        <v>27</v>
      </c>
      <c r="C425" s="140" t="s">
        <v>28</v>
      </c>
      <c r="D425" s="149" t="s">
        <v>361</v>
      </c>
      <c r="E425" s="139" t="s">
        <v>737</v>
      </c>
      <c r="F425" s="160"/>
      <c r="G425" s="160"/>
      <c r="H425" s="161"/>
      <c r="I425" s="161"/>
      <c r="J425" s="161"/>
      <c r="P425" s="153"/>
    </row>
    <row r="426" spans="1:16" x14ac:dyDescent="0.2">
      <c r="A426" s="140" t="s">
        <v>182</v>
      </c>
      <c r="B426" s="140" t="s">
        <v>27</v>
      </c>
      <c r="C426" s="140" t="s">
        <v>28</v>
      </c>
      <c r="D426" s="149" t="s">
        <v>363</v>
      </c>
      <c r="E426" s="139" t="s">
        <v>738</v>
      </c>
      <c r="F426" s="160"/>
      <c r="G426" s="160"/>
      <c r="H426" s="161"/>
      <c r="I426" s="161"/>
      <c r="J426" s="161"/>
      <c r="P426" s="153"/>
    </row>
    <row r="427" spans="1:16" x14ac:dyDescent="0.2">
      <c r="A427" s="140" t="s">
        <v>182</v>
      </c>
      <c r="B427" s="140" t="s">
        <v>27</v>
      </c>
      <c r="C427" s="140" t="s">
        <v>28</v>
      </c>
      <c r="D427" s="149" t="s">
        <v>816</v>
      </c>
      <c r="E427" s="139" t="s">
        <v>739</v>
      </c>
      <c r="F427" s="160"/>
      <c r="G427" s="160"/>
      <c r="H427" s="161"/>
      <c r="I427" s="161"/>
      <c r="J427" s="161"/>
      <c r="P427" s="153"/>
    </row>
    <row r="428" spans="1:16" x14ac:dyDescent="0.2">
      <c r="A428" s="140" t="s">
        <v>182</v>
      </c>
      <c r="B428" s="140" t="s">
        <v>27</v>
      </c>
      <c r="C428" s="140" t="s">
        <v>28</v>
      </c>
      <c r="D428" s="149" t="s">
        <v>824</v>
      </c>
      <c r="E428" s="139" t="s">
        <v>740</v>
      </c>
      <c r="F428" s="160"/>
      <c r="G428" s="160"/>
      <c r="H428" s="161"/>
      <c r="I428" s="161"/>
      <c r="J428" s="161"/>
      <c r="P428" s="153"/>
    </row>
    <row r="429" spans="1:16" x14ac:dyDescent="0.2">
      <c r="A429" s="140" t="s">
        <v>182</v>
      </c>
      <c r="B429" s="140" t="s">
        <v>27</v>
      </c>
      <c r="C429" s="140" t="s">
        <v>28</v>
      </c>
      <c r="D429" s="149" t="s">
        <v>367</v>
      </c>
      <c r="E429" s="139" t="s">
        <v>741</v>
      </c>
      <c r="F429" s="160"/>
      <c r="G429" s="160"/>
      <c r="H429" s="161"/>
      <c r="I429" s="161"/>
      <c r="J429" s="161"/>
      <c r="P429" s="153"/>
    </row>
    <row r="430" spans="1:16" x14ac:dyDescent="0.2">
      <c r="A430" s="140" t="s">
        <v>182</v>
      </c>
      <c r="B430" s="140" t="s">
        <v>27</v>
      </c>
      <c r="C430" s="140" t="s">
        <v>28</v>
      </c>
      <c r="D430" s="149" t="s">
        <v>232</v>
      </c>
      <c r="E430" s="139" t="s">
        <v>233</v>
      </c>
      <c r="F430" s="160"/>
      <c r="G430" s="160"/>
      <c r="H430" s="161"/>
      <c r="I430" s="161"/>
      <c r="J430" s="161"/>
      <c r="P430" s="153"/>
    </row>
    <row r="431" spans="1:16" x14ac:dyDescent="0.2">
      <c r="A431" s="140" t="s">
        <v>182</v>
      </c>
      <c r="B431" s="140" t="s">
        <v>27</v>
      </c>
      <c r="C431" s="140" t="s">
        <v>28</v>
      </c>
      <c r="D431" s="149" t="s">
        <v>818</v>
      </c>
      <c r="E431" s="139" t="s">
        <v>742</v>
      </c>
      <c r="F431" s="160"/>
      <c r="G431" s="160"/>
      <c r="H431" s="161"/>
      <c r="I431" s="161"/>
      <c r="J431" s="161"/>
      <c r="P431" s="153"/>
    </row>
    <row r="432" spans="1:16" x14ac:dyDescent="0.2">
      <c r="A432" s="140" t="s">
        <v>182</v>
      </c>
      <c r="B432" s="140" t="s">
        <v>27</v>
      </c>
      <c r="C432" s="140" t="s">
        <v>28</v>
      </c>
      <c r="D432" s="149" t="s">
        <v>819</v>
      </c>
      <c r="E432" s="139" t="s">
        <v>743</v>
      </c>
      <c r="F432" s="160"/>
      <c r="G432" s="160"/>
      <c r="H432" s="161"/>
      <c r="I432" s="161"/>
      <c r="J432" s="161"/>
      <c r="P432" s="153"/>
    </row>
    <row r="433" spans="1:16" x14ac:dyDescent="0.2">
      <c r="A433" s="140" t="s">
        <v>182</v>
      </c>
      <c r="B433" s="140" t="s">
        <v>27</v>
      </c>
      <c r="C433" s="140" t="s">
        <v>28</v>
      </c>
      <c r="D433" s="149" t="s">
        <v>820</v>
      </c>
      <c r="E433" s="139" t="s">
        <v>744</v>
      </c>
      <c r="F433" s="160"/>
      <c r="G433" s="160"/>
      <c r="H433" s="161"/>
      <c r="I433" s="161"/>
      <c r="J433" s="161"/>
      <c r="P433" s="153"/>
    </row>
    <row r="434" spans="1:16" x14ac:dyDescent="0.2">
      <c r="A434" s="140" t="s">
        <v>182</v>
      </c>
      <c r="B434" s="140" t="s">
        <v>27</v>
      </c>
      <c r="C434" s="140" t="s">
        <v>28</v>
      </c>
      <c r="D434" s="149" t="s">
        <v>378</v>
      </c>
      <c r="E434" s="139" t="s">
        <v>745</v>
      </c>
      <c r="F434" s="160"/>
      <c r="G434" s="160"/>
      <c r="H434" s="161"/>
      <c r="I434" s="161"/>
      <c r="J434" s="161"/>
      <c r="P434" s="153"/>
    </row>
    <row r="435" spans="1:16" x14ac:dyDescent="0.2">
      <c r="A435" s="140" t="s">
        <v>182</v>
      </c>
      <c r="B435" s="140" t="s">
        <v>27</v>
      </c>
      <c r="C435" s="140" t="s">
        <v>28</v>
      </c>
      <c r="D435" s="149" t="s">
        <v>381</v>
      </c>
      <c r="E435" s="139" t="s">
        <v>97</v>
      </c>
      <c r="F435" s="160"/>
      <c r="G435" s="160"/>
      <c r="H435" s="161"/>
      <c r="I435" s="161"/>
      <c r="J435" s="161"/>
      <c r="P435" s="153"/>
    </row>
    <row r="436" spans="1:16" x14ac:dyDescent="0.2">
      <c r="A436" s="140" t="s">
        <v>182</v>
      </c>
      <c r="B436" s="140" t="s">
        <v>27</v>
      </c>
      <c r="C436" s="140" t="s">
        <v>28</v>
      </c>
      <c r="D436" s="149" t="s">
        <v>109</v>
      </c>
      <c r="E436" s="139" t="s">
        <v>110</v>
      </c>
      <c r="F436" s="160"/>
      <c r="G436" s="160"/>
      <c r="H436" s="161"/>
      <c r="I436" s="161"/>
      <c r="J436" s="161"/>
      <c r="P436" s="153"/>
    </row>
    <row r="437" spans="1:16" x14ac:dyDescent="0.2">
      <c r="A437" s="140" t="s">
        <v>182</v>
      </c>
      <c r="B437" s="140" t="s">
        <v>27</v>
      </c>
      <c r="C437" s="140" t="s">
        <v>28</v>
      </c>
      <c r="D437" s="149" t="s">
        <v>386</v>
      </c>
      <c r="E437" s="139" t="s">
        <v>746</v>
      </c>
      <c r="F437" s="160"/>
      <c r="G437" s="160"/>
      <c r="H437" s="161"/>
      <c r="I437" s="161"/>
      <c r="J437" s="161"/>
      <c r="P437" s="153"/>
    </row>
    <row r="438" spans="1:16" x14ac:dyDescent="0.2">
      <c r="A438" s="140" t="s">
        <v>182</v>
      </c>
      <c r="B438" s="140" t="s">
        <v>27</v>
      </c>
      <c r="C438" s="140" t="s">
        <v>28</v>
      </c>
      <c r="D438" s="149" t="s">
        <v>821</v>
      </c>
      <c r="E438" s="139" t="s">
        <v>747</v>
      </c>
      <c r="F438" s="160"/>
      <c r="G438" s="160"/>
      <c r="H438" s="161"/>
      <c r="I438" s="161"/>
      <c r="J438" s="161"/>
      <c r="P438" s="153"/>
    </row>
    <row r="439" spans="1:16" x14ac:dyDescent="0.2">
      <c r="A439" s="140" t="s">
        <v>182</v>
      </c>
      <c r="B439" s="140" t="s">
        <v>27</v>
      </c>
      <c r="C439" s="140" t="s">
        <v>28</v>
      </c>
      <c r="D439" s="149" t="s">
        <v>391</v>
      </c>
      <c r="E439" s="139" t="s">
        <v>748</v>
      </c>
      <c r="F439" s="160"/>
      <c r="G439" s="160"/>
      <c r="H439" s="161"/>
      <c r="I439" s="161"/>
      <c r="J439" s="161"/>
      <c r="P439" s="153"/>
    </row>
    <row r="440" spans="1:16" x14ac:dyDescent="0.2">
      <c r="A440" s="140" t="s">
        <v>182</v>
      </c>
      <c r="B440" s="140" t="s">
        <v>27</v>
      </c>
      <c r="C440" s="140" t="s">
        <v>28</v>
      </c>
      <c r="D440" s="149" t="s">
        <v>822</v>
      </c>
      <c r="E440" s="139" t="s">
        <v>749</v>
      </c>
      <c r="F440" s="160"/>
      <c r="G440" s="160"/>
      <c r="H440" s="161"/>
      <c r="I440" s="161"/>
      <c r="J440" s="161"/>
      <c r="P440" s="153"/>
    </row>
    <row r="441" spans="1:16" x14ac:dyDescent="0.2">
      <c r="A441" s="140" t="s">
        <v>182</v>
      </c>
      <c r="B441" s="140" t="s">
        <v>27</v>
      </c>
      <c r="C441" s="140" t="s">
        <v>28</v>
      </c>
      <c r="D441" s="149" t="s">
        <v>28</v>
      </c>
      <c r="E441" s="139" t="s">
        <v>130</v>
      </c>
      <c r="F441" s="160"/>
      <c r="G441" s="160"/>
      <c r="H441" s="161"/>
      <c r="I441" s="161"/>
      <c r="J441" s="161"/>
      <c r="P441" s="153"/>
    </row>
    <row r="442" spans="1:16" x14ac:dyDescent="0.2">
      <c r="A442" s="140" t="s">
        <v>182</v>
      </c>
      <c r="B442" s="140" t="s">
        <v>27</v>
      </c>
      <c r="C442" s="140" t="s">
        <v>28</v>
      </c>
      <c r="D442" s="149" t="s">
        <v>397</v>
      </c>
      <c r="E442" s="139" t="s">
        <v>750</v>
      </c>
      <c r="F442" s="160"/>
      <c r="G442" s="160"/>
      <c r="H442" s="161"/>
      <c r="I442" s="161"/>
      <c r="J442" s="161"/>
      <c r="P442" s="153"/>
    </row>
    <row r="443" spans="1:16" x14ac:dyDescent="0.2">
      <c r="A443" s="140" t="s">
        <v>182</v>
      </c>
      <c r="B443" s="140" t="s">
        <v>27</v>
      </c>
      <c r="C443" s="140" t="s">
        <v>28</v>
      </c>
      <c r="D443" s="149" t="s">
        <v>400</v>
      </c>
      <c r="E443" s="139" t="s">
        <v>751</v>
      </c>
      <c r="F443" s="160"/>
      <c r="G443" s="160"/>
      <c r="H443" s="161"/>
      <c r="I443" s="161"/>
      <c r="J443" s="161"/>
      <c r="P443" s="153"/>
    </row>
    <row r="444" spans="1:16" x14ac:dyDescent="0.2">
      <c r="A444" s="140" t="s">
        <v>182</v>
      </c>
      <c r="B444" s="140" t="s">
        <v>27</v>
      </c>
      <c r="C444" s="140" t="s">
        <v>28</v>
      </c>
      <c r="D444" s="149" t="s">
        <v>142</v>
      </c>
      <c r="E444" s="139" t="s">
        <v>143</v>
      </c>
      <c r="F444" s="160"/>
      <c r="G444" s="160"/>
      <c r="H444" s="161"/>
      <c r="I444" s="161"/>
      <c r="J444" s="161"/>
      <c r="P444" s="153"/>
    </row>
    <row r="445" spans="1:16" x14ac:dyDescent="0.2">
      <c r="A445" s="140" t="s">
        <v>182</v>
      </c>
      <c r="B445" s="140" t="s">
        <v>27</v>
      </c>
      <c r="C445" s="140" t="s">
        <v>28</v>
      </c>
      <c r="D445" s="149" t="s">
        <v>404</v>
      </c>
      <c r="E445" s="139" t="s">
        <v>752</v>
      </c>
      <c r="F445" s="160"/>
      <c r="G445" s="160"/>
      <c r="H445" s="161"/>
      <c r="I445" s="161"/>
      <c r="J445" s="161"/>
      <c r="P445" s="153"/>
    </row>
    <row r="446" spans="1:16" x14ac:dyDescent="0.2">
      <c r="A446" s="140" t="s">
        <v>229</v>
      </c>
      <c r="B446" s="140" t="s">
        <v>71</v>
      </c>
      <c r="C446" s="140" t="s">
        <v>66</v>
      </c>
      <c r="D446" s="149" t="s">
        <v>564</v>
      </c>
      <c r="E446" s="139" t="s">
        <v>653</v>
      </c>
      <c r="F446" s="160"/>
      <c r="G446" s="160"/>
      <c r="H446" s="161"/>
      <c r="I446" s="161"/>
      <c r="J446" s="161"/>
      <c r="P446" s="153"/>
    </row>
    <row r="447" spans="1:16" x14ac:dyDescent="0.2">
      <c r="A447" s="140" t="s">
        <v>229</v>
      </c>
      <c r="B447" s="140" t="s">
        <v>71</v>
      </c>
      <c r="C447" s="140" t="s">
        <v>66</v>
      </c>
      <c r="D447" s="149" t="s">
        <v>568</v>
      </c>
      <c r="E447" s="139" t="s">
        <v>654</v>
      </c>
      <c r="F447" s="160"/>
      <c r="G447" s="160"/>
      <c r="H447" s="161"/>
      <c r="I447" s="161"/>
      <c r="J447" s="161"/>
      <c r="P447" s="153"/>
    </row>
    <row r="448" spans="1:16" x14ac:dyDescent="0.2">
      <c r="A448" s="140" t="s">
        <v>229</v>
      </c>
      <c r="B448" s="140" t="s">
        <v>71</v>
      </c>
      <c r="C448" s="140" t="s">
        <v>66</v>
      </c>
      <c r="D448" s="149" t="s">
        <v>183</v>
      </c>
      <c r="E448" s="139" t="s">
        <v>184</v>
      </c>
      <c r="F448" s="160"/>
      <c r="G448" s="160"/>
      <c r="H448" s="161"/>
      <c r="I448" s="161"/>
      <c r="J448" s="161"/>
      <c r="P448" s="153"/>
    </row>
    <row r="449" spans="1:16" x14ac:dyDescent="0.2">
      <c r="A449" s="140" t="s">
        <v>229</v>
      </c>
      <c r="B449" s="140" t="s">
        <v>71</v>
      </c>
      <c r="C449" s="140" t="s">
        <v>66</v>
      </c>
      <c r="D449" s="149" t="s">
        <v>185</v>
      </c>
      <c r="E449" s="139" t="s">
        <v>72</v>
      </c>
      <c r="F449" s="160"/>
      <c r="G449" s="160"/>
      <c r="H449" s="161"/>
      <c r="I449" s="161"/>
      <c r="J449" s="161"/>
      <c r="P449" s="153"/>
    </row>
    <row r="450" spans="1:16" x14ac:dyDescent="0.2">
      <c r="A450" s="140" t="s">
        <v>229</v>
      </c>
      <c r="B450" s="140" t="s">
        <v>71</v>
      </c>
      <c r="C450" s="140" t="s">
        <v>66</v>
      </c>
      <c r="D450" s="149" t="s">
        <v>572</v>
      </c>
      <c r="E450" s="139" t="s">
        <v>655</v>
      </c>
      <c r="F450" s="160"/>
      <c r="G450" s="160"/>
      <c r="H450" s="161"/>
      <c r="I450" s="161"/>
      <c r="J450" s="161"/>
      <c r="P450" s="153"/>
    </row>
    <row r="451" spans="1:16" x14ac:dyDescent="0.2">
      <c r="A451" s="140" t="s">
        <v>229</v>
      </c>
      <c r="B451" s="140" t="s">
        <v>71</v>
      </c>
      <c r="C451" s="140" t="s">
        <v>66</v>
      </c>
      <c r="D451" s="149" t="s">
        <v>230</v>
      </c>
      <c r="E451" s="139" t="s">
        <v>231</v>
      </c>
      <c r="F451" s="160"/>
      <c r="G451" s="160"/>
      <c r="H451" s="161"/>
      <c r="I451" s="161"/>
      <c r="J451" s="161"/>
      <c r="P451" s="153"/>
    </row>
    <row r="452" spans="1:16" x14ac:dyDescent="0.2">
      <c r="A452" s="140" t="s">
        <v>229</v>
      </c>
      <c r="B452" s="140" t="s">
        <v>71</v>
      </c>
      <c r="C452" s="140" t="s">
        <v>66</v>
      </c>
      <c r="D452" s="149" t="s">
        <v>575</v>
      </c>
      <c r="E452" s="139" t="s">
        <v>656</v>
      </c>
      <c r="F452" s="160"/>
      <c r="G452" s="160"/>
      <c r="H452" s="161"/>
      <c r="I452" s="161"/>
      <c r="J452" s="161"/>
      <c r="P452" s="153"/>
    </row>
    <row r="453" spans="1:16" x14ac:dyDescent="0.2">
      <c r="A453" s="140" t="s">
        <v>229</v>
      </c>
      <c r="B453" s="140" t="s">
        <v>71</v>
      </c>
      <c r="C453" s="140" t="s">
        <v>66</v>
      </c>
      <c r="D453" s="149" t="s">
        <v>577</v>
      </c>
      <c r="E453" s="139" t="s">
        <v>657</v>
      </c>
      <c r="F453" s="160"/>
      <c r="G453" s="160"/>
      <c r="H453" s="161"/>
      <c r="I453" s="161"/>
      <c r="J453" s="161"/>
      <c r="P453" s="153"/>
    </row>
    <row r="454" spans="1:16" x14ac:dyDescent="0.2">
      <c r="A454" s="140" t="s">
        <v>229</v>
      </c>
      <c r="B454" s="140" t="s">
        <v>71</v>
      </c>
      <c r="C454" s="140" t="s">
        <v>66</v>
      </c>
      <c r="D454" s="149" t="s">
        <v>579</v>
      </c>
      <c r="E454" s="139" t="s">
        <v>658</v>
      </c>
      <c r="F454" s="160"/>
      <c r="G454" s="160"/>
      <c r="H454" s="161"/>
      <c r="I454" s="161"/>
      <c r="J454" s="161"/>
      <c r="P454" s="153"/>
    </row>
    <row r="455" spans="1:16" x14ac:dyDescent="0.2">
      <c r="A455" s="140" t="s">
        <v>229</v>
      </c>
      <c r="B455" s="140" t="s">
        <v>71</v>
      </c>
      <c r="C455" s="140" t="s">
        <v>66</v>
      </c>
      <c r="D455" s="149" t="s">
        <v>581</v>
      </c>
      <c r="E455" s="139" t="s">
        <v>659</v>
      </c>
      <c r="F455" s="160"/>
      <c r="G455" s="160"/>
      <c r="H455" s="161"/>
      <c r="I455" s="161"/>
      <c r="J455" s="161"/>
      <c r="P455" s="153"/>
    </row>
    <row r="456" spans="1:16" x14ac:dyDescent="0.2">
      <c r="A456" s="140" t="s">
        <v>229</v>
      </c>
      <c r="B456" s="140" t="s">
        <v>20</v>
      </c>
      <c r="C456" s="140" t="s">
        <v>66</v>
      </c>
      <c r="D456" s="149" t="s">
        <v>21</v>
      </c>
      <c r="E456" s="139" t="s">
        <v>22</v>
      </c>
      <c r="F456" s="160"/>
      <c r="G456" s="160"/>
      <c r="H456" s="161"/>
      <c r="I456" s="161"/>
      <c r="J456" s="161"/>
      <c r="P456" s="153"/>
    </row>
    <row r="457" spans="1:16" x14ac:dyDescent="0.2">
      <c r="A457" s="140" t="s">
        <v>229</v>
      </c>
      <c r="B457" s="140" t="s">
        <v>20</v>
      </c>
      <c r="C457" s="140" t="s">
        <v>34</v>
      </c>
      <c r="D457" s="149" t="s">
        <v>35</v>
      </c>
      <c r="E457" s="139" t="s">
        <v>36</v>
      </c>
      <c r="F457" s="160"/>
      <c r="G457" s="160"/>
      <c r="H457" s="161"/>
      <c r="I457" s="161"/>
      <c r="J457" s="161"/>
      <c r="P457" s="153"/>
    </row>
    <row r="458" spans="1:16" x14ac:dyDescent="0.2">
      <c r="A458" s="140" t="s">
        <v>229</v>
      </c>
      <c r="B458" s="140" t="s">
        <v>20</v>
      </c>
      <c r="C458" s="140" t="s">
        <v>34</v>
      </c>
      <c r="D458" s="149" t="s">
        <v>164</v>
      </c>
      <c r="E458" s="139" t="s">
        <v>165</v>
      </c>
      <c r="F458" s="160"/>
      <c r="G458" s="160"/>
      <c r="H458" s="161"/>
      <c r="I458" s="161"/>
      <c r="J458" s="161"/>
      <c r="P458" s="153"/>
    </row>
    <row r="459" spans="1:16" x14ac:dyDescent="0.2">
      <c r="A459" s="140" t="s">
        <v>229</v>
      </c>
      <c r="B459" s="140" t="s">
        <v>20</v>
      </c>
      <c r="C459" s="140" t="s">
        <v>34</v>
      </c>
      <c r="D459" s="149" t="s">
        <v>49</v>
      </c>
      <c r="E459" s="139" t="s">
        <v>50</v>
      </c>
      <c r="F459" s="160"/>
      <c r="G459" s="160"/>
      <c r="H459" s="161"/>
      <c r="I459" s="161"/>
      <c r="J459" s="161"/>
      <c r="P459" s="153"/>
    </row>
    <row r="460" spans="1:16" x14ac:dyDescent="0.2">
      <c r="A460" s="140" t="s">
        <v>229</v>
      </c>
      <c r="B460" s="140" t="s">
        <v>20</v>
      </c>
      <c r="C460" s="140" t="s">
        <v>34</v>
      </c>
      <c r="D460" s="149" t="s">
        <v>62</v>
      </c>
      <c r="E460" s="139" t="s">
        <v>63</v>
      </c>
      <c r="F460" s="160"/>
      <c r="G460" s="160"/>
      <c r="H460" s="161"/>
      <c r="I460" s="161"/>
      <c r="J460" s="161"/>
      <c r="P460" s="153"/>
    </row>
    <row r="461" spans="1:16" x14ac:dyDescent="0.2">
      <c r="A461" s="140" t="s">
        <v>229</v>
      </c>
      <c r="B461" s="140" t="s">
        <v>20</v>
      </c>
      <c r="C461" s="140" t="s">
        <v>34</v>
      </c>
      <c r="D461" s="149" t="s">
        <v>441</v>
      </c>
      <c r="E461" s="139" t="s">
        <v>729</v>
      </c>
      <c r="F461" s="160"/>
      <c r="G461" s="160"/>
      <c r="H461" s="161"/>
      <c r="I461" s="161"/>
      <c r="J461" s="161"/>
      <c r="P461" s="153"/>
    </row>
    <row r="462" spans="1:16" x14ac:dyDescent="0.2">
      <c r="A462" s="140" t="s">
        <v>229</v>
      </c>
      <c r="B462" s="140" t="s">
        <v>20</v>
      </c>
      <c r="C462" s="140" t="s">
        <v>34</v>
      </c>
      <c r="D462" s="149" t="s">
        <v>113</v>
      </c>
      <c r="E462" s="139" t="s">
        <v>114</v>
      </c>
      <c r="F462" s="160"/>
      <c r="G462" s="160"/>
      <c r="H462" s="161"/>
      <c r="I462" s="161"/>
      <c r="J462" s="161"/>
      <c r="P462" s="153"/>
    </row>
    <row r="463" spans="1:16" x14ac:dyDescent="0.2">
      <c r="A463" s="140" t="s">
        <v>229</v>
      </c>
      <c r="B463" s="140" t="s">
        <v>20</v>
      </c>
      <c r="C463" s="140" t="s">
        <v>34</v>
      </c>
      <c r="D463" s="149" t="s">
        <v>144</v>
      </c>
      <c r="E463" s="139" t="s">
        <v>145</v>
      </c>
      <c r="F463" s="160"/>
      <c r="G463" s="160"/>
      <c r="H463" s="161"/>
      <c r="I463" s="161"/>
      <c r="J463" s="161"/>
      <c r="P463" s="153"/>
    </row>
    <row r="464" spans="1:16" x14ac:dyDescent="0.2">
      <c r="A464" s="140" t="s">
        <v>229</v>
      </c>
      <c r="B464" s="140" t="s">
        <v>20</v>
      </c>
      <c r="C464" s="140" t="s">
        <v>34</v>
      </c>
      <c r="D464" s="149" t="s">
        <v>827</v>
      </c>
      <c r="E464" s="139" t="s">
        <v>151</v>
      </c>
      <c r="F464" s="160"/>
      <c r="G464" s="160"/>
      <c r="H464" s="161"/>
      <c r="I464" s="161"/>
      <c r="J464" s="161"/>
      <c r="P464" s="153"/>
    </row>
    <row r="465" spans="1:16" x14ac:dyDescent="0.2">
      <c r="A465" s="140" t="s">
        <v>229</v>
      </c>
      <c r="B465" s="140" t="s">
        <v>20</v>
      </c>
      <c r="C465" s="140" t="s">
        <v>37</v>
      </c>
      <c r="D465" s="149" t="s">
        <v>828</v>
      </c>
      <c r="E465" s="139" t="s">
        <v>163</v>
      </c>
      <c r="F465" s="160"/>
      <c r="G465" s="160"/>
      <c r="H465" s="161"/>
      <c r="I465" s="161"/>
      <c r="J465" s="161"/>
      <c r="P465" s="153"/>
    </row>
    <row r="466" spans="1:16" x14ac:dyDescent="0.2">
      <c r="A466" s="140" t="s">
        <v>229</v>
      </c>
      <c r="B466" s="140" t="s">
        <v>20</v>
      </c>
      <c r="C466" s="140" t="s">
        <v>37</v>
      </c>
      <c r="D466" s="149" t="s">
        <v>37</v>
      </c>
      <c r="E466" s="139" t="s">
        <v>77</v>
      </c>
      <c r="F466" s="160"/>
      <c r="G466" s="160"/>
      <c r="H466" s="161"/>
      <c r="I466" s="161"/>
      <c r="J466" s="161"/>
      <c r="P466" s="153"/>
    </row>
    <row r="467" spans="1:16" x14ac:dyDescent="0.2">
      <c r="A467" s="140" t="s">
        <v>229</v>
      </c>
      <c r="B467" s="140" t="s">
        <v>20</v>
      </c>
      <c r="C467" s="140" t="s">
        <v>37</v>
      </c>
      <c r="D467" s="149" t="s">
        <v>76</v>
      </c>
      <c r="E467" s="139" t="s">
        <v>77</v>
      </c>
      <c r="F467" s="160"/>
      <c r="G467" s="160"/>
      <c r="H467" s="161"/>
      <c r="I467" s="161"/>
      <c r="J467" s="161"/>
      <c r="P467" s="153"/>
    </row>
    <row r="468" spans="1:16" x14ac:dyDescent="0.2">
      <c r="A468" s="140" t="s">
        <v>229</v>
      </c>
      <c r="B468" s="140" t="s">
        <v>20</v>
      </c>
      <c r="C468" s="140" t="s">
        <v>37</v>
      </c>
      <c r="D468" s="149" t="s">
        <v>829</v>
      </c>
      <c r="E468" s="139" t="s">
        <v>122</v>
      </c>
      <c r="F468" s="160"/>
      <c r="G468" s="160"/>
      <c r="H468" s="161"/>
      <c r="I468" s="161"/>
      <c r="J468" s="161"/>
      <c r="P468" s="153"/>
    </row>
    <row r="469" spans="1:16" x14ac:dyDescent="0.2">
      <c r="A469" s="140" t="s">
        <v>229</v>
      </c>
      <c r="B469" s="140" t="s">
        <v>20</v>
      </c>
      <c r="C469" s="140" t="s">
        <v>37</v>
      </c>
      <c r="D469" s="149" t="s">
        <v>152</v>
      </c>
      <c r="E469" s="139" t="s">
        <v>153</v>
      </c>
      <c r="F469" s="160"/>
      <c r="G469" s="160"/>
      <c r="H469" s="161"/>
      <c r="I469" s="161"/>
      <c r="J469" s="161"/>
      <c r="P469" s="153"/>
    </row>
    <row r="470" spans="1:16" x14ac:dyDescent="0.2">
      <c r="A470" s="140" t="s">
        <v>229</v>
      </c>
      <c r="B470" s="140" t="s">
        <v>155</v>
      </c>
      <c r="C470" s="140" t="s">
        <v>66</v>
      </c>
      <c r="D470" s="149" t="s">
        <v>186</v>
      </c>
      <c r="E470" s="139" t="s">
        <v>187</v>
      </c>
      <c r="F470" s="160"/>
      <c r="G470" s="160"/>
      <c r="H470" s="161"/>
      <c r="I470" s="161"/>
      <c r="J470" s="161"/>
      <c r="P470" s="153"/>
    </row>
    <row r="471" spans="1:16" x14ac:dyDescent="0.2">
      <c r="A471" s="140" t="s">
        <v>229</v>
      </c>
      <c r="B471" s="140" t="s">
        <v>155</v>
      </c>
      <c r="C471" s="140" t="s">
        <v>66</v>
      </c>
      <c r="D471" s="149" t="s">
        <v>159</v>
      </c>
      <c r="E471" s="139" t="s">
        <v>160</v>
      </c>
      <c r="F471" s="160"/>
      <c r="G471" s="160"/>
      <c r="H471" s="161"/>
      <c r="I471" s="161"/>
      <c r="J471" s="161"/>
      <c r="P471" s="153"/>
    </row>
    <row r="472" spans="1:16" x14ac:dyDescent="0.2">
      <c r="A472" s="140" t="s">
        <v>229</v>
      </c>
      <c r="B472" s="140" t="s">
        <v>155</v>
      </c>
      <c r="C472" s="140" t="s">
        <v>66</v>
      </c>
      <c r="D472" s="149" t="s">
        <v>188</v>
      </c>
      <c r="E472" s="139" t="s">
        <v>189</v>
      </c>
      <c r="F472" s="160"/>
      <c r="G472" s="160"/>
      <c r="H472" s="161"/>
      <c r="I472" s="161"/>
      <c r="J472" s="161"/>
      <c r="P472" s="153"/>
    </row>
    <row r="473" spans="1:16" x14ac:dyDescent="0.2">
      <c r="A473" s="140" t="s">
        <v>229</v>
      </c>
      <c r="B473" s="140" t="s">
        <v>155</v>
      </c>
      <c r="C473" s="140" t="s">
        <v>66</v>
      </c>
      <c r="D473" s="149" t="s">
        <v>190</v>
      </c>
      <c r="E473" s="139" t="s">
        <v>191</v>
      </c>
      <c r="F473" s="160"/>
      <c r="G473" s="160"/>
      <c r="H473" s="161"/>
      <c r="I473" s="161"/>
      <c r="J473" s="161"/>
      <c r="P473" s="153"/>
    </row>
    <row r="474" spans="1:16" x14ac:dyDescent="0.2">
      <c r="A474" s="140" t="s">
        <v>229</v>
      </c>
      <c r="B474" s="140" t="s">
        <v>155</v>
      </c>
      <c r="C474" s="140" t="s">
        <v>66</v>
      </c>
      <c r="D474" s="149" t="s">
        <v>192</v>
      </c>
      <c r="E474" s="139" t="s">
        <v>193</v>
      </c>
      <c r="F474" s="160"/>
      <c r="G474" s="160"/>
      <c r="H474" s="161"/>
      <c r="I474" s="161"/>
      <c r="J474" s="161"/>
      <c r="P474" s="153"/>
    </row>
    <row r="475" spans="1:16" x14ac:dyDescent="0.2">
      <c r="A475" s="140" t="s">
        <v>229</v>
      </c>
      <c r="B475" s="140" t="s">
        <v>155</v>
      </c>
      <c r="C475" s="140" t="s">
        <v>66</v>
      </c>
      <c r="D475" s="149" t="s">
        <v>194</v>
      </c>
      <c r="E475" s="139" t="s">
        <v>195</v>
      </c>
      <c r="F475" s="160"/>
      <c r="G475" s="160"/>
      <c r="H475" s="161"/>
      <c r="I475" s="161"/>
      <c r="J475" s="161"/>
      <c r="P475" s="153"/>
    </row>
    <row r="476" spans="1:16" x14ac:dyDescent="0.2">
      <c r="A476" s="140" t="s">
        <v>229</v>
      </c>
      <c r="B476" s="140" t="s">
        <v>155</v>
      </c>
      <c r="C476" s="140" t="s">
        <v>66</v>
      </c>
      <c r="D476" s="149" t="s">
        <v>156</v>
      </c>
      <c r="E476" s="139" t="s">
        <v>157</v>
      </c>
      <c r="F476" s="160"/>
      <c r="G476" s="160"/>
      <c r="H476" s="161"/>
      <c r="I476" s="161"/>
      <c r="J476" s="161"/>
      <c r="P476" s="153"/>
    </row>
    <row r="477" spans="1:16" x14ac:dyDescent="0.2">
      <c r="A477" s="140" t="s">
        <v>229</v>
      </c>
      <c r="B477" s="140" t="s">
        <v>155</v>
      </c>
      <c r="C477" s="140" t="s">
        <v>66</v>
      </c>
      <c r="D477" s="149" t="s">
        <v>196</v>
      </c>
      <c r="E477" s="139" t="s">
        <v>197</v>
      </c>
      <c r="F477" s="160"/>
      <c r="G477" s="160"/>
      <c r="H477" s="161"/>
      <c r="I477" s="161"/>
      <c r="J477" s="161"/>
      <c r="P477" s="153"/>
    </row>
    <row r="478" spans="1:16" x14ac:dyDescent="0.2">
      <c r="A478" s="140" t="s">
        <v>229</v>
      </c>
      <c r="B478" s="140" t="s">
        <v>44</v>
      </c>
      <c r="C478" s="140" t="s">
        <v>812</v>
      </c>
      <c r="D478" s="149" t="s">
        <v>517</v>
      </c>
      <c r="E478" s="139" t="s">
        <v>676</v>
      </c>
      <c r="F478" s="160"/>
      <c r="G478" s="160"/>
      <c r="H478" s="161"/>
      <c r="I478" s="161"/>
      <c r="J478" s="161"/>
      <c r="P478" s="153"/>
    </row>
    <row r="479" spans="1:16" x14ac:dyDescent="0.2">
      <c r="A479" s="140" t="s">
        <v>229</v>
      </c>
      <c r="B479" s="140" t="s">
        <v>44</v>
      </c>
      <c r="C479" s="140" t="s">
        <v>812</v>
      </c>
      <c r="D479" s="149" t="s">
        <v>830</v>
      </c>
      <c r="E479" s="139" t="s">
        <v>677</v>
      </c>
      <c r="F479" s="160"/>
      <c r="G479" s="160"/>
      <c r="H479" s="161"/>
      <c r="I479" s="161"/>
      <c r="J479" s="161"/>
      <c r="P479" s="153"/>
    </row>
    <row r="480" spans="1:16" x14ac:dyDescent="0.2">
      <c r="A480" s="140" t="s">
        <v>229</v>
      </c>
      <c r="B480" s="140" t="s">
        <v>44</v>
      </c>
      <c r="C480" s="140" t="s">
        <v>812</v>
      </c>
      <c r="D480" s="149" t="s">
        <v>831</v>
      </c>
      <c r="E480" s="139" t="s">
        <v>678</v>
      </c>
      <c r="F480" s="160"/>
      <c r="G480" s="160"/>
      <c r="H480" s="161"/>
      <c r="I480" s="161"/>
      <c r="J480" s="161"/>
      <c r="P480" s="153"/>
    </row>
    <row r="481" spans="1:16" x14ac:dyDescent="0.2">
      <c r="A481" s="140" t="s">
        <v>229</v>
      </c>
      <c r="B481" s="140" t="s">
        <v>44</v>
      </c>
      <c r="C481" s="140" t="s">
        <v>812</v>
      </c>
      <c r="D481" s="149" t="s">
        <v>204</v>
      </c>
      <c r="E481" s="139" t="s">
        <v>205</v>
      </c>
      <c r="F481" s="160"/>
      <c r="G481" s="160"/>
      <c r="H481" s="161"/>
      <c r="I481" s="161"/>
      <c r="J481" s="161"/>
      <c r="P481" s="153"/>
    </row>
    <row r="482" spans="1:16" x14ac:dyDescent="0.2">
      <c r="A482" s="140" t="s">
        <v>229</v>
      </c>
      <c r="B482" s="140" t="s">
        <v>44</v>
      </c>
      <c r="C482" s="140" t="s">
        <v>812</v>
      </c>
      <c r="D482" s="149" t="s">
        <v>198</v>
      </c>
      <c r="E482" s="139" t="s">
        <v>199</v>
      </c>
      <c r="F482" s="160"/>
      <c r="G482" s="160"/>
      <c r="H482" s="161"/>
      <c r="I482" s="161"/>
      <c r="J482" s="161"/>
      <c r="P482" s="153"/>
    </row>
    <row r="483" spans="1:16" x14ac:dyDescent="0.2">
      <c r="A483" s="140" t="s">
        <v>229</v>
      </c>
      <c r="B483" s="140" t="s">
        <v>44</v>
      </c>
      <c r="C483" s="140" t="s">
        <v>812</v>
      </c>
      <c r="D483" s="149" t="s">
        <v>200</v>
      </c>
      <c r="E483" s="139" t="s">
        <v>201</v>
      </c>
      <c r="F483" s="160"/>
      <c r="G483" s="160"/>
      <c r="H483" s="161"/>
      <c r="I483" s="161"/>
      <c r="J483" s="161"/>
      <c r="P483" s="153"/>
    </row>
    <row r="484" spans="1:16" x14ac:dyDescent="0.2">
      <c r="A484" s="140" t="s">
        <v>229</v>
      </c>
      <c r="B484" s="140" t="s">
        <v>44</v>
      </c>
      <c r="C484" s="140" t="s">
        <v>812</v>
      </c>
      <c r="D484" s="149" t="s">
        <v>832</v>
      </c>
      <c r="E484" s="139" t="s">
        <v>679</v>
      </c>
      <c r="F484" s="160"/>
      <c r="G484" s="160"/>
      <c r="H484" s="161"/>
      <c r="I484" s="161"/>
      <c r="J484" s="161"/>
      <c r="P484" s="153"/>
    </row>
    <row r="485" spans="1:16" x14ac:dyDescent="0.2">
      <c r="A485" s="140" t="s">
        <v>229</v>
      </c>
      <c r="B485" s="140" t="s">
        <v>44</v>
      </c>
      <c r="C485" s="140" t="s">
        <v>812</v>
      </c>
      <c r="D485" s="149" t="s">
        <v>45</v>
      </c>
      <c r="E485" s="139" t="s">
        <v>46</v>
      </c>
      <c r="F485" s="160"/>
      <c r="G485" s="160"/>
      <c r="H485" s="161"/>
      <c r="I485" s="161"/>
      <c r="J485" s="161"/>
      <c r="P485" s="153"/>
    </row>
    <row r="486" spans="1:16" x14ac:dyDescent="0.2">
      <c r="A486" s="140" t="s">
        <v>229</v>
      </c>
      <c r="B486" s="140" t="s">
        <v>44</v>
      </c>
      <c r="C486" s="140" t="s">
        <v>812</v>
      </c>
      <c r="D486" s="149" t="s">
        <v>526</v>
      </c>
      <c r="E486" s="139" t="s">
        <v>680</v>
      </c>
      <c r="F486" s="160"/>
      <c r="G486" s="160"/>
      <c r="H486" s="161"/>
      <c r="I486" s="161"/>
      <c r="J486" s="161"/>
      <c r="P486" s="153"/>
    </row>
    <row r="487" spans="1:16" x14ac:dyDescent="0.2">
      <c r="A487" s="140" t="s">
        <v>229</v>
      </c>
      <c r="B487" s="140" t="s">
        <v>44</v>
      </c>
      <c r="C487" s="140" t="s">
        <v>812</v>
      </c>
      <c r="D487" s="149" t="s">
        <v>833</v>
      </c>
      <c r="E487" s="139" t="s">
        <v>681</v>
      </c>
      <c r="F487" s="160"/>
      <c r="G487" s="160"/>
      <c r="H487" s="161"/>
      <c r="I487" s="161"/>
      <c r="J487" s="161"/>
      <c r="P487" s="153"/>
    </row>
    <row r="488" spans="1:16" x14ac:dyDescent="0.2">
      <c r="A488" s="140" t="s">
        <v>229</v>
      </c>
      <c r="B488" s="140" t="s">
        <v>44</v>
      </c>
      <c r="C488" s="140" t="s">
        <v>812</v>
      </c>
      <c r="D488" s="149" t="s">
        <v>834</v>
      </c>
      <c r="E488" s="139" t="s">
        <v>682</v>
      </c>
      <c r="F488" s="160"/>
      <c r="G488" s="160"/>
      <c r="H488" s="161"/>
      <c r="I488" s="161"/>
      <c r="J488" s="161"/>
      <c r="P488" s="153"/>
    </row>
    <row r="489" spans="1:16" x14ac:dyDescent="0.2">
      <c r="A489" s="140" t="s">
        <v>229</v>
      </c>
      <c r="B489" s="140" t="s">
        <v>44</v>
      </c>
      <c r="C489" s="140" t="s">
        <v>812</v>
      </c>
      <c r="D489" s="149" t="s">
        <v>835</v>
      </c>
      <c r="E489" s="139" t="s">
        <v>683</v>
      </c>
      <c r="F489" s="160"/>
      <c r="G489" s="160"/>
      <c r="H489" s="161"/>
      <c r="I489" s="161"/>
      <c r="J489" s="161"/>
      <c r="P489" s="153"/>
    </row>
    <row r="490" spans="1:16" x14ac:dyDescent="0.2">
      <c r="A490" s="140" t="s">
        <v>229</v>
      </c>
      <c r="B490" s="140" t="s">
        <v>44</v>
      </c>
      <c r="C490" s="140" t="s">
        <v>812</v>
      </c>
      <c r="D490" s="149" t="s">
        <v>836</v>
      </c>
      <c r="E490" s="139" t="s">
        <v>684</v>
      </c>
      <c r="F490" s="160"/>
      <c r="G490" s="160"/>
      <c r="H490" s="161"/>
      <c r="I490" s="161"/>
      <c r="J490" s="161"/>
      <c r="P490" s="153"/>
    </row>
    <row r="491" spans="1:16" x14ac:dyDescent="0.2">
      <c r="A491" s="140" t="s">
        <v>229</v>
      </c>
      <c r="B491" s="140" t="s">
        <v>44</v>
      </c>
      <c r="C491" s="140" t="s">
        <v>812</v>
      </c>
      <c r="D491" s="149" t="s">
        <v>837</v>
      </c>
      <c r="E491" s="139" t="s">
        <v>685</v>
      </c>
      <c r="F491" s="160"/>
      <c r="G491" s="160"/>
      <c r="H491" s="161"/>
      <c r="I491" s="161"/>
      <c r="J491" s="161"/>
      <c r="P491" s="153"/>
    </row>
    <row r="492" spans="1:16" x14ac:dyDescent="0.2">
      <c r="A492" s="140" t="s">
        <v>229</v>
      </c>
      <c r="B492" s="140" t="s">
        <v>44</v>
      </c>
      <c r="C492" s="140" t="s">
        <v>812</v>
      </c>
      <c r="D492" s="149" t="s">
        <v>838</v>
      </c>
      <c r="E492" s="139" t="s">
        <v>686</v>
      </c>
      <c r="F492" s="160"/>
      <c r="G492" s="160"/>
      <c r="H492" s="161"/>
      <c r="I492" s="161"/>
      <c r="J492" s="161"/>
      <c r="P492" s="153"/>
    </row>
    <row r="493" spans="1:16" x14ac:dyDescent="0.2">
      <c r="A493" s="140" t="s">
        <v>229</v>
      </c>
      <c r="B493" s="140" t="s">
        <v>44</v>
      </c>
      <c r="C493" s="140" t="s">
        <v>812</v>
      </c>
      <c r="D493" s="149" t="s">
        <v>534</v>
      </c>
      <c r="E493" s="139" t="s">
        <v>687</v>
      </c>
      <c r="F493" s="160"/>
      <c r="G493" s="160"/>
      <c r="H493" s="161"/>
      <c r="I493" s="161"/>
      <c r="J493" s="161"/>
      <c r="P493" s="153"/>
    </row>
    <row r="494" spans="1:16" x14ac:dyDescent="0.2">
      <c r="A494" s="140" t="s">
        <v>229</v>
      </c>
      <c r="B494" s="140" t="s">
        <v>44</v>
      </c>
      <c r="C494" s="140" t="s">
        <v>812</v>
      </c>
      <c r="D494" s="149" t="s">
        <v>100</v>
      </c>
      <c r="E494" s="139" t="s">
        <v>101</v>
      </c>
      <c r="F494" s="160"/>
      <c r="G494" s="160"/>
      <c r="H494" s="161"/>
      <c r="I494" s="161"/>
      <c r="J494" s="161"/>
      <c r="P494" s="153"/>
    </row>
    <row r="495" spans="1:16" x14ac:dyDescent="0.2">
      <c r="A495" s="140" t="s">
        <v>229</v>
      </c>
      <c r="B495" s="140" t="s">
        <v>44</v>
      </c>
      <c r="C495" s="140" t="s">
        <v>812</v>
      </c>
      <c r="D495" s="149" t="s">
        <v>202</v>
      </c>
      <c r="E495" s="139" t="s">
        <v>203</v>
      </c>
      <c r="F495" s="160"/>
      <c r="G495" s="160"/>
      <c r="H495" s="161"/>
      <c r="I495" s="161"/>
      <c r="J495" s="161"/>
      <c r="P495" s="153"/>
    </row>
    <row r="496" spans="1:16" x14ac:dyDescent="0.2">
      <c r="A496" s="140" t="s">
        <v>229</v>
      </c>
      <c r="B496" s="140" t="s">
        <v>44</v>
      </c>
      <c r="C496" s="140" t="s">
        <v>812</v>
      </c>
      <c r="D496" s="149" t="s">
        <v>538</v>
      </c>
      <c r="E496" s="139" t="s">
        <v>115</v>
      </c>
      <c r="F496" s="160"/>
      <c r="G496" s="160"/>
      <c r="H496" s="161"/>
      <c r="I496" s="161"/>
      <c r="J496" s="161"/>
      <c r="P496" s="153"/>
    </row>
    <row r="497" spans="1:16" x14ac:dyDescent="0.2">
      <c r="A497" s="140" t="s">
        <v>229</v>
      </c>
      <c r="B497" s="140" t="s">
        <v>44</v>
      </c>
      <c r="C497" s="140" t="s">
        <v>812</v>
      </c>
      <c r="D497" s="149" t="s">
        <v>539</v>
      </c>
      <c r="E497" s="139" t="s">
        <v>688</v>
      </c>
      <c r="F497" s="160"/>
      <c r="G497" s="160"/>
      <c r="H497" s="161"/>
      <c r="I497" s="161"/>
      <c r="J497" s="161"/>
      <c r="P497" s="153"/>
    </row>
    <row r="498" spans="1:16" x14ac:dyDescent="0.2">
      <c r="A498" s="140" t="s">
        <v>229</v>
      </c>
      <c r="B498" s="140" t="s">
        <v>44</v>
      </c>
      <c r="C498" s="140" t="s">
        <v>812</v>
      </c>
      <c r="D498" s="149" t="s">
        <v>541</v>
      </c>
      <c r="E498" s="139" t="s">
        <v>689</v>
      </c>
      <c r="F498" s="160"/>
      <c r="G498" s="160"/>
      <c r="H498" s="161"/>
      <c r="I498" s="161"/>
      <c r="J498" s="161"/>
      <c r="P498" s="153"/>
    </row>
    <row r="499" spans="1:16" x14ac:dyDescent="0.2">
      <c r="A499" s="140" t="s">
        <v>229</v>
      </c>
      <c r="B499" s="140" t="s">
        <v>44</v>
      </c>
      <c r="C499" s="140" t="s">
        <v>812</v>
      </c>
      <c r="D499" s="149" t="s">
        <v>543</v>
      </c>
      <c r="E499" s="139" t="s">
        <v>690</v>
      </c>
      <c r="F499" s="160"/>
      <c r="G499" s="160"/>
      <c r="H499" s="161"/>
      <c r="I499" s="161"/>
      <c r="J499" s="161"/>
      <c r="P499" s="153"/>
    </row>
    <row r="500" spans="1:16" x14ac:dyDescent="0.2">
      <c r="A500" s="140" t="s">
        <v>229</v>
      </c>
      <c r="B500" s="140" t="s">
        <v>44</v>
      </c>
      <c r="C500" s="140" t="s">
        <v>812</v>
      </c>
      <c r="D500" s="149" t="s">
        <v>545</v>
      </c>
      <c r="E500" s="139" t="s">
        <v>691</v>
      </c>
      <c r="F500" s="160"/>
      <c r="G500" s="160"/>
      <c r="H500" s="161"/>
      <c r="I500" s="161"/>
      <c r="J500" s="161"/>
      <c r="P500" s="153"/>
    </row>
    <row r="501" spans="1:16" x14ac:dyDescent="0.2">
      <c r="A501" s="140" t="s">
        <v>229</v>
      </c>
      <c r="B501" s="140" t="s">
        <v>44</v>
      </c>
      <c r="C501" s="140" t="s">
        <v>812</v>
      </c>
      <c r="D501" s="149" t="s">
        <v>839</v>
      </c>
      <c r="E501" s="139" t="s">
        <v>692</v>
      </c>
      <c r="F501" s="160"/>
      <c r="G501" s="160"/>
      <c r="H501" s="161"/>
      <c r="I501" s="161"/>
      <c r="J501" s="161"/>
      <c r="P501" s="153"/>
    </row>
    <row r="502" spans="1:16" x14ac:dyDescent="0.2">
      <c r="A502" s="140" t="s">
        <v>229</v>
      </c>
      <c r="B502" s="140" t="s">
        <v>44</v>
      </c>
      <c r="C502" s="140" t="s">
        <v>812</v>
      </c>
      <c r="D502" s="149" t="s">
        <v>146</v>
      </c>
      <c r="E502" s="139" t="s">
        <v>147</v>
      </c>
      <c r="F502" s="160"/>
      <c r="G502" s="160"/>
      <c r="H502" s="161"/>
      <c r="I502" s="161"/>
      <c r="J502" s="161"/>
      <c r="P502" s="153"/>
    </row>
    <row r="503" spans="1:16" x14ac:dyDescent="0.2">
      <c r="A503" s="140" t="s">
        <v>229</v>
      </c>
      <c r="B503" s="140" t="s">
        <v>44</v>
      </c>
      <c r="C503" s="140" t="s">
        <v>69</v>
      </c>
      <c r="D503" s="149" t="s">
        <v>470</v>
      </c>
      <c r="E503" s="139" t="s">
        <v>718</v>
      </c>
      <c r="F503" s="160"/>
      <c r="G503" s="160"/>
      <c r="H503" s="161"/>
      <c r="I503" s="161"/>
      <c r="J503" s="161"/>
      <c r="P503" s="153"/>
    </row>
    <row r="504" spans="1:16" x14ac:dyDescent="0.2">
      <c r="A504" s="140" t="s">
        <v>229</v>
      </c>
      <c r="B504" s="140" t="s">
        <v>44</v>
      </c>
      <c r="C504" s="140" t="s">
        <v>69</v>
      </c>
      <c r="D504" s="149" t="s">
        <v>69</v>
      </c>
      <c r="E504" s="139" t="s">
        <v>70</v>
      </c>
      <c r="F504" s="160"/>
      <c r="G504" s="160"/>
      <c r="H504" s="161"/>
      <c r="I504" s="161"/>
      <c r="J504" s="161"/>
      <c r="P504" s="153"/>
    </row>
    <row r="505" spans="1:16" x14ac:dyDescent="0.2">
      <c r="A505" s="140" t="s">
        <v>229</v>
      </c>
      <c r="B505" s="140" t="s">
        <v>73</v>
      </c>
      <c r="C505" s="140" t="s">
        <v>74</v>
      </c>
      <c r="D505" s="149" t="s">
        <v>454</v>
      </c>
      <c r="E505" s="139" t="s">
        <v>724</v>
      </c>
      <c r="F505" s="160"/>
      <c r="G505" s="160"/>
      <c r="H505" s="161"/>
      <c r="I505" s="161"/>
      <c r="J505" s="161"/>
      <c r="P505" s="153"/>
    </row>
    <row r="506" spans="1:16" x14ac:dyDescent="0.2">
      <c r="A506" s="140" t="s">
        <v>229</v>
      </c>
      <c r="B506" s="140" t="s">
        <v>73</v>
      </c>
      <c r="C506" s="140" t="s">
        <v>74</v>
      </c>
      <c r="D506" s="149" t="s">
        <v>206</v>
      </c>
      <c r="E506" s="139" t="s">
        <v>207</v>
      </c>
      <c r="F506" s="160"/>
      <c r="G506" s="160"/>
      <c r="H506" s="161"/>
      <c r="I506" s="161"/>
      <c r="J506" s="161"/>
      <c r="P506" s="153"/>
    </row>
    <row r="507" spans="1:16" x14ac:dyDescent="0.2">
      <c r="A507" s="140" t="s">
        <v>229</v>
      </c>
      <c r="B507" s="140" t="s">
        <v>73</v>
      </c>
      <c r="C507" s="140" t="s">
        <v>74</v>
      </c>
      <c r="D507" s="149" t="s">
        <v>459</v>
      </c>
      <c r="E507" s="139" t="s">
        <v>725</v>
      </c>
      <c r="F507" s="160"/>
      <c r="G507" s="160"/>
      <c r="H507" s="161"/>
      <c r="I507" s="161"/>
      <c r="J507" s="161"/>
      <c r="P507" s="153"/>
    </row>
    <row r="508" spans="1:16" x14ac:dyDescent="0.2">
      <c r="A508" s="140" t="s">
        <v>229</v>
      </c>
      <c r="B508" s="140" t="s">
        <v>73</v>
      </c>
      <c r="C508" s="140" t="s">
        <v>74</v>
      </c>
      <c r="D508" s="149" t="s">
        <v>208</v>
      </c>
      <c r="E508" s="139" t="s">
        <v>209</v>
      </c>
      <c r="F508" s="160"/>
      <c r="G508" s="160"/>
      <c r="H508" s="161"/>
      <c r="I508" s="161"/>
      <c r="J508" s="161"/>
      <c r="P508" s="153"/>
    </row>
    <row r="509" spans="1:16" x14ac:dyDescent="0.2">
      <c r="A509" s="140" t="s">
        <v>229</v>
      </c>
      <c r="B509" s="140" t="s">
        <v>73</v>
      </c>
      <c r="C509" s="140" t="s">
        <v>74</v>
      </c>
      <c r="D509" s="149" t="s">
        <v>210</v>
      </c>
      <c r="E509" s="139" t="s">
        <v>211</v>
      </c>
      <c r="F509" s="160"/>
      <c r="G509" s="160"/>
      <c r="H509" s="161"/>
      <c r="I509" s="161"/>
      <c r="J509" s="161"/>
      <c r="P509" s="153"/>
    </row>
    <row r="510" spans="1:16" x14ac:dyDescent="0.2">
      <c r="A510" s="140" t="s">
        <v>229</v>
      </c>
      <c r="B510" s="140" t="s">
        <v>73</v>
      </c>
      <c r="C510" s="140" t="s">
        <v>74</v>
      </c>
      <c r="D510" s="149" t="s">
        <v>212</v>
      </c>
      <c r="E510" s="139" t="s">
        <v>213</v>
      </c>
      <c r="F510" s="160"/>
      <c r="G510" s="160"/>
      <c r="H510" s="161"/>
      <c r="I510" s="161"/>
      <c r="J510" s="161"/>
      <c r="P510" s="153"/>
    </row>
    <row r="511" spans="1:16" x14ac:dyDescent="0.2">
      <c r="A511" s="140" t="s">
        <v>229</v>
      </c>
      <c r="B511" s="140" t="s">
        <v>73</v>
      </c>
      <c r="C511" s="140" t="s">
        <v>74</v>
      </c>
      <c r="D511" s="149" t="s">
        <v>74</v>
      </c>
      <c r="E511" s="139" t="s">
        <v>75</v>
      </c>
      <c r="F511" s="160"/>
      <c r="G511" s="160"/>
      <c r="H511" s="161"/>
      <c r="I511" s="161"/>
      <c r="J511" s="161"/>
      <c r="P511" s="153"/>
    </row>
    <row r="512" spans="1:16" ht="15" x14ac:dyDescent="0.25">
      <c r="A512" s="151" t="s">
        <v>229</v>
      </c>
      <c r="B512" s="151" t="s">
        <v>73</v>
      </c>
      <c r="C512" s="151" t="s">
        <v>74</v>
      </c>
      <c r="D512" s="151" t="s">
        <v>450</v>
      </c>
      <c r="E512" s="151" t="s">
        <v>126</v>
      </c>
      <c r="F512" s="160"/>
      <c r="G512" s="160"/>
      <c r="H512" s="161"/>
      <c r="I512" s="161"/>
      <c r="J512" s="161"/>
      <c r="P512" s="153"/>
    </row>
    <row r="513" spans="1:16" x14ac:dyDescent="0.2">
      <c r="A513" s="140" t="s">
        <v>229</v>
      </c>
      <c r="B513" s="140" t="s">
        <v>73</v>
      </c>
      <c r="C513" s="140" t="s">
        <v>74</v>
      </c>
      <c r="D513" s="149" t="s">
        <v>464</v>
      </c>
      <c r="E513" s="139" t="s">
        <v>726</v>
      </c>
      <c r="F513" s="160"/>
      <c r="G513" s="160"/>
      <c r="H513" s="161"/>
      <c r="I513" s="161"/>
      <c r="J513" s="161"/>
      <c r="P513" s="153"/>
    </row>
    <row r="514" spans="1:16" x14ac:dyDescent="0.2">
      <c r="A514" s="140" t="s">
        <v>229</v>
      </c>
      <c r="B514" s="140" t="s">
        <v>73</v>
      </c>
      <c r="C514" s="140" t="s">
        <v>74</v>
      </c>
      <c r="D514" s="149" t="s">
        <v>214</v>
      </c>
      <c r="E514" s="139" t="s">
        <v>215</v>
      </c>
      <c r="F514" s="160"/>
      <c r="G514" s="160"/>
      <c r="H514" s="161"/>
      <c r="I514" s="161"/>
      <c r="J514" s="161"/>
      <c r="P514" s="153"/>
    </row>
    <row r="515" spans="1:16" x14ac:dyDescent="0.2">
      <c r="A515" s="140" t="s">
        <v>229</v>
      </c>
      <c r="B515" s="140" t="s">
        <v>73</v>
      </c>
      <c r="C515" s="140" t="s">
        <v>74</v>
      </c>
      <c r="D515" s="149" t="s">
        <v>466</v>
      </c>
      <c r="E515" s="139" t="s">
        <v>727</v>
      </c>
      <c r="F515" s="160"/>
      <c r="G515" s="160"/>
      <c r="H515" s="161"/>
      <c r="I515" s="161"/>
      <c r="J515" s="161"/>
      <c r="P515" s="153"/>
    </row>
    <row r="516" spans="1:16" x14ac:dyDescent="0.2">
      <c r="A516" s="140" t="s">
        <v>229</v>
      </c>
      <c r="B516" s="140" t="s">
        <v>73</v>
      </c>
      <c r="C516" s="140" t="s">
        <v>74</v>
      </c>
      <c r="D516" s="149" t="s">
        <v>125</v>
      </c>
      <c r="E516" s="139" t="s">
        <v>126</v>
      </c>
      <c r="F516" s="160"/>
      <c r="G516" s="160"/>
      <c r="H516" s="161"/>
      <c r="I516" s="161"/>
      <c r="J516" s="161"/>
      <c r="P516" s="153"/>
    </row>
    <row r="517" spans="1:16" x14ac:dyDescent="0.2">
      <c r="A517" s="140" t="s">
        <v>229</v>
      </c>
      <c r="B517" s="140" t="s">
        <v>73</v>
      </c>
      <c r="C517" s="140" t="s">
        <v>74</v>
      </c>
      <c r="D517" s="149" t="s">
        <v>840</v>
      </c>
      <c r="E517" s="139" t="s">
        <v>728</v>
      </c>
      <c r="F517" s="160"/>
      <c r="G517" s="160"/>
      <c r="H517" s="161"/>
      <c r="I517" s="161"/>
      <c r="J517" s="161"/>
      <c r="P517" s="153"/>
    </row>
    <row r="518" spans="1:16" x14ac:dyDescent="0.2">
      <c r="A518" s="140" t="s">
        <v>229</v>
      </c>
      <c r="B518" s="140" t="s">
        <v>73</v>
      </c>
      <c r="C518" s="140" t="s">
        <v>116</v>
      </c>
      <c r="D518" s="149" t="s">
        <v>117</v>
      </c>
      <c r="E518" s="139" t="s">
        <v>118</v>
      </c>
      <c r="F518" s="160"/>
      <c r="G518" s="160"/>
      <c r="H518" s="161"/>
      <c r="I518" s="161"/>
      <c r="J518" s="161"/>
      <c r="P518" s="153"/>
    </row>
    <row r="519" spans="1:16" x14ac:dyDescent="0.2">
      <c r="A519" s="140" t="s">
        <v>229</v>
      </c>
      <c r="B519" s="140" t="s">
        <v>73</v>
      </c>
      <c r="C519" s="140" t="s">
        <v>116</v>
      </c>
      <c r="D519" s="149" t="s">
        <v>216</v>
      </c>
      <c r="E519" s="139" t="s">
        <v>217</v>
      </c>
      <c r="F519" s="160"/>
      <c r="G519" s="160"/>
      <c r="H519" s="161"/>
      <c r="I519" s="161"/>
      <c r="J519" s="161"/>
      <c r="P519" s="153"/>
    </row>
    <row r="520" spans="1:16" x14ac:dyDescent="0.2">
      <c r="A520" s="140" t="s">
        <v>229</v>
      </c>
      <c r="B520" s="140" t="s">
        <v>73</v>
      </c>
      <c r="C520" s="140" t="s">
        <v>116</v>
      </c>
      <c r="D520" s="149" t="s">
        <v>841</v>
      </c>
      <c r="E520" s="139" t="s">
        <v>753</v>
      </c>
      <c r="F520" s="160"/>
      <c r="G520" s="160"/>
      <c r="H520" s="161"/>
      <c r="I520" s="161"/>
      <c r="J520" s="161"/>
      <c r="P520" s="153"/>
    </row>
    <row r="521" spans="1:16" x14ac:dyDescent="0.2">
      <c r="A521" s="140" t="s">
        <v>229</v>
      </c>
      <c r="B521" s="140" t="s">
        <v>73</v>
      </c>
      <c r="C521" s="140" t="s">
        <v>119</v>
      </c>
      <c r="D521" s="149" t="s">
        <v>119</v>
      </c>
      <c r="E521" s="139" t="s">
        <v>120</v>
      </c>
      <c r="F521" s="160"/>
      <c r="G521" s="160"/>
      <c r="H521" s="161"/>
      <c r="I521" s="161"/>
      <c r="J521" s="161"/>
      <c r="P521" s="153"/>
    </row>
    <row r="522" spans="1:16" x14ac:dyDescent="0.2">
      <c r="A522" s="140" t="s">
        <v>229</v>
      </c>
      <c r="B522" s="140" t="s">
        <v>73</v>
      </c>
      <c r="C522" s="140" t="s">
        <v>119</v>
      </c>
      <c r="D522" s="149" t="s">
        <v>148</v>
      </c>
      <c r="E522" s="139" t="s">
        <v>149</v>
      </c>
      <c r="F522" s="160"/>
      <c r="G522" s="160"/>
      <c r="H522" s="161"/>
      <c r="I522" s="161"/>
      <c r="J522" s="161"/>
      <c r="P522" s="153"/>
    </row>
    <row r="523" spans="1:16" x14ac:dyDescent="0.2">
      <c r="A523" s="140" t="s">
        <v>229</v>
      </c>
      <c r="B523" s="140" t="s">
        <v>41</v>
      </c>
      <c r="C523" s="140" t="s">
        <v>813</v>
      </c>
      <c r="D523" s="149" t="s">
        <v>842</v>
      </c>
      <c r="E523" s="139" t="s">
        <v>698</v>
      </c>
      <c r="F523" s="160"/>
      <c r="G523" s="160"/>
      <c r="H523" s="161"/>
      <c r="I523" s="161"/>
      <c r="J523" s="161"/>
      <c r="P523" s="153"/>
    </row>
    <row r="524" spans="1:16" x14ac:dyDescent="0.2">
      <c r="A524" s="140" t="s">
        <v>229</v>
      </c>
      <c r="B524" s="140" t="s">
        <v>41</v>
      </c>
      <c r="C524" s="140" t="s">
        <v>813</v>
      </c>
      <c r="D524" s="149" t="s">
        <v>843</v>
      </c>
      <c r="E524" s="139" t="s">
        <v>699</v>
      </c>
      <c r="F524" s="160"/>
      <c r="G524" s="160"/>
      <c r="H524" s="161"/>
      <c r="I524" s="161"/>
      <c r="J524" s="161"/>
      <c r="P524" s="153"/>
    </row>
    <row r="525" spans="1:16" x14ac:dyDescent="0.2">
      <c r="A525" s="140" t="s">
        <v>229</v>
      </c>
      <c r="B525" s="140" t="s">
        <v>41</v>
      </c>
      <c r="C525" s="140" t="s">
        <v>813</v>
      </c>
      <c r="D525" s="149" t="s">
        <v>497</v>
      </c>
      <c r="E525" s="139" t="s">
        <v>700</v>
      </c>
      <c r="F525" s="160"/>
      <c r="G525" s="160"/>
      <c r="H525" s="161"/>
      <c r="I525" s="161"/>
      <c r="J525" s="161"/>
      <c r="P525" s="153"/>
    </row>
    <row r="526" spans="1:16" x14ac:dyDescent="0.2">
      <c r="A526" s="140" t="s">
        <v>229</v>
      </c>
      <c r="B526" s="140" t="s">
        <v>41</v>
      </c>
      <c r="C526" s="140" t="s">
        <v>813</v>
      </c>
      <c r="D526" s="149" t="s">
        <v>42</v>
      </c>
      <c r="E526" s="139" t="s">
        <v>43</v>
      </c>
      <c r="F526" s="160"/>
      <c r="G526" s="160"/>
      <c r="H526" s="161"/>
      <c r="I526" s="161"/>
      <c r="J526" s="161"/>
      <c r="P526" s="153"/>
    </row>
    <row r="527" spans="1:16" x14ac:dyDescent="0.2">
      <c r="A527" s="140" t="s">
        <v>229</v>
      </c>
      <c r="B527" s="140" t="s">
        <v>41</v>
      </c>
      <c r="C527" s="140" t="s">
        <v>813</v>
      </c>
      <c r="D527" s="149" t="s">
        <v>844</v>
      </c>
      <c r="E527" s="139" t="s">
        <v>701</v>
      </c>
      <c r="F527" s="160"/>
      <c r="G527" s="160"/>
      <c r="H527" s="161"/>
      <c r="I527" s="161"/>
      <c r="J527" s="161"/>
      <c r="P527" s="153"/>
    </row>
    <row r="528" spans="1:16" x14ac:dyDescent="0.2">
      <c r="A528" s="140" t="s">
        <v>229</v>
      </c>
      <c r="B528" s="140" t="s">
        <v>41</v>
      </c>
      <c r="C528" s="140" t="s">
        <v>813</v>
      </c>
      <c r="D528" s="149" t="s">
        <v>845</v>
      </c>
      <c r="E528" s="139" t="s">
        <v>702</v>
      </c>
      <c r="F528" s="160"/>
      <c r="G528" s="160"/>
      <c r="H528" s="161"/>
      <c r="I528" s="161"/>
      <c r="J528" s="161"/>
      <c r="P528" s="153"/>
    </row>
    <row r="529" spans="1:16" x14ac:dyDescent="0.2">
      <c r="A529" s="140" t="s">
        <v>229</v>
      </c>
      <c r="B529" s="140" t="s">
        <v>41</v>
      </c>
      <c r="C529" s="140" t="s">
        <v>813</v>
      </c>
      <c r="D529" s="149" t="s">
        <v>846</v>
      </c>
      <c r="E529" s="139" t="s">
        <v>703</v>
      </c>
      <c r="F529" s="160"/>
      <c r="G529" s="160"/>
      <c r="H529" s="161"/>
      <c r="I529" s="161"/>
      <c r="J529" s="161"/>
      <c r="P529" s="153"/>
    </row>
    <row r="530" spans="1:16" x14ac:dyDescent="0.2">
      <c r="A530" s="140" t="s">
        <v>229</v>
      </c>
      <c r="B530" s="140" t="s">
        <v>41</v>
      </c>
      <c r="C530" s="140" t="s">
        <v>813</v>
      </c>
      <c r="D530" s="149" t="s">
        <v>64</v>
      </c>
      <c r="E530" s="139" t="s">
        <v>65</v>
      </c>
      <c r="F530" s="160"/>
      <c r="G530" s="160"/>
      <c r="H530" s="161"/>
      <c r="I530" s="161"/>
      <c r="J530" s="161"/>
      <c r="P530" s="153"/>
    </row>
    <row r="531" spans="1:16" x14ac:dyDescent="0.2">
      <c r="A531" s="140" t="s">
        <v>229</v>
      </c>
      <c r="B531" s="140" t="s">
        <v>41</v>
      </c>
      <c r="C531" s="140" t="s">
        <v>813</v>
      </c>
      <c r="D531" s="149" t="s">
        <v>847</v>
      </c>
      <c r="E531" s="139" t="s">
        <v>704</v>
      </c>
      <c r="F531" s="160"/>
      <c r="G531" s="160"/>
      <c r="H531" s="161"/>
      <c r="I531" s="161"/>
      <c r="J531" s="161"/>
      <c r="P531" s="153"/>
    </row>
    <row r="532" spans="1:16" x14ac:dyDescent="0.2">
      <c r="A532" s="140" t="s">
        <v>229</v>
      </c>
      <c r="B532" s="140" t="s">
        <v>41</v>
      </c>
      <c r="C532" s="140" t="s">
        <v>813</v>
      </c>
      <c r="D532" s="149" t="s">
        <v>504</v>
      </c>
      <c r="E532" s="139" t="s">
        <v>705</v>
      </c>
      <c r="F532" s="160"/>
      <c r="G532" s="160"/>
      <c r="H532" s="161"/>
      <c r="I532" s="161"/>
      <c r="J532" s="161"/>
      <c r="P532" s="153"/>
    </row>
    <row r="533" spans="1:16" x14ac:dyDescent="0.2">
      <c r="A533" s="140" t="s">
        <v>229</v>
      </c>
      <c r="B533" s="140" t="s">
        <v>41</v>
      </c>
      <c r="C533" s="140" t="s">
        <v>813</v>
      </c>
      <c r="D533" s="149" t="s">
        <v>848</v>
      </c>
      <c r="E533" s="139" t="s">
        <v>706</v>
      </c>
      <c r="F533" s="160"/>
      <c r="G533" s="160"/>
      <c r="H533" s="161"/>
      <c r="I533" s="161"/>
      <c r="J533" s="161"/>
      <c r="P533" s="153"/>
    </row>
    <row r="534" spans="1:16" x14ac:dyDescent="0.2">
      <c r="A534" s="140" t="s">
        <v>229</v>
      </c>
      <c r="B534" s="140" t="s">
        <v>41</v>
      </c>
      <c r="C534" s="140" t="s">
        <v>813</v>
      </c>
      <c r="D534" s="149" t="s">
        <v>849</v>
      </c>
      <c r="E534" s="139" t="s">
        <v>707</v>
      </c>
      <c r="F534" s="160"/>
      <c r="G534" s="160"/>
      <c r="H534" s="161"/>
      <c r="I534" s="161"/>
      <c r="J534" s="161"/>
      <c r="P534" s="153"/>
    </row>
    <row r="535" spans="1:16" x14ac:dyDescent="0.2">
      <c r="A535" s="140" t="s">
        <v>229</v>
      </c>
      <c r="B535" s="140" t="s">
        <v>41</v>
      </c>
      <c r="C535" s="140" t="s">
        <v>813</v>
      </c>
      <c r="D535" s="149" t="s">
        <v>850</v>
      </c>
      <c r="E535" s="139" t="s">
        <v>708</v>
      </c>
      <c r="F535" s="160"/>
      <c r="G535" s="160"/>
      <c r="H535" s="161"/>
      <c r="I535" s="161"/>
      <c r="J535" s="161"/>
      <c r="P535" s="153"/>
    </row>
    <row r="536" spans="1:16" x14ac:dyDescent="0.2">
      <c r="A536" s="140" t="s">
        <v>229</v>
      </c>
      <c r="B536" s="140" t="s">
        <v>41</v>
      </c>
      <c r="C536" s="140" t="s">
        <v>813</v>
      </c>
      <c r="D536" s="149" t="s">
        <v>851</v>
      </c>
      <c r="E536" s="139" t="s">
        <v>709</v>
      </c>
      <c r="F536" s="160"/>
      <c r="G536" s="160"/>
      <c r="H536" s="161"/>
      <c r="I536" s="161"/>
      <c r="J536" s="161"/>
      <c r="P536" s="153"/>
    </row>
    <row r="537" spans="1:16" x14ac:dyDescent="0.2">
      <c r="A537" s="140" t="s">
        <v>229</v>
      </c>
      <c r="B537" s="140" t="s">
        <v>55</v>
      </c>
      <c r="C537" s="140" t="s">
        <v>220</v>
      </c>
      <c r="D537" s="149" t="s">
        <v>220</v>
      </c>
      <c r="E537" s="139" t="s">
        <v>221</v>
      </c>
      <c r="F537" s="160"/>
      <c r="G537" s="160"/>
      <c r="H537" s="161"/>
      <c r="I537" s="161"/>
      <c r="J537" s="161"/>
      <c r="P537" s="153"/>
    </row>
    <row r="538" spans="1:16" x14ac:dyDescent="0.2">
      <c r="A538" s="140" t="s">
        <v>229</v>
      </c>
      <c r="B538" s="140" t="s">
        <v>55</v>
      </c>
      <c r="C538" s="140" t="s">
        <v>220</v>
      </c>
      <c r="D538" s="149" t="s">
        <v>852</v>
      </c>
      <c r="E538" s="139" t="s">
        <v>696</v>
      </c>
      <c r="F538" s="160"/>
      <c r="G538" s="160"/>
      <c r="H538" s="161"/>
      <c r="I538" s="161"/>
      <c r="J538" s="161"/>
      <c r="P538" s="153"/>
    </row>
    <row r="539" spans="1:16" x14ac:dyDescent="0.2">
      <c r="A539" s="140" t="s">
        <v>229</v>
      </c>
      <c r="B539" s="140" t="s">
        <v>55</v>
      </c>
      <c r="C539" s="140" t="s">
        <v>220</v>
      </c>
      <c r="D539" s="149" t="s">
        <v>515</v>
      </c>
      <c r="E539" s="139" t="s">
        <v>697</v>
      </c>
      <c r="F539" s="160"/>
      <c r="G539" s="160"/>
      <c r="H539" s="161"/>
      <c r="I539" s="161"/>
      <c r="J539" s="161"/>
      <c r="P539" s="153"/>
    </row>
    <row r="540" spans="1:16" x14ac:dyDescent="0.2">
      <c r="A540" s="140" t="s">
        <v>229</v>
      </c>
      <c r="B540" s="140" t="s">
        <v>55</v>
      </c>
      <c r="C540" s="140" t="s">
        <v>56</v>
      </c>
      <c r="D540" s="149" t="s">
        <v>488</v>
      </c>
      <c r="E540" s="139" t="s">
        <v>711</v>
      </c>
      <c r="F540" s="160"/>
      <c r="G540" s="160"/>
      <c r="H540" s="161"/>
      <c r="I540" s="161"/>
      <c r="J540" s="161"/>
      <c r="P540" s="153"/>
    </row>
    <row r="541" spans="1:16" x14ac:dyDescent="0.2">
      <c r="A541" s="140" t="s">
        <v>229</v>
      </c>
      <c r="B541" s="140" t="s">
        <v>55</v>
      </c>
      <c r="C541" s="140" t="s">
        <v>56</v>
      </c>
      <c r="D541" s="149" t="s">
        <v>56</v>
      </c>
      <c r="E541" s="139" t="s">
        <v>57</v>
      </c>
      <c r="F541" s="160"/>
      <c r="G541" s="160"/>
      <c r="H541" s="161"/>
      <c r="I541" s="161"/>
      <c r="J541" s="161"/>
      <c r="P541" s="153"/>
    </row>
    <row r="542" spans="1:16" x14ac:dyDescent="0.2">
      <c r="A542" s="140" t="s">
        <v>229</v>
      </c>
      <c r="B542" s="140" t="s">
        <v>55</v>
      </c>
      <c r="C542" s="140" t="s">
        <v>86</v>
      </c>
      <c r="D542" s="149" t="s">
        <v>445</v>
      </c>
      <c r="E542" s="139" t="s">
        <v>719</v>
      </c>
      <c r="F542" s="160"/>
      <c r="G542" s="160"/>
      <c r="H542" s="161"/>
      <c r="I542" s="161"/>
      <c r="J542" s="161"/>
      <c r="P542" s="153"/>
    </row>
    <row r="543" spans="1:16" x14ac:dyDescent="0.2">
      <c r="A543" s="140" t="s">
        <v>229</v>
      </c>
      <c r="B543" s="140" t="s">
        <v>55</v>
      </c>
      <c r="C543" s="140" t="s">
        <v>86</v>
      </c>
      <c r="D543" s="149" t="s">
        <v>853</v>
      </c>
      <c r="E543" s="139" t="s">
        <v>720</v>
      </c>
      <c r="F543" s="160"/>
      <c r="G543" s="160"/>
      <c r="H543" s="161"/>
      <c r="I543" s="161"/>
      <c r="J543" s="161"/>
      <c r="P543" s="153"/>
    </row>
    <row r="544" spans="1:16" x14ac:dyDescent="0.2">
      <c r="A544" s="140" t="s">
        <v>229</v>
      </c>
      <c r="B544" s="140" t="s">
        <v>55</v>
      </c>
      <c r="C544" s="140" t="s">
        <v>86</v>
      </c>
      <c r="D544" s="149" t="s">
        <v>854</v>
      </c>
      <c r="E544" s="139" t="s">
        <v>721</v>
      </c>
      <c r="F544" s="160"/>
      <c r="G544" s="160"/>
      <c r="H544" s="161"/>
      <c r="I544" s="161"/>
      <c r="J544" s="161"/>
      <c r="P544" s="153"/>
    </row>
    <row r="545" spans="1:16" x14ac:dyDescent="0.2">
      <c r="A545" s="140" t="s">
        <v>229</v>
      </c>
      <c r="B545" s="140" t="s">
        <v>55</v>
      </c>
      <c r="C545" s="140" t="s">
        <v>86</v>
      </c>
      <c r="D545" s="149" t="s">
        <v>855</v>
      </c>
      <c r="E545" s="139" t="s">
        <v>722</v>
      </c>
      <c r="F545" s="160"/>
      <c r="G545" s="160"/>
      <c r="H545" s="161"/>
      <c r="I545" s="161"/>
      <c r="J545" s="161"/>
      <c r="P545" s="153"/>
    </row>
    <row r="546" spans="1:16" x14ac:dyDescent="0.2">
      <c r="A546" s="140" t="s">
        <v>229</v>
      </c>
      <c r="B546" s="140" t="s">
        <v>55</v>
      </c>
      <c r="C546" s="140" t="s">
        <v>86</v>
      </c>
      <c r="D546" s="149" t="s">
        <v>87</v>
      </c>
      <c r="E546" s="139" t="s">
        <v>88</v>
      </c>
      <c r="F546" s="160"/>
      <c r="G546" s="160"/>
      <c r="H546" s="161"/>
      <c r="I546" s="161"/>
      <c r="J546" s="161"/>
      <c r="P546" s="153"/>
    </row>
    <row r="547" spans="1:16" x14ac:dyDescent="0.2">
      <c r="A547" s="140" t="s">
        <v>229</v>
      </c>
      <c r="B547" s="140" t="s">
        <v>55</v>
      </c>
      <c r="C547" s="140" t="s">
        <v>86</v>
      </c>
      <c r="D547" s="149" t="s">
        <v>856</v>
      </c>
      <c r="E547" s="139" t="s">
        <v>723</v>
      </c>
      <c r="F547" s="160"/>
      <c r="G547" s="160"/>
      <c r="H547" s="161"/>
      <c r="I547" s="161"/>
      <c r="J547" s="161"/>
      <c r="P547" s="153"/>
    </row>
    <row r="548" spans="1:16" x14ac:dyDescent="0.2">
      <c r="A548" s="140" t="s">
        <v>229</v>
      </c>
      <c r="B548" s="140" t="s">
        <v>55</v>
      </c>
      <c r="C548" s="140" t="s">
        <v>78</v>
      </c>
      <c r="D548" s="149" t="s">
        <v>326</v>
      </c>
      <c r="E548" s="139" t="s">
        <v>693</v>
      </c>
      <c r="F548" s="160"/>
      <c r="G548" s="160"/>
      <c r="H548" s="161"/>
      <c r="I548" s="161"/>
      <c r="J548" s="161"/>
      <c r="P548" s="153"/>
    </row>
    <row r="549" spans="1:16" x14ac:dyDescent="0.2">
      <c r="A549" s="140" t="s">
        <v>229</v>
      </c>
      <c r="B549" s="140" t="s">
        <v>55</v>
      </c>
      <c r="C549" s="140" t="s">
        <v>78</v>
      </c>
      <c r="D549" s="149" t="s">
        <v>79</v>
      </c>
      <c r="E549" s="139" t="s">
        <v>80</v>
      </c>
      <c r="F549" s="160"/>
      <c r="G549" s="160"/>
      <c r="H549" s="161"/>
      <c r="I549" s="161"/>
      <c r="J549" s="161"/>
      <c r="P549" s="153"/>
    </row>
    <row r="550" spans="1:16" x14ac:dyDescent="0.2">
      <c r="A550" s="140" t="s">
        <v>229</v>
      </c>
      <c r="B550" s="140" t="s">
        <v>55</v>
      </c>
      <c r="C550" s="140" t="s">
        <v>78</v>
      </c>
      <c r="D550" s="149" t="s">
        <v>857</v>
      </c>
      <c r="E550" s="139" t="s">
        <v>694</v>
      </c>
      <c r="F550" s="160"/>
      <c r="G550" s="160"/>
      <c r="H550" s="161"/>
      <c r="I550" s="161"/>
      <c r="J550" s="161"/>
      <c r="P550" s="153"/>
    </row>
    <row r="551" spans="1:16" x14ac:dyDescent="0.2">
      <c r="A551" s="140" t="s">
        <v>229</v>
      </c>
      <c r="B551" s="140" t="s">
        <v>55</v>
      </c>
      <c r="C551" s="140" t="s">
        <v>78</v>
      </c>
      <c r="D551" s="149" t="s">
        <v>98</v>
      </c>
      <c r="E551" s="139" t="s">
        <v>99</v>
      </c>
      <c r="F551" s="160"/>
      <c r="G551" s="160"/>
      <c r="H551" s="161"/>
      <c r="I551" s="161"/>
      <c r="J551" s="161"/>
      <c r="P551" s="153"/>
    </row>
    <row r="552" spans="1:16" x14ac:dyDescent="0.2">
      <c r="A552" s="140" t="s">
        <v>229</v>
      </c>
      <c r="B552" s="140" t="s">
        <v>55</v>
      </c>
      <c r="C552" s="140" t="s">
        <v>78</v>
      </c>
      <c r="D552" s="149" t="s">
        <v>333</v>
      </c>
      <c r="E552" s="139" t="s">
        <v>695</v>
      </c>
      <c r="F552" s="160"/>
      <c r="G552" s="160"/>
      <c r="H552" s="161"/>
      <c r="I552" s="161"/>
      <c r="J552" s="161"/>
      <c r="P552" s="153"/>
    </row>
    <row r="553" spans="1:16" x14ac:dyDescent="0.2">
      <c r="A553" s="140" t="s">
        <v>229</v>
      </c>
      <c r="B553" s="140" t="s">
        <v>31</v>
      </c>
      <c r="C553" s="140" t="s">
        <v>32</v>
      </c>
      <c r="D553" s="149" t="s">
        <v>32</v>
      </c>
      <c r="E553" s="139" t="s">
        <v>33</v>
      </c>
      <c r="F553" s="160"/>
      <c r="G553" s="160"/>
      <c r="H553" s="161"/>
      <c r="I553" s="161"/>
      <c r="J553" s="161"/>
      <c r="P553" s="153"/>
    </row>
    <row r="554" spans="1:16" x14ac:dyDescent="0.2">
      <c r="A554" s="140" t="s">
        <v>229</v>
      </c>
      <c r="B554" s="140" t="s">
        <v>31</v>
      </c>
      <c r="C554" s="140" t="s">
        <v>127</v>
      </c>
      <c r="D554" s="149" t="s">
        <v>858</v>
      </c>
      <c r="E554" s="139" t="s">
        <v>712</v>
      </c>
      <c r="F554" s="160"/>
      <c r="G554" s="160"/>
      <c r="H554" s="161"/>
      <c r="I554" s="161"/>
      <c r="J554" s="161"/>
      <c r="P554" s="153"/>
    </row>
    <row r="555" spans="1:16" x14ac:dyDescent="0.2">
      <c r="A555" s="140" t="s">
        <v>229</v>
      </c>
      <c r="B555" s="140" t="s">
        <v>31</v>
      </c>
      <c r="C555" s="140" t="s">
        <v>127</v>
      </c>
      <c r="D555" s="149" t="s">
        <v>483</v>
      </c>
      <c r="E555" s="139" t="s">
        <v>713</v>
      </c>
      <c r="F555" s="160"/>
      <c r="G555" s="160"/>
      <c r="H555" s="161"/>
      <c r="I555" s="161"/>
      <c r="J555" s="161"/>
      <c r="P555" s="153"/>
    </row>
    <row r="556" spans="1:16" x14ac:dyDescent="0.2">
      <c r="A556" s="140" t="s">
        <v>229</v>
      </c>
      <c r="B556" s="140" t="s">
        <v>31</v>
      </c>
      <c r="C556" s="140" t="s">
        <v>127</v>
      </c>
      <c r="D556" s="149" t="s">
        <v>485</v>
      </c>
      <c r="E556" s="139" t="s">
        <v>714</v>
      </c>
      <c r="F556" s="160"/>
      <c r="G556" s="160"/>
      <c r="H556" s="161"/>
      <c r="I556" s="161"/>
      <c r="J556" s="161"/>
      <c r="P556" s="153"/>
    </row>
    <row r="557" spans="1:16" x14ac:dyDescent="0.2">
      <c r="A557" s="140" t="s">
        <v>229</v>
      </c>
      <c r="B557" s="140" t="s">
        <v>31</v>
      </c>
      <c r="C557" s="140" t="s">
        <v>127</v>
      </c>
      <c r="D557" s="149" t="s">
        <v>859</v>
      </c>
      <c r="E557" s="139" t="s">
        <v>715</v>
      </c>
      <c r="F557" s="160"/>
      <c r="G557" s="160"/>
      <c r="H557" s="161"/>
      <c r="I557" s="161"/>
      <c r="J557" s="161"/>
      <c r="P557" s="153"/>
    </row>
    <row r="558" spans="1:16" x14ac:dyDescent="0.2">
      <c r="A558" s="140" t="s">
        <v>229</v>
      </c>
      <c r="B558" s="140" t="s">
        <v>31</v>
      </c>
      <c r="C558" s="140" t="s">
        <v>127</v>
      </c>
      <c r="D558" s="149" t="s">
        <v>860</v>
      </c>
      <c r="E558" s="139" t="s">
        <v>129</v>
      </c>
      <c r="F558" s="160"/>
      <c r="G558" s="160"/>
      <c r="H558" s="161"/>
      <c r="I558" s="161"/>
      <c r="J558" s="161"/>
      <c r="P558" s="153"/>
    </row>
    <row r="559" spans="1:16" x14ac:dyDescent="0.2">
      <c r="A559" s="140" t="s">
        <v>229</v>
      </c>
      <c r="B559" s="140" t="s">
        <v>31</v>
      </c>
      <c r="C559" s="140" t="s">
        <v>111</v>
      </c>
      <c r="D559" s="149" t="s">
        <v>430</v>
      </c>
      <c r="E559" s="139" t="s">
        <v>730</v>
      </c>
      <c r="F559" s="160"/>
      <c r="G559" s="160"/>
      <c r="H559" s="161"/>
      <c r="I559" s="161"/>
      <c r="J559" s="161"/>
      <c r="P559" s="153"/>
    </row>
    <row r="560" spans="1:16" x14ac:dyDescent="0.2">
      <c r="A560" s="140" t="s">
        <v>229</v>
      </c>
      <c r="B560" s="140" t="s">
        <v>31</v>
      </c>
      <c r="C560" s="140" t="s">
        <v>111</v>
      </c>
      <c r="D560" s="149" t="s">
        <v>433</v>
      </c>
      <c r="E560" s="139" t="s">
        <v>731</v>
      </c>
      <c r="F560" s="160"/>
      <c r="G560" s="160"/>
      <c r="H560" s="161"/>
      <c r="I560" s="161"/>
      <c r="J560" s="161"/>
      <c r="P560" s="153"/>
    </row>
    <row r="561" spans="1:16" x14ac:dyDescent="0.2">
      <c r="A561" s="140" t="s">
        <v>229</v>
      </c>
      <c r="B561" s="140" t="s">
        <v>31</v>
      </c>
      <c r="C561" s="140" t="s">
        <v>111</v>
      </c>
      <c r="D561" s="149" t="s">
        <v>111</v>
      </c>
      <c r="E561" s="139" t="s">
        <v>112</v>
      </c>
      <c r="F561" s="160"/>
      <c r="G561" s="160"/>
      <c r="H561" s="161"/>
      <c r="I561" s="161"/>
      <c r="J561" s="161"/>
      <c r="P561" s="153"/>
    </row>
    <row r="562" spans="1:16" x14ac:dyDescent="0.2">
      <c r="A562" s="140" t="s">
        <v>229</v>
      </c>
      <c r="B562" s="140" t="s">
        <v>31</v>
      </c>
      <c r="C562" s="140" t="s">
        <v>132</v>
      </c>
      <c r="D562" s="149" t="s">
        <v>346</v>
      </c>
      <c r="E562" s="139" t="s">
        <v>733</v>
      </c>
      <c r="F562" s="160"/>
      <c r="G562" s="160"/>
      <c r="H562" s="161"/>
      <c r="I562" s="161"/>
      <c r="J562" s="161"/>
      <c r="P562" s="153"/>
    </row>
    <row r="563" spans="1:16" x14ac:dyDescent="0.2">
      <c r="A563" s="140" t="s">
        <v>229</v>
      </c>
      <c r="B563" s="140" t="s">
        <v>31</v>
      </c>
      <c r="C563" s="140" t="s">
        <v>132</v>
      </c>
      <c r="D563" s="149" t="s">
        <v>132</v>
      </c>
      <c r="E563" s="139" t="s">
        <v>133</v>
      </c>
      <c r="F563" s="160"/>
      <c r="G563" s="160"/>
      <c r="H563" s="161"/>
      <c r="I563" s="161"/>
      <c r="J563" s="161"/>
      <c r="P563" s="153"/>
    </row>
    <row r="564" spans="1:16" x14ac:dyDescent="0.2">
      <c r="A564" s="140" t="s">
        <v>229</v>
      </c>
      <c r="B564" s="140" t="s">
        <v>31</v>
      </c>
      <c r="C564" s="140" t="s">
        <v>814</v>
      </c>
      <c r="D564" s="149" t="s">
        <v>863</v>
      </c>
      <c r="E564" s="139" t="s">
        <v>754</v>
      </c>
      <c r="F564" s="160"/>
      <c r="G564" s="160"/>
      <c r="H564" s="161"/>
      <c r="I564" s="161"/>
      <c r="J564" s="161"/>
      <c r="P564" s="153"/>
    </row>
    <row r="565" spans="1:16" x14ac:dyDescent="0.2">
      <c r="A565" s="140" t="s">
        <v>229</v>
      </c>
      <c r="B565" s="140" t="s">
        <v>31</v>
      </c>
      <c r="C565" s="140" t="s">
        <v>814</v>
      </c>
      <c r="D565" s="149" t="s">
        <v>864</v>
      </c>
      <c r="E565" s="139" t="s">
        <v>755</v>
      </c>
      <c r="F565" s="160"/>
      <c r="G565" s="160"/>
      <c r="H565" s="161"/>
      <c r="I565" s="161"/>
      <c r="J565" s="161"/>
      <c r="P565" s="153"/>
    </row>
    <row r="566" spans="1:16" x14ac:dyDescent="0.2">
      <c r="A566" s="140" t="s">
        <v>229</v>
      </c>
      <c r="B566" s="140" t="s">
        <v>31</v>
      </c>
      <c r="C566" s="140" t="s">
        <v>814</v>
      </c>
      <c r="D566" s="149" t="s">
        <v>865</v>
      </c>
      <c r="E566" s="139" t="s">
        <v>756</v>
      </c>
      <c r="F566" s="160"/>
      <c r="G566" s="160"/>
      <c r="H566" s="161"/>
      <c r="I566" s="161"/>
      <c r="J566" s="161"/>
      <c r="P566" s="153"/>
    </row>
    <row r="567" spans="1:16" x14ac:dyDescent="0.2">
      <c r="A567" s="140" t="s">
        <v>229</v>
      </c>
      <c r="B567" s="140" t="s">
        <v>31</v>
      </c>
      <c r="C567" s="140" t="s">
        <v>814</v>
      </c>
      <c r="D567" s="149" t="s">
        <v>866</v>
      </c>
      <c r="E567" s="139" t="s">
        <v>757</v>
      </c>
      <c r="F567" s="160"/>
      <c r="G567" s="160"/>
      <c r="H567" s="161"/>
      <c r="I567" s="161"/>
      <c r="J567" s="161"/>
      <c r="P567" s="153"/>
    </row>
    <row r="568" spans="1:16" x14ac:dyDescent="0.2">
      <c r="A568" s="140" t="s">
        <v>229</v>
      </c>
      <c r="B568" s="140" t="s">
        <v>31</v>
      </c>
      <c r="C568" s="140" t="s">
        <v>814</v>
      </c>
      <c r="D568" s="149" t="s">
        <v>123</v>
      </c>
      <c r="E568" s="139" t="s">
        <v>124</v>
      </c>
      <c r="F568" s="160"/>
      <c r="G568" s="160"/>
      <c r="H568" s="161"/>
      <c r="I568" s="161"/>
      <c r="J568" s="161"/>
      <c r="P568" s="153"/>
    </row>
    <row r="569" spans="1:16" x14ac:dyDescent="0.2">
      <c r="A569" s="140" t="s">
        <v>229</v>
      </c>
      <c r="B569" s="140" t="s">
        <v>31</v>
      </c>
      <c r="C569" s="140" t="s">
        <v>814</v>
      </c>
      <c r="D569" s="149" t="s">
        <v>867</v>
      </c>
      <c r="E569" s="139" t="s">
        <v>758</v>
      </c>
      <c r="F569" s="160"/>
      <c r="G569" s="160"/>
      <c r="H569" s="161"/>
      <c r="I569" s="161"/>
      <c r="J569" s="161"/>
      <c r="P569" s="153"/>
    </row>
    <row r="570" spans="1:16" x14ac:dyDescent="0.2">
      <c r="A570" s="140" t="s">
        <v>229</v>
      </c>
      <c r="B570" s="140" t="s">
        <v>58</v>
      </c>
      <c r="C570" s="140" t="s">
        <v>66</v>
      </c>
      <c r="D570" s="149" t="s">
        <v>585</v>
      </c>
      <c r="E570" s="139" t="s">
        <v>660</v>
      </c>
      <c r="F570" s="160"/>
      <c r="G570" s="160"/>
      <c r="H570" s="161"/>
      <c r="I570" s="161"/>
      <c r="J570" s="161"/>
      <c r="P570" s="153"/>
    </row>
    <row r="571" spans="1:16" x14ac:dyDescent="0.2">
      <c r="A571" s="140" t="s">
        <v>229</v>
      </c>
      <c r="B571" s="140" t="s">
        <v>58</v>
      </c>
      <c r="C571" s="140" t="s">
        <v>66</v>
      </c>
      <c r="D571" s="149" t="s">
        <v>868</v>
      </c>
      <c r="E571" s="139" t="s">
        <v>661</v>
      </c>
      <c r="F571" s="160"/>
      <c r="G571" s="160"/>
      <c r="H571" s="161"/>
      <c r="I571" s="161"/>
      <c r="J571" s="161"/>
      <c r="P571" s="153"/>
    </row>
    <row r="572" spans="1:16" x14ac:dyDescent="0.2">
      <c r="A572" s="140" t="s">
        <v>229</v>
      </c>
      <c r="B572" s="140" t="s">
        <v>58</v>
      </c>
      <c r="C572" s="140" t="s">
        <v>66</v>
      </c>
      <c r="D572" s="149" t="s">
        <v>590</v>
      </c>
      <c r="E572" s="139" t="s">
        <v>662</v>
      </c>
      <c r="F572" s="160"/>
      <c r="G572" s="160"/>
      <c r="H572" s="161"/>
      <c r="I572" s="161"/>
      <c r="J572" s="161"/>
      <c r="P572" s="153"/>
    </row>
    <row r="573" spans="1:16" x14ac:dyDescent="0.2">
      <c r="A573" s="140" t="s">
        <v>229</v>
      </c>
      <c r="B573" s="140" t="s">
        <v>58</v>
      </c>
      <c r="C573" s="140" t="s">
        <v>66</v>
      </c>
      <c r="D573" s="149" t="s">
        <v>598</v>
      </c>
      <c r="E573" s="139" t="s">
        <v>666</v>
      </c>
      <c r="F573" s="160"/>
      <c r="G573" s="160"/>
      <c r="H573" s="161"/>
      <c r="I573" s="161"/>
      <c r="J573" s="161"/>
      <c r="P573" s="153"/>
    </row>
    <row r="574" spans="1:16" x14ac:dyDescent="0.2">
      <c r="A574" s="140" t="s">
        <v>229</v>
      </c>
      <c r="B574" s="140" t="s">
        <v>58</v>
      </c>
      <c r="C574" s="140" t="s">
        <v>66</v>
      </c>
      <c r="D574" s="149" t="s">
        <v>222</v>
      </c>
      <c r="E574" s="139" t="s">
        <v>223</v>
      </c>
      <c r="F574" s="160"/>
      <c r="G574" s="160"/>
      <c r="H574" s="161"/>
      <c r="I574" s="161"/>
      <c r="J574" s="161"/>
      <c r="P574" s="153"/>
    </row>
    <row r="575" spans="1:16" x14ac:dyDescent="0.2">
      <c r="A575" s="140" t="s">
        <v>229</v>
      </c>
      <c r="B575" s="140" t="s">
        <v>58</v>
      </c>
      <c r="C575" s="140" t="s">
        <v>66</v>
      </c>
      <c r="D575" s="149" t="s">
        <v>186</v>
      </c>
      <c r="E575" s="139" t="s">
        <v>663</v>
      </c>
      <c r="F575" s="160"/>
      <c r="G575" s="160"/>
      <c r="H575" s="161"/>
      <c r="I575" s="161"/>
      <c r="J575" s="161"/>
      <c r="P575" s="153"/>
    </row>
    <row r="576" spans="1:16" x14ac:dyDescent="0.2">
      <c r="A576" s="140" t="s">
        <v>229</v>
      </c>
      <c r="B576" s="140" t="s">
        <v>58</v>
      </c>
      <c r="C576" s="140" t="s">
        <v>66</v>
      </c>
      <c r="D576" s="149" t="s">
        <v>224</v>
      </c>
      <c r="E576" s="139" t="s">
        <v>225</v>
      </c>
      <c r="F576" s="160"/>
      <c r="G576" s="160"/>
      <c r="H576" s="161"/>
      <c r="I576" s="161"/>
      <c r="J576" s="161"/>
      <c r="P576" s="153"/>
    </row>
    <row r="577" spans="1:16" x14ac:dyDescent="0.2">
      <c r="A577" s="140" t="s">
        <v>229</v>
      </c>
      <c r="B577" s="140" t="s">
        <v>58</v>
      </c>
      <c r="C577" s="140" t="s">
        <v>66</v>
      </c>
      <c r="D577" s="149" t="s">
        <v>869</v>
      </c>
      <c r="E577" s="139" t="s">
        <v>664</v>
      </c>
      <c r="F577" s="160"/>
      <c r="G577" s="160"/>
      <c r="H577" s="161"/>
      <c r="I577" s="161"/>
      <c r="J577" s="161"/>
      <c r="P577" s="153"/>
    </row>
    <row r="578" spans="1:16" x14ac:dyDescent="0.2">
      <c r="A578" s="140" t="s">
        <v>229</v>
      </c>
      <c r="B578" s="140" t="s">
        <v>58</v>
      </c>
      <c r="C578" s="140" t="s">
        <v>66</v>
      </c>
      <c r="D578" s="149" t="s">
        <v>166</v>
      </c>
      <c r="E578" s="139" t="s">
        <v>167</v>
      </c>
      <c r="F578" s="160"/>
      <c r="G578" s="160"/>
      <c r="H578" s="161"/>
      <c r="I578" s="161"/>
      <c r="J578" s="161"/>
      <c r="P578" s="153"/>
    </row>
    <row r="579" spans="1:16" x14ac:dyDescent="0.2">
      <c r="A579" s="140" t="s">
        <v>229</v>
      </c>
      <c r="B579" s="140" t="s">
        <v>58</v>
      </c>
      <c r="C579" s="140" t="s">
        <v>66</v>
      </c>
      <c r="D579" s="149" t="s">
        <v>870</v>
      </c>
      <c r="E579" s="139" t="s">
        <v>665</v>
      </c>
      <c r="F579" s="160"/>
      <c r="G579" s="160"/>
      <c r="H579" s="161"/>
      <c r="I579" s="161"/>
      <c r="J579" s="161"/>
      <c r="P579" s="153"/>
    </row>
    <row r="580" spans="1:16" x14ac:dyDescent="0.2">
      <c r="A580" s="140" t="s">
        <v>229</v>
      </c>
      <c r="B580" s="140" t="s">
        <v>58</v>
      </c>
      <c r="C580" s="140" t="s">
        <v>66</v>
      </c>
      <c r="D580" s="149" t="s">
        <v>871</v>
      </c>
      <c r="E580" s="139" t="s">
        <v>667</v>
      </c>
      <c r="F580" s="160"/>
      <c r="G580" s="160"/>
      <c r="H580" s="161"/>
      <c r="I580" s="161"/>
      <c r="J580" s="161"/>
      <c r="P580" s="153"/>
    </row>
    <row r="581" spans="1:16" x14ac:dyDescent="0.2">
      <c r="A581" s="140" t="s">
        <v>229</v>
      </c>
      <c r="B581" s="140" t="s">
        <v>58</v>
      </c>
      <c r="C581" s="140" t="s">
        <v>66</v>
      </c>
      <c r="D581" s="149" t="s">
        <v>67</v>
      </c>
      <c r="E581" s="139" t="s">
        <v>68</v>
      </c>
      <c r="F581" s="160"/>
      <c r="G581" s="160"/>
      <c r="H581" s="161"/>
      <c r="I581" s="161"/>
      <c r="J581" s="161"/>
      <c r="P581" s="153"/>
    </row>
    <row r="582" spans="1:16" x14ac:dyDescent="0.2">
      <c r="A582" s="140" t="s">
        <v>229</v>
      </c>
      <c r="B582" s="140" t="s">
        <v>58</v>
      </c>
      <c r="C582" s="140" t="s">
        <v>66</v>
      </c>
      <c r="D582" s="149" t="s">
        <v>872</v>
      </c>
      <c r="E582" s="139" t="s">
        <v>668</v>
      </c>
      <c r="F582" s="160"/>
      <c r="G582" s="160"/>
      <c r="H582" s="161"/>
      <c r="I582" s="161"/>
      <c r="J582" s="161"/>
      <c r="P582" s="153"/>
    </row>
    <row r="583" spans="1:16" x14ac:dyDescent="0.2">
      <c r="A583" s="140" t="s">
        <v>229</v>
      </c>
      <c r="B583" s="140" t="s">
        <v>58</v>
      </c>
      <c r="C583" s="140" t="s">
        <v>66</v>
      </c>
      <c r="D583" s="149" t="s">
        <v>873</v>
      </c>
      <c r="E583" s="139" t="s">
        <v>669</v>
      </c>
      <c r="F583" s="160"/>
      <c r="G583" s="160"/>
      <c r="H583" s="161"/>
      <c r="I583" s="161"/>
      <c r="J583" s="161"/>
      <c r="P583" s="153"/>
    </row>
    <row r="584" spans="1:16" x14ac:dyDescent="0.2">
      <c r="A584" s="140" t="s">
        <v>229</v>
      </c>
      <c r="B584" s="140" t="s">
        <v>58</v>
      </c>
      <c r="C584" s="140" t="s">
        <v>66</v>
      </c>
      <c r="D584" s="149" t="s">
        <v>226</v>
      </c>
      <c r="E584" s="139" t="s">
        <v>227</v>
      </c>
      <c r="F584" s="160"/>
      <c r="G584" s="160"/>
      <c r="H584" s="161"/>
      <c r="I584" s="161"/>
      <c r="J584" s="161"/>
      <c r="P584" s="153"/>
    </row>
    <row r="585" spans="1:16" x14ac:dyDescent="0.2">
      <c r="A585" s="140" t="s">
        <v>229</v>
      </c>
      <c r="B585" s="140" t="s">
        <v>58</v>
      </c>
      <c r="C585" s="140" t="s">
        <v>66</v>
      </c>
      <c r="D585" s="149" t="s">
        <v>874</v>
      </c>
      <c r="E585" s="139" t="s">
        <v>670</v>
      </c>
      <c r="F585" s="160"/>
      <c r="G585" s="160"/>
      <c r="H585" s="161"/>
      <c r="I585" s="161"/>
      <c r="J585" s="161"/>
      <c r="P585" s="153"/>
    </row>
    <row r="586" spans="1:16" x14ac:dyDescent="0.2">
      <c r="A586" s="140" t="s">
        <v>229</v>
      </c>
      <c r="B586" s="140" t="s">
        <v>58</v>
      </c>
      <c r="C586" s="140" t="s">
        <v>66</v>
      </c>
      <c r="D586" s="149" t="s">
        <v>607</v>
      </c>
      <c r="E586" s="139" t="s">
        <v>81</v>
      </c>
      <c r="F586" s="160"/>
      <c r="G586" s="160"/>
      <c r="H586" s="161"/>
      <c r="I586" s="161"/>
      <c r="J586" s="161"/>
      <c r="P586" s="153"/>
    </row>
    <row r="587" spans="1:16" x14ac:dyDescent="0.2">
      <c r="A587" s="140" t="s">
        <v>229</v>
      </c>
      <c r="B587" s="140" t="s">
        <v>58</v>
      </c>
      <c r="C587" s="140" t="s">
        <v>66</v>
      </c>
      <c r="D587" s="149" t="s">
        <v>609</v>
      </c>
      <c r="E587" s="139" t="s">
        <v>671</v>
      </c>
      <c r="F587" s="160"/>
      <c r="G587" s="160"/>
      <c r="H587" s="161"/>
      <c r="I587" s="161"/>
      <c r="J587" s="161"/>
      <c r="P587" s="153"/>
    </row>
    <row r="588" spans="1:16" x14ac:dyDescent="0.2">
      <c r="A588" s="140" t="s">
        <v>229</v>
      </c>
      <c r="B588" s="140" t="s">
        <v>58</v>
      </c>
      <c r="C588" s="140" t="s">
        <v>66</v>
      </c>
      <c r="D588" s="149" t="s">
        <v>875</v>
      </c>
      <c r="E588" s="139" t="s">
        <v>173</v>
      </c>
      <c r="F588" s="160"/>
      <c r="G588" s="160"/>
      <c r="H588" s="161"/>
      <c r="I588" s="161"/>
      <c r="J588" s="161"/>
      <c r="P588" s="153"/>
    </row>
    <row r="589" spans="1:16" x14ac:dyDescent="0.2">
      <c r="A589" s="140" t="s">
        <v>229</v>
      </c>
      <c r="B589" s="140" t="s">
        <v>58</v>
      </c>
      <c r="C589" s="140" t="s">
        <v>66</v>
      </c>
      <c r="D589" s="149" t="s">
        <v>876</v>
      </c>
      <c r="E589" s="139" t="s">
        <v>672</v>
      </c>
      <c r="F589" s="160"/>
      <c r="G589" s="160"/>
      <c r="H589" s="161"/>
      <c r="I589" s="161"/>
      <c r="J589" s="161"/>
      <c r="P589" s="153"/>
    </row>
    <row r="590" spans="1:16" x14ac:dyDescent="0.2">
      <c r="A590" s="140" t="s">
        <v>229</v>
      </c>
      <c r="B590" s="140" t="s">
        <v>58</v>
      </c>
      <c r="C590" s="140" t="s">
        <v>66</v>
      </c>
      <c r="D590" s="149" t="s">
        <v>136</v>
      </c>
      <c r="E590" s="139" t="s">
        <v>137</v>
      </c>
      <c r="F590" s="160"/>
      <c r="G590" s="160"/>
      <c r="H590" s="161"/>
      <c r="I590" s="161"/>
      <c r="J590" s="161"/>
      <c r="P590" s="153"/>
    </row>
    <row r="591" spans="1:16" x14ac:dyDescent="0.2">
      <c r="A591" s="140" t="s">
        <v>229</v>
      </c>
      <c r="B591" s="140" t="s">
        <v>58</v>
      </c>
      <c r="C591" s="140" t="s">
        <v>66</v>
      </c>
      <c r="D591" s="149" t="s">
        <v>615</v>
      </c>
      <c r="E591" s="139" t="s">
        <v>675</v>
      </c>
      <c r="F591" s="160"/>
      <c r="G591" s="160"/>
      <c r="H591" s="161"/>
      <c r="I591" s="161"/>
      <c r="J591" s="161"/>
      <c r="P591" s="153"/>
    </row>
    <row r="592" spans="1:16" x14ac:dyDescent="0.2">
      <c r="A592" s="140" t="s">
        <v>229</v>
      </c>
      <c r="B592" s="140" t="s">
        <v>58</v>
      </c>
      <c r="C592" s="140" t="s">
        <v>66</v>
      </c>
      <c r="D592" s="149" t="s">
        <v>877</v>
      </c>
      <c r="E592" s="139" t="s">
        <v>181</v>
      </c>
      <c r="F592" s="160"/>
      <c r="G592" s="160"/>
      <c r="H592" s="161"/>
      <c r="I592" s="161"/>
      <c r="J592" s="161"/>
      <c r="P592" s="153"/>
    </row>
    <row r="593" spans="1:16" x14ac:dyDescent="0.2">
      <c r="A593" s="140" t="s">
        <v>229</v>
      </c>
      <c r="B593" s="140" t="s">
        <v>58</v>
      </c>
      <c r="C593" s="140" t="s">
        <v>66</v>
      </c>
      <c r="D593" s="149" t="s">
        <v>612</v>
      </c>
      <c r="E593" s="139" t="s">
        <v>673</v>
      </c>
      <c r="F593" s="160"/>
      <c r="G593" s="160"/>
      <c r="H593" s="161"/>
      <c r="I593" s="161"/>
      <c r="J593" s="161"/>
      <c r="P593" s="153"/>
    </row>
    <row r="594" spans="1:16" x14ac:dyDescent="0.2">
      <c r="A594" s="140" t="s">
        <v>229</v>
      </c>
      <c r="B594" s="140" t="s">
        <v>58</v>
      </c>
      <c r="C594" s="140" t="s">
        <v>59</v>
      </c>
      <c r="D594" s="149" t="s">
        <v>60</v>
      </c>
      <c r="E594" s="139" t="s">
        <v>61</v>
      </c>
      <c r="F594" s="160"/>
      <c r="G594" s="160"/>
      <c r="H594" s="161"/>
      <c r="I594" s="161"/>
      <c r="J594" s="161"/>
      <c r="P594" s="153"/>
    </row>
    <row r="595" spans="1:16" x14ac:dyDescent="0.2">
      <c r="A595" s="140" t="s">
        <v>229</v>
      </c>
      <c r="B595" s="140" t="s">
        <v>58</v>
      </c>
      <c r="C595" s="140" t="s">
        <v>59</v>
      </c>
      <c r="D595" s="149" t="s">
        <v>826</v>
      </c>
      <c r="E595" s="139" t="s">
        <v>716</v>
      </c>
      <c r="F595" s="160"/>
      <c r="G595" s="160"/>
      <c r="H595" s="161"/>
      <c r="I595" s="161"/>
      <c r="J595" s="161"/>
      <c r="P595" s="153"/>
    </row>
    <row r="596" spans="1:16" x14ac:dyDescent="0.2">
      <c r="A596" s="140" t="s">
        <v>229</v>
      </c>
      <c r="B596" s="140" t="s">
        <v>58</v>
      </c>
      <c r="C596" s="140" t="s">
        <v>59</v>
      </c>
      <c r="D596" s="149" t="s">
        <v>59</v>
      </c>
      <c r="E596" s="139" t="s">
        <v>717</v>
      </c>
      <c r="F596" s="160"/>
      <c r="G596" s="160"/>
      <c r="H596" s="161"/>
      <c r="I596" s="161"/>
      <c r="J596" s="161"/>
      <c r="P596" s="153"/>
    </row>
    <row r="597" spans="1:16" x14ac:dyDescent="0.2">
      <c r="A597" s="140" t="s">
        <v>229</v>
      </c>
      <c r="B597" s="140" t="s">
        <v>58</v>
      </c>
      <c r="C597" s="140" t="s">
        <v>59</v>
      </c>
      <c r="D597" s="149" t="s">
        <v>228</v>
      </c>
      <c r="E597" s="139" t="s">
        <v>131</v>
      </c>
      <c r="F597" s="160"/>
      <c r="G597" s="160"/>
      <c r="H597" s="161"/>
      <c r="I597" s="161"/>
      <c r="J597" s="161"/>
      <c r="P597" s="153"/>
    </row>
    <row r="598" spans="1:16" x14ac:dyDescent="0.2">
      <c r="A598" s="140" t="s">
        <v>229</v>
      </c>
      <c r="B598" s="140" t="s">
        <v>23</v>
      </c>
      <c r="C598" s="140" t="s">
        <v>24</v>
      </c>
      <c r="D598" s="149" t="s">
        <v>25</v>
      </c>
      <c r="E598" s="139" t="s">
        <v>26</v>
      </c>
      <c r="F598" s="160"/>
      <c r="G598" s="160"/>
      <c r="H598" s="161"/>
      <c r="I598" s="161"/>
      <c r="J598" s="161"/>
      <c r="P598" s="153"/>
    </row>
    <row r="599" spans="1:16" x14ac:dyDescent="0.2">
      <c r="A599" s="140" t="s">
        <v>229</v>
      </c>
      <c r="B599" s="140" t="s">
        <v>23</v>
      </c>
      <c r="C599" s="140" t="s">
        <v>24</v>
      </c>
      <c r="D599" s="149" t="s">
        <v>47</v>
      </c>
      <c r="E599" s="139" t="s">
        <v>48</v>
      </c>
      <c r="F599" s="160"/>
      <c r="G599" s="160"/>
      <c r="H599" s="161"/>
      <c r="I599" s="161"/>
      <c r="J599" s="161"/>
      <c r="P599" s="153"/>
    </row>
    <row r="600" spans="1:16" x14ac:dyDescent="0.2">
      <c r="A600" s="140" t="s">
        <v>229</v>
      </c>
      <c r="B600" s="140" t="s">
        <v>23</v>
      </c>
      <c r="C600" s="140" t="s">
        <v>24</v>
      </c>
      <c r="D600" s="149" t="s">
        <v>51</v>
      </c>
      <c r="E600" s="139" t="s">
        <v>52</v>
      </c>
      <c r="F600" s="160"/>
      <c r="G600" s="160"/>
      <c r="H600" s="161"/>
      <c r="I600" s="161"/>
      <c r="J600" s="161"/>
      <c r="P600" s="153"/>
    </row>
    <row r="601" spans="1:16" x14ac:dyDescent="0.2">
      <c r="A601" s="140" t="s">
        <v>229</v>
      </c>
      <c r="B601" s="140" t="s">
        <v>23</v>
      </c>
      <c r="C601" s="140" t="s">
        <v>24</v>
      </c>
      <c r="D601" s="149" t="s">
        <v>168</v>
      </c>
      <c r="E601" s="139" t="s">
        <v>169</v>
      </c>
      <c r="F601" s="160"/>
      <c r="G601" s="160"/>
      <c r="H601" s="161"/>
      <c r="I601" s="161"/>
      <c r="J601" s="161"/>
      <c r="P601" s="153"/>
    </row>
    <row r="602" spans="1:16" x14ac:dyDescent="0.2">
      <c r="A602" s="140" t="s">
        <v>229</v>
      </c>
      <c r="B602" s="140" t="s">
        <v>23</v>
      </c>
      <c r="C602" s="140" t="s">
        <v>24</v>
      </c>
      <c r="D602" s="149" t="s">
        <v>170</v>
      </c>
      <c r="E602" s="139" t="s">
        <v>171</v>
      </c>
      <c r="F602" s="160"/>
      <c r="G602" s="160"/>
      <c r="H602" s="161"/>
      <c r="I602" s="161"/>
      <c r="J602" s="161"/>
      <c r="P602" s="153"/>
    </row>
    <row r="603" spans="1:16" x14ac:dyDescent="0.2">
      <c r="A603" s="140" t="s">
        <v>229</v>
      </c>
      <c r="B603" s="140" t="s">
        <v>23</v>
      </c>
      <c r="C603" s="140" t="s">
        <v>24</v>
      </c>
      <c r="D603" s="149" t="s">
        <v>413</v>
      </c>
      <c r="E603" s="139" t="s">
        <v>732</v>
      </c>
      <c r="F603" s="160"/>
      <c r="G603" s="160"/>
      <c r="H603" s="161"/>
      <c r="I603" s="161"/>
      <c r="J603" s="161"/>
      <c r="P603" s="153"/>
    </row>
    <row r="604" spans="1:16" x14ac:dyDescent="0.2">
      <c r="A604" s="140" t="s">
        <v>229</v>
      </c>
      <c r="B604" s="140" t="s">
        <v>23</v>
      </c>
      <c r="C604" s="140" t="s">
        <v>24</v>
      </c>
      <c r="D604" s="149" t="s">
        <v>82</v>
      </c>
      <c r="E604" s="139" t="s">
        <v>83</v>
      </c>
      <c r="F604" s="160"/>
      <c r="G604" s="160"/>
      <c r="H604" s="161"/>
      <c r="I604" s="161"/>
      <c r="J604" s="161"/>
      <c r="P604" s="153"/>
    </row>
    <row r="605" spans="1:16" x14ac:dyDescent="0.2">
      <c r="A605" s="140" t="s">
        <v>229</v>
      </c>
      <c r="B605" s="140" t="s">
        <v>23</v>
      </c>
      <c r="C605" s="140" t="s">
        <v>24</v>
      </c>
      <c r="D605" s="149" t="s">
        <v>84</v>
      </c>
      <c r="E605" s="139" t="s">
        <v>85</v>
      </c>
      <c r="F605" s="160"/>
      <c r="G605" s="160"/>
      <c r="H605" s="161"/>
      <c r="I605" s="161"/>
      <c r="J605" s="161"/>
      <c r="P605" s="153"/>
    </row>
    <row r="606" spans="1:16" x14ac:dyDescent="0.2">
      <c r="A606" s="140" t="s">
        <v>229</v>
      </c>
      <c r="B606" s="140" t="s">
        <v>23</v>
      </c>
      <c r="C606" s="140" t="s">
        <v>24</v>
      </c>
      <c r="D606" s="149" t="s">
        <v>89</v>
      </c>
      <c r="E606" s="139" t="s">
        <v>90</v>
      </c>
      <c r="F606" s="160"/>
      <c r="G606" s="160"/>
      <c r="H606" s="161"/>
      <c r="I606" s="161"/>
      <c r="J606" s="161"/>
      <c r="P606" s="153"/>
    </row>
    <row r="607" spans="1:16" x14ac:dyDescent="0.2">
      <c r="A607" s="140" t="s">
        <v>229</v>
      </c>
      <c r="B607" s="140" t="s">
        <v>23</v>
      </c>
      <c r="C607" s="140" t="s">
        <v>24</v>
      </c>
      <c r="D607" s="149" t="s">
        <v>176</v>
      </c>
      <c r="E607" s="139" t="s">
        <v>177</v>
      </c>
      <c r="F607" s="160"/>
      <c r="G607" s="160"/>
      <c r="H607" s="161"/>
      <c r="I607" s="161"/>
      <c r="J607" s="161"/>
      <c r="P607" s="153"/>
    </row>
    <row r="608" spans="1:16" x14ac:dyDescent="0.2">
      <c r="A608" s="140" t="s">
        <v>229</v>
      </c>
      <c r="B608" s="140" t="s">
        <v>23</v>
      </c>
      <c r="C608" s="140" t="s">
        <v>24</v>
      </c>
      <c r="D608" s="149" t="s">
        <v>93</v>
      </c>
      <c r="E608" s="139" t="s">
        <v>94</v>
      </c>
      <c r="F608" s="160"/>
      <c r="G608" s="160"/>
      <c r="H608" s="161"/>
      <c r="I608" s="161"/>
      <c r="J608" s="161"/>
      <c r="P608" s="153"/>
    </row>
    <row r="609" spans="1:16" x14ac:dyDescent="0.2">
      <c r="A609" s="140" t="s">
        <v>229</v>
      </c>
      <c r="B609" s="140" t="s">
        <v>23</v>
      </c>
      <c r="C609" s="140" t="s">
        <v>24</v>
      </c>
      <c r="D609" s="149" t="s">
        <v>102</v>
      </c>
      <c r="E609" s="139" t="s">
        <v>103</v>
      </c>
      <c r="F609" s="160"/>
      <c r="G609" s="160"/>
      <c r="H609" s="161"/>
      <c r="I609" s="161"/>
      <c r="J609" s="161"/>
      <c r="P609" s="153"/>
    </row>
    <row r="610" spans="1:16" x14ac:dyDescent="0.2">
      <c r="A610" s="140" t="s">
        <v>229</v>
      </c>
      <c r="B610" s="140" t="s">
        <v>23</v>
      </c>
      <c r="C610" s="140" t="s">
        <v>24</v>
      </c>
      <c r="D610" s="149" t="s">
        <v>107</v>
      </c>
      <c r="E610" s="139" t="s">
        <v>108</v>
      </c>
      <c r="F610" s="160"/>
      <c r="G610" s="160"/>
      <c r="H610" s="161"/>
      <c r="I610" s="161"/>
      <c r="J610" s="161"/>
      <c r="P610" s="153"/>
    </row>
    <row r="611" spans="1:16" x14ac:dyDescent="0.2">
      <c r="A611" s="140" t="s">
        <v>229</v>
      </c>
      <c r="B611" s="140" t="s">
        <v>23</v>
      </c>
      <c r="C611" s="140" t="s">
        <v>104</v>
      </c>
      <c r="D611" s="149" t="s">
        <v>105</v>
      </c>
      <c r="E611" s="139" t="s">
        <v>106</v>
      </c>
      <c r="F611" s="160"/>
      <c r="G611" s="160"/>
      <c r="H611" s="161"/>
      <c r="I611" s="161"/>
      <c r="J611" s="161"/>
      <c r="P611" s="153"/>
    </row>
    <row r="612" spans="1:16" x14ac:dyDescent="0.2">
      <c r="A612" s="140" t="s">
        <v>229</v>
      </c>
      <c r="B612" s="140" t="s">
        <v>23</v>
      </c>
      <c r="C612" s="140" t="s">
        <v>104</v>
      </c>
      <c r="D612" s="149" t="s">
        <v>140</v>
      </c>
      <c r="E612" s="139" t="s">
        <v>141</v>
      </c>
      <c r="F612" s="160"/>
      <c r="G612" s="160"/>
      <c r="H612" s="161"/>
      <c r="I612" s="161"/>
      <c r="J612" s="161"/>
      <c r="P612" s="153"/>
    </row>
    <row r="613" spans="1:16" x14ac:dyDescent="0.2">
      <c r="A613" s="140" t="s">
        <v>229</v>
      </c>
      <c r="B613" s="140" t="s">
        <v>23</v>
      </c>
      <c r="C613" s="140" t="s">
        <v>38</v>
      </c>
      <c r="D613" s="149" t="s">
        <v>39</v>
      </c>
      <c r="E613" s="139" t="s">
        <v>40</v>
      </c>
      <c r="F613" s="160"/>
      <c r="G613" s="160"/>
      <c r="H613" s="161"/>
      <c r="I613" s="161"/>
      <c r="J613" s="161"/>
      <c r="P613" s="153"/>
    </row>
    <row r="614" spans="1:16" x14ac:dyDescent="0.2">
      <c r="A614" s="140" t="s">
        <v>229</v>
      </c>
      <c r="B614" s="140" t="s">
        <v>23</v>
      </c>
      <c r="C614" s="140" t="s">
        <v>38</v>
      </c>
      <c r="D614" s="149" t="s">
        <v>53</v>
      </c>
      <c r="E614" s="139" t="s">
        <v>54</v>
      </c>
      <c r="F614" s="160"/>
      <c r="G614" s="160"/>
      <c r="H614" s="161"/>
      <c r="I614" s="161"/>
      <c r="J614" s="161"/>
      <c r="P614" s="153"/>
    </row>
    <row r="615" spans="1:16" x14ac:dyDescent="0.2">
      <c r="A615" s="140" t="s">
        <v>229</v>
      </c>
      <c r="B615" s="140" t="s">
        <v>23</v>
      </c>
      <c r="C615" s="140" t="s">
        <v>38</v>
      </c>
      <c r="D615" s="149" t="s">
        <v>174</v>
      </c>
      <c r="E615" s="139" t="s">
        <v>175</v>
      </c>
      <c r="F615" s="160"/>
      <c r="G615" s="160"/>
      <c r="H615" s="161"/>
      <c r="I615" s="161"/>
      <c r="J615" s="161"/>
      <c r="P615" s="153"/>
    </row>
    <row r="616" spans="1:16" x14ac:dyDescent="0.2">
      <c r="A616" s="140" t="s">
        <v>229</v>
      </c>
      <c r="B616" s="140" t="s">
        <v>23</v>
      </c>
      <c r="C616" s="140" t="s">
        <v>38</v>
      </c>
      <c r="D616" s="149" t="s">
        <v>91</v>
      </c>
      <c r="E616" s="139" t="s">
        <v>92</v>
      </c>
      <c r="F616" s="160"/>
      <c r="G616" s="160"/>
      <c r="H616" s="161"/>
      <c r="I616" s="161"/>
      <c r="J616" s="161"/>
      <c r="P616" s="153"/>
    </row>
    <row r="617" spans="1:16" x14ac:dyDescent="0.2">
      <c r="A617" s="140" t="s">
        <v>229</v>
      </c>
      <c r="B617" s="140" t="s">
        <v>23</v>
      </c>
      <c r="C617" s="140" t="s">
        <v>38</v>
      </c>
      <c r="D617" s="149" t="s">
        <v>95</v>
      </c>
      <c r="E617" s="139" t="s">
        <v>96</v>
      </c>
      <c r="F617" s="160"/>
      <c r="G617" s="160"/>
      <c r="H617" s="161"/>
      <c r="I617" s="161"/>
      <c r="J617" s="161"/>
      <c r="P617" s="153"/>
    </row>
    <row r="618" spans="1:16" x14ac:dyDescent="0.2">
      <c r="A618" s="140" t="s">
        <v>229</v>
      </c>
      <c r="B618" s="140" t="s">
        <v>23</v>
      </c>
      <c r="C618" s="140" t="s">
        <v>38</v>
      </c>
      <c r="D618" s="149" t="s">
        <v>825</v>
      </c>
      <c r="E618" s="139" t="s">
        <v>179</v>
      </c>
      <c r="F618" s="160"/>
      <c r="G618" s="160"/>
      <c r="H618" s="161"/>
      <c r="I618" s="161"/>
      <c r="J618" s="161"/>
      <c r="P618" s="153"/>
    </row>
    <row r="619" spans="1:16" x14ac:dyDescent="0.2">
      <c r="A619" s="140" t="s">
        <v>229</v>
      </c>
      <c r="B619" s="140" t="s">
        <v>23</v>
      </c>
      <c r="C619" s="140" t="s">
        <v>38</v>
      </c>
      <c r="D619" s="149" t="s">
        <v>134</v>
      </c>
      <c r="E619" s="139" t="s">
        <v>135</v>
      </c>
      <c r="F619" s="160"/>
      <c r="G619" s="160"/>
      <c r="H619" s="161"/>
      <c r="I619" s="161"/>
      <c r="J619" s="161"/>
      <c r="P619" s="153"/>
    </row>
    <row r="620" spans="1:16" x14ac:dyDescent="0.2">
      <c r="A620" s="140" t="s">
        <v>229</v>
      </c>
      <c r="B620" s="140" t="s">
        <v>23</v>
      </c>
      <c r="C620" s="140" t="s">
        <v>38</v>
      </c>
      <c r="D620" s="149" t="s">
        <v>138</v>
      </c>
      <c r="E620" s="139" t="s">
        <v>139</v>
      </c>
      <c r="F620" s="160"/>
      <c r="G620" s="160"/>
      <c r="H620" s="161"/>
      <c r="I620" s="161"/>
      <c r="J620" s="161"/>
      <c r="P620" s="153"/>
    </row>
    <row r="621" spans="1:16" x14ac:dyDescent="0.2">
      <c r="A621" s="140" t="s">
        <v>229</v>
      </c>
      <c r="B621" s="140" t="s">
        <v>27</v>
      </c>
      <c r="C621" s="140" t="s">
        <v>66</v>
      </c>
      <c r="D621" s="149" t="s">
        <v>614</v>
      </c>
      <c r="E621" s="139" t="s">
        <v>674</v>
      </c>
      <c r="F621" s="160"/>
      <c r="G621" s="160"/>
      <c r="H621" s="161"/>
      <c r="I621" s="161"/>
      <c r="J621" s="161"/>
      <c r="P621" s="153"/>
    </row>
    <row r="622" spans="1:16" x14ac:dyDescent="0.2">
      <c r="A622" s="140" t="s">
        <v>229</v>
      </c>
      <c r="B622" s="140" t="s">
        <v>27</v>
      </c>
      <c r="C622" s="140" t="s">
        <v>813</v>
      </c>
      <c r="D622" s="149" t="s">
        <v>218</v>
      </c>
      <c r="E622" s="139" t="s">
        <v>219</v>
      </c>
      <c r="F622" s="160"/>
      <c r="G622" s="160"/>
      <c r="H622" s="161"/>
      <c r="I622" s="161"/>
      <c r="J622" s="161"/>
      <c r="P622" s="153"/>
    </row>
    <row r="623" spans="1:16" x14ac:dyDescent="0.2">
      <c r="A623" s="125" t="s">
        <v>229</v>
      </c>
      <c r="B623" s="125" t="s">
        <v>27</v>
      </c>
      <c r="C623" s="125" t="s">
        <v>28</v>
      </c>
      <c r="D623" s="147" t="s">
        <v>817</v>
      </c>
      <c r="E623" s="174" t="s">
        <v>734</v>
      </c>
      <c r="F623" s="160"/>
      <c r="G623" s="160"/>
      <c r="H623" s="161"/>
      <c r="I623" s="161"/>
      <c r="J623" s="161"/>
      <c r="P623" s="153"/>
    </row>
    <row r="624" spans="1:16" x14ac:dyDescent="0.2">
      <c r="A624" s="125" t="s">
        <v>229</v>
      </c>
      <c r="B624" s="125" t="s">
        <v>27</v>
      </c>
      <c r="C624" s="125" t="s">
        <v>28</v>
      </c>
      <c r="D624" s="147" t="s">
        <v>356</v>
      </c>
      <c r="E624" s="174" t="s">
        <v>735</v>
      </c>
      <c r="F624" s="160"/>
      <c r="G624" s="160"/>
      <c r="H624" s="161"/>
      <c r="I624" s="161"/>
      <c r="J624" s="161"/>
      <c r="P624" s="153"/>
    </row>
    <row r="625" spans="1:16" x14ac:dyDescent="0.2">
      <c r="A625" s="125" t="s">
        <v>229</v>
      </c>
      <c r="B625" s="125" t="s">
        <v>27</v>
      </c>
      <c r="C625" s="125" t="s">
        <v>28</v>
      </c>
      <c r="D625" s="147" t="s">
        <v>358</v>
      </c>
      <c r="E625" s="174" t="s">
        <v>736</v>
      </c>
      <c r="F625" s="160"/>
      <c r="G625" s="160"/>
      <c r="H625" s="161"/>
      <c r="I625" s="161"/>
      <c r="J625" s="161"/>
      <c r="P625" s="153"/>
    </row>
    <row r="626" spans="1:16" x14ac:dyDescent="0.2">
      <c r="A626" s="125" t="s">
        <v>229</v>
      </c>
      <c r="B626" s="125" t="s">
        <v>27</v>
      </c>
      <c r="C626" s="125" t="s">
        <v>28</v>
      </c>
      <c r="D626" s="147" t="s">
        <v>29</v>
      </c>
      <c r="E626" s="174" t="s">
        <v>30</v>
      </c>
      <c r="F626" s="160"/>
      <c r="G626" s="160"/>
      <c r="H626" s="161"/>
      <c r="I626" s="161"/>
      <c r="J626" s="161"/>
      <c r="P626" s="153"/>
    </row>
    <row r="627" spans="1:16" x14ac:dyDescent="0.2">
      <c r="A627" s="125" t="s">
        <v>229</v>
      </c>
      <c r="B627" s="125" t="s">
        <v>27</v>
      </c>
      <c r="C627" s="125" t="s">
        <v>28</v>
      </c>
      <c r="D627" s="147" t="s">
        <v>361</v>
      </c>
      <c r="E627" s="174" t="s">
        <v>737</v>
      </c>
      <c r="F627" s="160"/>
      <c r="G627" s="160"/>
      <c r="H627" s="161"/>
      <c r="I627" s="161"/>
      <c r="J627" s="161"/>
      <c r="P627" s="153"/>
    </row>
    <row r="628" spans="1:16" x14ac:dyDescent="0.2">
      <c r="A628" s="125" t="s">
        <v>229</v>
      </c>
      <c r="B628" s="125" t="s">
        <v>27</v>
      </c>
      <c r="C628" s="125" t="s">
        <v>28</v>
      </c>
      <c r="D628" s="147" t="s">
        <v>363</v>
      </c>
      <c r="E628" s="174" t="s">
        <v>738</v>
      </c>
      <c r="F628" s="160"/>
      <c r="G628" s="160"/>
      <c r="H628" s="161"/>
      <c r="I628" s="161"/>
      <c r="J628" s="161"/>
      <c r="P628" s="153"/>
    </row>
    <row r="629" spans="1:16" x14ac:dyDescent="0.2">
      <c r="A629" s="125" t="s">
        <v>229</v>
      </c>
      <c r="B629" s="125" t="s">
        <v>27</v>
      </c>
      <c r="C629" s="125" t="s">
        <v>28</v>
      </c>
      <c r="D629" s="147" t="s">
        <v>816</v>
      </c>
      <c r="E629" s="174" t="s">
        <v>739</v>
      </c>
      <c r="F629" s="160"/>
      <c r="G629" s="160"/>
      <c r="H629" s="161"/>
      <c r="I629" s="161"/>
      <c r="J629" s="161"/>
      <c r="P629" s="153"/>
    </row>
    <row r="630" spans="1:16" x14ac:dyDescent="0.2">
      <c r="A630" s="125" t="s">
        <v>229</v>
      </c>
      <c r="B630" s="125" t="s">
        <v>27</v>
      </c>
      <c r="C630" s="125" t="s">
        <v>28</v>
      </c>
      <c r="D630" s="147" t="s">
        <v>824</v>
      </c>
      <c r="E630" s="174" t="s">
        <v>740</v>
      </c>
      <c r="F630" s="160"/>
      <c r="G630" s="160"/>
      <c r="H630" s="161"/>
      <c r="I630" s="161"/>
      <c r="J630" s="161"/>
      <c r="P630" s="153"/>
    </row>
    <row r="631" spans="1:16" x14ac:dyDescent="0.2">
      <c r="A631" s="125" t="s">
        <v>229</v>
      </c>
      <c r="B631" s="125" t="s">
        <v>27</v>
      </c>
      <c r="C631" s="125" t="s">
        <v>28</v>
      </c>
      <c r="D631" s="147" t="s">
        <v>367</v>
      </c>
      <c r="E631" s="174" t="s">
        <v>741</v>
      </c>
      <c r="F631" s="160"/>
      <c r="G631" s="160"/>
      <c r="H631" s="161"/>
      <c r="I631" s="161"/>
      <c r="J631" s="161"/>
      <c r="P631" s="153"/>
    </row>
    <row r="632" spans="1:16" x14ac:dyDescent="0.2">
      <c r="A632" s="125" t="s">
        <v>229</v>
      </c>
      <c r="B632" s="125" t="s">
        <v>27</v>
      </c>
      <c r="C632" s="125" t="s">
        <v>28</v>
      </c>
      <c r="D632" s="147" t="s">
        <v>232</v>
      </c>
      <c r="E632" s="174" t="s">
        <v>233</v>
      </c>
      <c r="F632" s="160"/>
      <c r="G632" s="160"/>
      <c r="H632" s="161"/>
      <c r="I632" s="161"/>
      <c r="J632" s="161"/>
      <c r="P632" s="153"/>
    </row>
    <row r="633" spans="1:16" x14ac:dyDescent="0.2">
      <c r="A633" s="125" t="s">
        <v>229</v>
      </c>
      <c r="B633" s="125" t="s">
        <v>27</v>
      </c>
      <c r="C633" s="125" t="s">
        <v>28</v>
      </c>
      <c r="D633" s="147" t="s">
        <v>818</v>
      </c>
      <c r="E633" s="174" t="s">
        <v>742</v>
      </c>
      <c r="F633" s="160"/>
      <c r="G633" s="160"/>
      <c r="H633" s="161"/>
      <c r="I633" s="161"/>
      <c r="J633" s="161"/>
      <c r="P633" s="153"/>
    </row>
    <row r="634" spans="1:16" x14ac:dyDescent="0.2">
      <c r="A634" s="125" t="s">
        <v>229</v>
      </c>
      <c r="B634" s="125" t="s">
        <v>27</v>
      </c>
      <c r="C634" s="125" t="s">
        <v>28</v>
      </c>
      <c r="D634" s="147" t="s">
        <v>819</v>
      </c>
      <c r="E634" s="174" t="s">
        <v>743</v>
      </c>
      <c r="F634" s="160"/>
      <c r="G634" s="160"/>
      <c r="H634" s="161"/>
      <c r="I634" s="161"/>
      <c r="J634" s="161"/>
      <c r="P634" s="153"/>
    </row>
    <row r="635" spans="1:16" x14ac:dyDescent="0.2">
      <c r="A635" s="125" t="s">
        <v>229</v>
      </c>
      <c r="B635" s="125" t="s">
        <v>27</v>
      </c>
      <c r="C635" s="125" t="s">
        <v>28</v>
      </c>
      <c r="D635" s="147" t="s">
        <v>820</v>
      </c>
      <c r="E635" s="174" t="s">
        <v>744</v>
      </c>
      <c r="F635" s="160"/>
      <c r="G635" s="160"/>
      <c r="H635" s="161"/>
      <c r="I635" s="161"/>
      <c r="J635" s="161"/>
      <c r="P635" s="153"/>
    </row>
    <row r="636" spans="1:16" x14ac:dyDescent="0.2">
      <c r="A636" s="125" t="s">
        <v>229</v>
      </c>
      <c r="B636" s="125" t="s">
        <v>27</v>
      </c>
      <c r="C636" s="125" t="s">
        <v>28</v>
      </c>
      <c r="D636" s="147" t="s">
        <v>378</v>
      </c>
      <c r="E636" s="174" t="s">
        <v>745</v>
      </c>
      <c r="F636" s="160"/>
      <c r="G636" s="160"/>
      <c r="H636" s="161"/>
      <c r="I636" s="161"/>
      <c r="J636" s="161"/>
      <c r="P636" s="153"/>
    </row>
    <row r="637" spans="1:16" x14ac:dyDescent="0.2">
      <c r="A637" s="125" t="s">
        <v>229</v>
      </c>
      <c r="B637" s="125" t="s">
        <v>27</v>
      </c>
      <c r="C637" s="125" t="s">
        <v>28</v>
      </c>
      <c r="D637" s="147" t="s">
        <v>381</v>
      </c>
      <c r="E637" s="174" t="s">
        <v>97</v>
      </c>
      <c r="F637" s="160"/>
      <c r="G637" s="160"/>
      <c r="H637" s="161"/>
      <c r="I637" s="161"/>
      <c r="J637" s="161"/>
      <c r="P637" s="153"/>
    </row>
    <row r="638" spans="1:16" x14ac:dyDescent="0.2">
      <c r="A638" s="125" t="s">
        <v>229</v>
      </c>
      <c r="B638" s="125" t="s">
        <v>27</v>
      </c>
      <c r="C638" s="125" t="s">
        <v>28</v>
      </c>
      <c r="D638" s="147" t="s">
        <v>109</v>
      </c>
      <c r="E638" s="174" t="s">
        <v>110</v>
      </c>
      <c r="F638" s="160"/>
      <c r="G638" s="160"/>
      <c r="H638" s="161"/>
      <c r="I638" s="161"/>
      <c r="J638" s="161"/>
      <c r="P638" s="153"/>
    </row>
    <row r="639" spans="1:16" x14ac:dyDescent="0.2">
      <c r="A639" s="125" t="s">
        <v>229</v>
      </c>
      <c r="B639" s="125" t="s">
        <v>27</v>
      </c>
      <c r="C639" s="125" t="s">
        <v>28</v>
      </c>
      <c r="D639" s="147" t="s">
        <v>386</v>
      </c>
      <c r="E639" s="174" t="s">
        <v>746</v>
      </c>
      <c r="F639" s="160"/>
      <c r="G639" s="160"/>
      <c r="H639" s="161"/>
      <c r="I639" s="161"/>
      <c r="J639" s="161"/>
      <c r="P639" s="153"/>
    </row>
    <row r="640" spans="1:16" x14ac:dyDescent="0.2">
      <c r="A640" s="125" t="s">
        <v>229</v>
      </c>
      <c r="B640" s="125" t="s">
        <v>27</v>
      </c>
      <c r="C640" s="125" t="s">
        <v>28</v>
      </c>
      <c r="D640" s="147" t="s">
        <v>821</v>
      </c>
      <c r="E640" s="174" t="s">
        <v>747</v>
      </c>
      <c r="F640" s="160"/>
      <c r="G640" s="160"/>
      <c r="H640" s="161"/>
      <c r="I640" s="161"/>
      <c r="J640" s="161"/>
      <c r="P640" s="153"/>
    </row>
    <row r="641" spans="1:16" x14ac:dyDescent="0.2">
      <c r="A641" s="125" t="s">
        <v>229</v>
      </c>
      <c r="B641" s="125" t="s">
        <v>27</v>
      </c>
      <c r="C641" s="125" t="s">
        <v>28</v>
      </c>
      <c r="D641" s="147" t="s">
        <v>391</v>
      </c>
      <c r="E641" s="174" t="s">
        <v>748</v>
      </c>
      <c r="F641" s="160"/>
      <c r="G641" s="160"/>
      <c r="H641" s="161"/>
      <c r="I641" s="161"/>
      <c r="J641" s="161"/>
      <c r="P641" s="153"/>
    </row>
    <row r="642" spans="1:16" x14ac:dyDescent="0.2">
      <c r="A642" s="125" t="s">
        <v>229</v>
      </c>
      <c r="B642" s="125" t="s">
        <v>27</v>
      </c>
      <c r="C642" s="125" t="s">
        <v>28</v>
      </c>
      <c r="D642" s="147" t="s">
        <v>822</v>
      </c>
      <c r="E642" s="174" t="s">
        <v>749</v>
      </c>
      <c r="F642" s="160"/>
      <c r="G642" s="160"/>
      <c r="H642" s="161"/>
      <c r="I642" s="161"/>
      <c r="J642" s="161"/>
      <c r="P642" s="153"/>
    </row>
    <row r="643" spans="1:16" x14ac:dyDescent="0.2">
      <c r="A643" s="125" t="s">
        <v>229</v>
      </c>
      <c r="B643" s="125" t="s">
        <v>27</v>
      </c>
      <c r="C643" s="125" t="s">
        <v>28</v>
      </c>
      <c r="D643" s="147" t="s">
        <v>28</v>
      </c>
      <c r="E643" s="174" t="s">
        <v>130</v>
      </c>
      <c r="F643" s="160"/>
      <c r="G643" s="160"/>
      <c r="H643" s="161"/>
      <c r="I643" s="161"/>
      <c r="J643" s="161"/>
      <c r="P643" s="153"/>
    </row>
    <row r="644" spans="1:16" x14ac:dyDescent="0.2">
      <c r="A644" s="125" t="s">
        <v>229</v>
      </c>
      <c r="B644" s="125" t="s">
        <v>27</v>
      </c>
      <c r="C644" s="125" t="s">
        <v>28</v>
      </c>
      <c r="D644" s="147" t="s">
        <v>397</v>
      </c>
      <c r="E644" s="174" t="s">
        <v>750</v>
      </c>
      <c r="F644" s="160"/>
      <c r="G644" s="160"/>
      <c r="H644" s="161"/>
      <c r="I644" s="161"/>
      <c r="J644" s="161"/>
      <c r="P644" s="153"/>
    </row>
    <row r="645" spans="1:16" x14ac:dyDescent="0.2">
      <c r="A645" s="125" t="s">
        <v>229</v>
      </c>
      <c r="B645" s="125" t="s">
        <v>27</v>
      </c>
      <c r="C645" s="125" t="s">
        <v>28</v>
      </c>
      <c r="D645" s="147" t="s">
        <v>400</v>
      </c>
      <c r="E645" s="174" t="s">
        <v>751</v>
      </c>
      <c r="F645" s="160"/>
      <c r="G645" s="160"/>
      <c r="H645" s="161"/>
      <c r="I645" s="161"/>
      <c r="J645" s="161"/>
      <c r="P645" s="153"/>
    </row>
    <row r="646" spans="1:16" x14ac:dyDescent="0.2">
      <c r="A646" s="125" t="s">
        <v>229</v>
      </c>
      <c r="B646" s="125" t="s">
        <v>27</v>
      </c>
      <c r="C646" s="125" t="s">
        <v>28</v>
      </c>
      <c r="D646" s="172" t="s">
        <v>142</v>
      </c>
      <c r="E646" s="174" t="s">
        <v>143</v>
      </c>
      <c r="F646" s="160"/>
      <c r="G646" s="160"/>
      <c r="H646" s="161"/>
      <c r="I646" s="161"/>
      <c r="J646" s="161"/>
      <c r="P646" s="153"/>
    </row>
    <row r="647" spans="1:16" x14ac:dyDescent="0.2">
      <c r="A647" s="125" t="s">
        <v>229</v>
      </c>
      <c r="B647" s="125" t="s">
        <v>27</v>
      </c>
      <c r="C647" s="125" t="s">
        <v>28</v>
      </c>
      <c r="D647" s="147" t="s">
        <v>823</v>
      </c>
      <c r="E647" s="174" t="s">
        <v>752</v>
      </c>
      <c r="F647" s="160"/>
      <c r="G647" s="160"/>
      <c r="H647" s="161"/>
      <c r="I647" s="161"/>
      <c r="J647" s="161"/>
      <c r="P647" s="153"/>
    </row>
    <row r="648" spans="1:16" x14ac:dyDescent="0.2">
      <c r="A648" s="123" t="s">
        <v>234</v>
      </c>
      <c r="B648" s="124" t="s">
        <v>155</v>
      </c>
      <c r="C648" s="125" t="s">
        <v>66</v>
      </c>
      <c r="D648" s="171" t="s">
        <v>802</v>
      </c>
      <c r="E648" s="174" t="s">
        <v>761</v>
      </c>
      <c r="F648" s="160"/>
      <c r="G648" s="160"/>
      <c r="H648" s="161"/>
      <c r="I648" s="161"/>
      <c r="J648" s="161"/>
      <c r="P648" s="153"/>
    </row>
    <row r="649" spans="1:16" x14ac:dyDescent="0.2">
      <c r="A649" s="123" t="s">
        <v>234</v>
      </c>
      <c r="B649" s="124" t="s">
        <v>155</v>
      </c>
      <c r="C649" s="125" t="s">
        <v>66</v>
      </c>
      <c r="D649" s="171" t="s">
        <v>802</v>
      </c>
      <c r="E649" s="174" t="s">
        <v>763</v>
      </c>
      <c r="F649" s="160"/>
      <c r="G649" s="160"/>
      <c r="H649" s="161"/>
      <c r="I649" s="161"/>
      <c r="J649" s="161"/>
      <c r="P649" s="153"/>
    </row>
    <row r="650" spans="1:16" x14ac:dyDescent="0.2">
      <c r="A650" s="123" t="s">
        <v>234</v>
      </c>
      <c r="B650" s="124" t="s">
        <v>155</v>
      </c>
      <c r="C650" s="125" t="s">
        <v>66</v>
      </c>
      <c r="D650" s="167" t="s">
        <v>186</v>
      </c>
      <c r="E650" s="174" t="s">
        <v>187</v>
      </c>
      <c r="F650" s="160"/>
      <c r="G650" s="160"/>
      <c r="H650" s="161"/>
      <c r="I650" s="161"/>
      <c r="J650" s="161"/>
      <c r="P650" s="153"/>
    </row>
    <row r="651" spans="1:16" x14ac:dyDescent="0.2">
      <c r="A651" s="123" t="s">
        <v>234</v>
      </c>
      <c r="B651" s="124" t="s">
        <v>155</v>
      </c>
      <c r="C651" s="125" t="s">
        <v>66</v>
      </c>
      <c r="D651" s="147" t="s">
        <v>159</v>
      </c>
      <c r="E651" s="174" t="s">
        <v>160</v>
      </c>
      <c r="F651" s="160"/>
      <c r="G651" s="160"/>
      <c r="H651" s="161"/>
      <c r="I651" s="161"/>
      <c r="J651" s="161"/>
      <c r="P651" s="153"/>
    </row>
    <row r="652" spans="1:16" x14ac:dyDescent="0.2">
      <c r="A652" s="123" t="s">
        <v>234</v>
      </c>
      <c r="B652" s="124" t="s">
        <v>155</v>
      </c>
      <c r="C652" s="125" t="s">
        <v>66</v>
      </c>
      <c r="D652" s="147" t="s">
        <v>188</v>
      </c>
      <c r="E652" s="174" t="s">
        <v>189</v>
      </c>
      <c r="F652" s="160"/>
      <c r="G652" s="160"/>
      <c r="H652" s="161"/>
      <c r="I652" s="161"/>
      <c r="J652" s="161"/>
      <c r="P652" s="153"/>
    </row>
    <row r="653" spans="1:16" x14ac:dyDescent="0.2">
      <c r="A653" s="123" t="s">
        <v>234</v>
      </c>
      <c r="B653" s="124" t="s">
        <v>155</v>
      </c>
      <c r="C653" s="125" t="s">
        <v>66</v>
      </c>
      <c r="D653" s="147" t="s">
        <v>190</v>
      </c>
      <c r="E653" s="174" t="s">
        <v>191</v>
      </c>
      <c r="F653" s="160"/>
      <c r="G653" s="160"/>
      <c r="H653" s="161"/>
      <c r="I653" s="161"/>
      <c r="J653" s="161"/>
      <c r="P653" s="153"/>
    </row>
    <row r="654" spans="1:16" x14ac:dyDescent="0.2">
      <c r="A654" s="123" t="s">
        <v>234</v>
      </c>
      <c r="B654" s="124" t="s">
        <v>155</v>
      </c>
      <c r="C654" s="125" t="s">
        <v>66</v>
      </c>
      <c r="D654" s="147" t="s">
        <v>192</v>
      </c>
      <c r="E654" s="174" t="s">
        <v>193</v>
      </c>
      <c r="F654" s="160"/>
      <c r="G654" s="160"/>
      <c r="H654" s="161"/>
      <c r="I654" s="161"/>
      <c r="J654" s="161"/>
      <c r="P654" s="153"/>
    </row>
    <row r="655" spans="1:16" x14ac:dyDescent="0.2">
      <c r="A655" s="123" t="s">
        <v>234</v>
      </c>
      <c r="B655" s="124" t="s">
        <v>155</v>
      </c>
      <c r="C655" s="125" t="s">
        <v>66</v>
      </c>
      <c r="D655" s="147" t="s">
        <v>194</v>
      </c>
      <c r="E655" s="174" t="s">
        <v>195</v>
      </c>
      <c r="F655" s="160"/>
      <c r="G655" s="160"/>
      <c r="H655" s="161"/>
      <c r="I655" s="161"/>
      <c r="J655" s="161"/>
      <c r="P655" s="153"/>
    </row>
    <row r="656" spans="1:16" x14ac:dyDescent="0.2">
      <c r="A656" s="123" t="s">
        <v>234</v>
      </c>
      <c r="B656" s="124" t="s">
        <v>155</v>
      </c>
      <c r="C656" s="125" t="s">
        <v>66</v>
      </c>
      <c r="D656" s="147" t="s">
        <v>156</v>
      </c>
      <c r="E656" s="174" t="s">
        <v>157</v>
      </c>
      <c r="F656" s="160"/>
      <c r="G656" s="160"/>
      <c r="H656" s="161"/>
      <c r="I656" s="161"/>
      <c r="J656" s="161"/>
      <c r="P656" s="153"/>
    </row>
    <row r="657" spans="1:16" x14ac:dyDescent="0.2">
      <c r="A657" s="123" t="s">
        <v>234</v>
      </c>
      <c r="B657" s="124" t="s">
        <v>155</v>
      </c>
      <c r="C657" s="125" t="s">
        <v>66</v>
      </c>
      <c r="D657" s="147" t="s">
        <v>196</v>
      </c>
      <c r="E657" s="174" t="s">
        <v>197</v>
      </c>
      <c r="F657" s="160"/>
      <c r="G657" s="160"/>
      <c r="H657" s="161"/>
      <c r="I657" s="161"/>
      <c r="J657" s="161"/>
      <c r="P657" s="153"/>
    </row>
    <row r="658" spans="1:16" x14ac:dyDescent="0.2">
      <c r="A658" s="123" t="s">
        <v>235</v>
      </c>
      <c r="B658" s="124" t="s">
        <v>155</v>
      </c>
      <c r="C658" s="125" t="s">
        <v>66</v>
      </c>
      <c r="D658" s="171" t="s">
        <v>194</v>
      </c>
      <c r="E658" s="174" t="s">
        <v>157</v>
      </c>
      <c r="F658" s="160"/>
      <c r="G658" s="160"/>
      <c r="H658" s="161"/>
      <c r="I658" s="161"/>
      <c r="J658" s="161"/>
      <c r="P658" s="153"/>
    </row>
    <row r="659" spans="1:16" x14ac:dyDescent="0.2">
      <c r="A659" s="131" t="s">
        <v>235</v>
      </c>
      <c r="B659" s="126" t="s">
        <v>155</v>
      </c>
      <c r="C659" s="127" t="s">
        <v>66</v>
      </c>
      <c r="D659" s="148" t="s">
        <v>156</v>
      </c>
      <c r="E659" s="175" t="s">
        <v>195</v>
      </c>
      <c r="F659" s="160"/>
      <c r="G659" s="160"/>
      <c r="H659" s="161"/>
      <c r="I659" s="161"/>
      <c r="J659" s="161"/>
      <c r="P659" s="153"/>
    </row>
    <row r="660" spans="1:16" x14ac:dyDescent="0.2">
      <c r="A660" s="140"/>
      <c r="B660" s="140"/>
      <c r="C660" s="140"/>
      <c r="D660" s="149"/>
      <c r="E660" s="139"/>
      <c r="F660" s="160"/>
      <c r="G660" s="160"/>
      <c r="H660" s="161"/>
      <c r="I660" s="161"/>
      <c r="J660" s="161"/>
      <c r="P660" s="153"/>
    </row>
    <row r="661" spans="1:16" ht="15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</row>
    <row r="662" spans="1:16" ht="15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</row>
    <row r="663" spans="1:16" ht="15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</row>
    <row r="664" spans="1:16" ht="15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</row>
    <row r="665" spans="1:16" ht="15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</row>
    <row r="666" spans="1:16" ht="15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</row>
    <row r="667" spans="1:16" ht="15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</row>
    <row r="668" spans="1:16" ht="15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</row>
    <row r="669" spans="1:16" ht="15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</row>
    <row r="670" spans="1:16" ht="15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</row>
    <row r="671" spans="1:16" ht="15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</row>
    <row r="672" spans="1:16" ht="15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</row>
    <row r="673" spans="1:16" ht="15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</row>
    <row r="674" spans="1:16" ht="15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</row>
    <row r="675" spans="1:16" ht="15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</row>
    <row r="676" spans="1:16" ht="15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</row>
    <row r="677" spans="1:16" ht="15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</row>
    <row r="678" spans="1:16" ht="15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</row>
    <row r="679" spans="1:16" ht="15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</row>
    <row r="680" spans="1:16" ht="15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</row>
    <row r="681" spans="1:16" ht="15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</row>
    <row r="682" spans="1:16" ht="15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</row>
    <row r="683" spans="1:16" ht="15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</row>
    <row r="684" spans="1:16" ht="15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</row>
    <row r="685" spans="1:16" ht="15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</row>
    <row r="686" spans="1:16" ht="15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</row>
    <row r="687" spans="1:16" ht="15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</row>
    <row r="688" spans="1:16" ht="15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</row>
    <row r="689" spans="1:16" ht="15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</row>
    <row r="690" spans="1:16" ht="15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</row>
    <row r="691" spans="1:16" ht="15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</row>
    <row r="692" spans="1:16" ht="15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</row>
    <row r="693" spans="1:16" ht="15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</row>
    <row r="694" spans="1:16" ht="15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</row>
    <row r="695" spans="1:16" ht="15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</row>
    <row r="696" spans="1:16" ht="15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</row>
    <row r="697" spans="1:16" ht="15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</row>
    <row r="698" spans="1:16" ht="15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</row>
    <row r="699" spans="1:16" ht="15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</row>
    <row r="700" spans="1:16" ht="15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</row>
    <row r="701" spans="1:16" ht="15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</row>
    <row r="702" spans="1:16" ht="15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</row>
    <row r="703" spans="1:16" ht="15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</row>
    <row r="704" spans="1:16" ht="15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</row>
    <row r="705" spans="1:16" ht="15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</row>
    <row r="706" spans="1:16" ht="15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</row>
    <row r="707" spans="1:16" ht="15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</row>
    <row r="708" spans="1:16" ht="15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</row>
    <row r="709" spans="1:16" ht="15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</row>
    <row r="710" spans="1:16" ht="15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</row>
    <row r="711" spans="1:16" ht="15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</row>
    <row r="712" spans="1:16" ht="15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</row>
    <row r="713" spans="1:16" ht="15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</row>
    <row r="714" spans="1:16" ht="15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</row>
    <row r="715" spans="1:16" ht="15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</row>
    <row r="716" spans="1:16" ht="15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</row>
    <row r="717" spans="1:16" ht="15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</row>
    <row r="718" spans="1:16" ht="15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</row>
    <row r="719" spans="1:16" ht="15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</row>
    <row r="720" spans="1:16" ht="15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</row>
    <row r="721" spans="1:16" ht="15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</row>
    <row r="722" spans="1:16" ht="15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</row>
    <row r="723" spans="1:16" ht="15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</row>
    <row r="724" spans="1:16" ht="15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</row>
    <row r="725" spans="1:16" ht="15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</row>
    <row r="726" spans="1:16" ht="15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</row>
    <row r="727" spans="1:16" ht="15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</row>
    <row r="728" spans="1:16" ht="15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</row>
    <row r="729" spans="1:16" ht="15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</row>
    <row r="730" spans="1:16" ht="15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</row>
    <row r="731" spans="1:16" ht="15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</row>
    <row r="732" spans="1:16" ht="15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</row>
    <row r="733" spans="1:16" ht="15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</row>
    <row r="734" spans="1:16" ht="15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</row>
    <row r="735" spans="1:16" ht="15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</row>
    <row r="736" spans="1:16" ht="15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</row>
    <row r="737" spans="1:16" ht="15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</row>
    <row r="738" spans="1:16" ht="15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</row>
    <row r="739" spans="1:16" ht="15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</row>
    <row r="740" spans="1:16" ht="15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</row>
    <row r="741" spans="1:16" ht="15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</row>
    <row r="742" spans="1:16" ht="15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</row>
    <row r="743" spans="1:16" ht="15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</row>
    <row r="744" spans="1:16" ht="15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</row>
    <row r="745" spans="1:16" ht="15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</row>
    <row r="746" spans="1:16" ht="15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</row>
    <row r="747" spans="1:16" ht="15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</row>
    <row r="748" spans="1:16" ht="15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</row>
    <row r="749" spans="1:16" ht="15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</row>
    <row r="750" spans="1:16" ht="15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</row>
    <row r="751" spans="1:16" ht="15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</row>
    <row r="752" spans="1:16" ht="15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</row>
    <row r="753" spans="1:16" ht="15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</row>
    <row r="754" spans="1:16" ht="15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</row>
    <row r="755" spans="1:16" ht="15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</row>
    <row r="756" spans="1:16" ht="15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</row>
    <row r="757" spans="1:16" ht="15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</row>
    <row r="758" spans="1:16" ht="15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</row>
    <row r="759" spans="1:16" ht="15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</row>
    <row r="760" spans="1:16" ht="15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</row>
    <row r="761" spans="1:16" ht="15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</row>
    <row r="762" spans="1:16" ht="15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</row>
    <row r="763" spans="1:16" ht="15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</row>
    <row r="764" spans="1:16" ht="15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</row>
    <row r="765" spans="1:16" ht="15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</row>
    <row r="766" spans="1:16" ht="15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</row>
    <row r="767" spans="1:16" ht="15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</row>
    <row r="768" spans="1:16" ht="15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</row>
    <row r="769" spans="1:16" ht="15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</row>
    <row r="770" spans="1:16" ht="15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</row>
    <row r="771" spans="1:16" ht="15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</row>
    <row r="772" spans="1:16" ht="15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</row>
    <row r="773" spans="1:16" ht="15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</row>
    <row r="774" spans="1:16" ht="15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</row>
    <row r="775" spans="1:16" ht="15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</row>
    <row r="776" spans="1:16" ht="15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</row>
    <row r="777" spans="1:16" ht="15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</row>
    <row r="778" spans="1:16" ht="15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</row>
    <row r="779" spans="1:16" ht="15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</row>
    <row r="780" spans="1:16" ht="15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</row>
    <row r="781" spans="1:16" ht="15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</row>
    <row r="782" spans="1:16" ht="15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</row>
    <row r="783" spans="1:16" ht="15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</row>
    <row r="784" spans="1:16" ht="15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</row>
    <row r="785" spans="1:16" ht="15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</row>
    <row r="786" spans="1:16" ht="15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</row>
    <row r="787" spans="1:16" ht="15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</row>
    <row r="788" spans="1:16" ht="15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</row>
    <row r="789" spans="1:16" ht="15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</row>
    <row r="790" spans="1:16" ht="15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</row>
    <row r="791" spans="1:16" ht="15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</row>
    <row r="792" spans="1:16" ht="15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</row>
    <row r="793" spans="1:16" ht="15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</row>
    <row r="794" spans="1:16" ht="15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</row>
    <row r="795" spans="1:16" ht="15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</row>
    <row r="796" spans="1:16" ht="15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</row>
    <row r="797" spans="1:16" ht="15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</row>
    <row r="798" spans="1:16" ht="15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</row>
    <row r="799" spans="1:16" ht="15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</row>
    <row r="800" spans="1:16" ht="15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</row>
    <row r="801" spans="1:16" ht="15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</row>
    <row r="802" spans="1:16" ht="15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</row>
    <row r="803" spans="1:16" ht="15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</row>
    <row r="804" spans="1:16" ht="15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</row>
    <row r="805" spans="1:16" ht="15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</row>
    <row r="806" spans="1:16" ht="15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</row>
    <row r="807" spans="1:16" ht="15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</row>
    <row r="808" spans="1:16" ht="15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</row>
    <row r="809" spans="1:16" ht="15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</row>
    <row r="810" spans="1:16" ht="15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</row>
    <row r="811" spans="1:16" ht="15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</row>
    <row r="812" spans="1:16" ht="15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</row>
    <row r="813" spans="1:16" ht="15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</row>
    <row r="814" spans="1:16" ht="15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</row>
    <row r="815" spans="1:16" ht="15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</row>
    <row r="816" spans="1:16" ht="15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</row>
    <row r="817" spans="1:16" ht="15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</row>
    <row r="818" spans="1:16" ht="15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</row>
    <row r="819" spans="1:16" ht="15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</row>
    <row r="820" spans="1:16" ht="15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</row>
    <row r="821" spans="1:16" ht="15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</row>
    <row r="822" spans="1:16" ht="15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</row>
    <row r="823" spans="1:16" ht="15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</row>
    <row r="824" spans="1:16" ht="15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</row>
    <row r="825" spans="1:16" ht="15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</row>
    <row r="826" spans="1:16" ht="15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</row>
    <row r="827" spans="1:16" ht="15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</row>
    <row r="828" spans="1:16" ht="15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</row>
    <row r="829" spans="1:16" ht="15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</row>
    <row r="830" spans="1:16" ht="15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</row>
    <row r="831" spans="1:16" ht="15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</row>
    <row r="832" spans="1:16" ht="15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</row>
    <row r="833" spans="1:16" ht="15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</row>
    <row r="834" spans="1:16" ht="15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</row>
    <row r="835" spans="1:16" ht="15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</row>
    <row r="836" spans="1:16" ht="15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</row>
    <row r="837" spans="1:16" ht="15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</row>
    <row r="838" spans="1:16" ht="15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</row>
    <row r="839" spans="1:16" ht="15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</row>
    <row r="840" spans="1:16" ht="15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</row>
    <row r="841" spans="1:16" ht="15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</row>
    <row r="842" spans="1:16" ht="15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</row>
    <row r="843" spans="1:16" ht="15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</row>
    <row r="844" spans="1:16" ht="15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</row>
    <row r="845" spans="1:16" ht="15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</row>
    <row r="846" spans="1:16" ht="15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</row>
    <row r="847" spans="1:16" ht="15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</row>
    <row r="848" spans="1:16" ht="15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</row>
    <row r="849" spans="1:16" ht="15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</row>
    <row r="850" spans="1:16" ht="15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</row>
    <row r="851" spans="1:16" ht="15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</row>
    <row r="852" spans="1:16" ht="15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</row>
    <row r="853" spans="1:16" ht="15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</row>
    <row r="854" spans="1:16" ht="15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</row>
    <row r="855" spans="1:16" ht="15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</row>
    <row r="856" spans="1:16" ht="15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</row>
    <row r="857" spans="1:16" ht="15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</row>
    <row r="858" spans="1:16" ht="15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</row>
    <row r="859" spans="1:16" ht="15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</row>
    <row r="860" spans="1:16" ht="15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</row>
    <row r="861" spans="1:16" ht="15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</row>
    <row r="862" spans="1:16" ht="15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</row>
    <row r="863" spans="1:16" ht="15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</row>
    <row r="864" spans="1:16" ht="15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</row>
    <row r="865" spans="1:16" ht="15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</row>
    <row r="866" spans="1:16" ht="15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</row>
    <row r="867" spans="1:16" ht="15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</row>
    <row r="868" spans="1:16" ht="15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</row>
    <row r="869" spans="1:16" ht="15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</row>
    <row r="870" spans="1:16" ht="15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</row>
    <row r="871" spans="1:16" ht="15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</row>
    <row r="872" spans="1:16" ht="15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</row>
    <row r="873" spans="1:16" ht="15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</row>
    <row r="874" spans="1:16" ht="15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</row>
    <row r="875" spans="1:16" ht="15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</row>
    <row r="876" spans="1:16" ht="15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</row>
    <row r="877" spans="1:16" ht="15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</row>
    <row r="878" spans="1:16" ht="15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</row>
    <row r="879" spans="1:16" ht="15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</row>
    <row r="880" spans="1:16" ht="15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</row>
    <row r="881" spans="1:16" ht="15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</row>
    <row r="882" spans="1:16" ht="15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</row>
    <row r="883" spans="1:16" ht="15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</row>
    <row r="884" spans="1:16" ht="15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</row>
    <row r="885" spans="1:16" ht="15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</row>
    <row r="886" spans="1:16" ht="15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</row>
    <row r="887" spans="1:16" ht="15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</row>
    <row r="888" spans="1:16" ht="15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</row>
    <row r="889" spans="1:16" ht="15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</row>
    <row r="890" spans="1:16" ht="15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</row>
    <row r="891" spans="1:16" ht="15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</row>
    <row r="892" spans="1:16" ht="15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</row>
    <row r="893" spans="1:16" ht="15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</row>
    <row r="894" spans="1:16" ht="15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</row>
    <row r="895" spans="1:16" ht="15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</row>
    <row r="896" spans="1:16" ht="15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</row>
    <row r="897" spans="1:16" ht="15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</row>
    <row r="898" spans="1:16" ht="15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</row>
    <row r="899" spans="1:16" ht="15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</row>
    <row r="900" spans="1:16" ht="15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</row>
    <row r="901" spans="1:16" ht="15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</row>
    <row r="902" spans="1:16" ht="15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</row>
    <row r="903" spans="1:16" ht="15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</row>
    <row r="904" spans="1:16" ht="15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</row>
    <row r="905" spans="1:16" ht="15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</row>
    <row r="906" spans="1:16" ht="15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</row>
    <row r="907" spans="1:16" ht="15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</row>
    <row r="908" spans="1:16" ht="15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</row>
    <row r="909" spans="1:16" ht="15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</row>
    <row r="910" spans="1:16" ht="15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</row>
    <row r="911" spans="1:16" ht="15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</row>
    <row r="912" spans="1:16" ht="15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</row>
    <row r="913" spans="1:16" ht="15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</row>
    <row r="914" spans="1:16" ht="15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</row>
    <row r="915" spans="1:16" ht="15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</row>
    <row r="916" spans="1:16" ht="15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</row>
    <row r="917" spans="1:16" ht="15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</row>
    <row r="918" spans="1:16" ht="15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</row>
    <row r="919" spans="1:16" ht="15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</row>
    <row r="920" spans="1:16" ht="15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</row>
    <row r="921" spans="1:16" ht="15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</row>
    <row r="922" spans="1:16" ht="15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</row>
    <row r="923" spans="1:16" ht="15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</row>
    <row r="924" spans="1:16" ht="15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</row>
    <row r="925" spans="1:16" ht="15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</row>
    <row r="926" spans="1:16" ht="15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</row>
    <row r="927" spans="1:16" ht="15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</row>
    <row r="928" spans="1:16" ht="15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</row>
    <row r="929" spans="1:16" ht="15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</row>
    <row r="930" spans="1:16" ht="15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</row>
    <row r="931" spans="1:16" ht="15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</row>
    <row r="932" spans="1:16" ht="15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</row>
    <row r="933" spans="1:16" ht="15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</row>
    <row r="934" spans="1:16" ht="15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</row>
    <row r="935" spans="1:16" ht="15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</row>
    <row r="936" spans="1:16" ht="15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</row>
    <row r="937" spans="1:16" ht="15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</row>
    <row r="938" spans="1:16" ht="15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</row>
    <row r="939" spans="1:16" ht="15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</row>
    <row r="940" spans="1:16" ht="15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</row>
    <row r="941" spans="1:16" ht="15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</row>
    <row r="942" spans="1:16" ht="15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</row>
    <row r="943" spans="1:16" ht="15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</row>
    <row r="944" spans="1:16" ht="15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</row>
    <row r="945" spans="1:16" ht="15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</row>
    <row r="946" spans="1:16" ht="15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</row>
    <row r="947" spans="1:16" ht="15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</row>
    <row r="948" spans="1:16" ht="15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</row>
    <row r="949" spans="1:16" ht="15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</row>
    <row r="950" spans="1:16" ht="15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</row>
    <row r="951" spans="1:16" ht="15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</row>
    <row r="952" spans="1:16" ht="15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</row>
    <row r="953" spans="1:16" ht="15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</row>
    <row r="954" spans="1:16" ht="15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</row>
    <row r="955" spans="1:16" ht="15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</row>
    <row r="956" spans="1:16" ht="15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</row>
    <row r="957" spans="1:16" ht="15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</row>
    <row r="958" spans="1:16" ht="15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</row>
    <row r="959" spans="1:16" ht="15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</row>
    <row r="960" spans="1:16" ht="15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</row>
    <row r="961" spans="1:16" ht="15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</row>
    <row r="962" spans="1:16" ht="15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</row>
    <row r="963" spans="1:16" ht="15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</row>
    <row r="964" spans="1:16" ht="15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</row>
    <row r="965" spans="1:16" ht="15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</row>
    <row r="966" spans="1:16" ht="15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</row>
    <row r="967" spans="1:16" ht="15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</row>
    <row r="968" spans="1:16" ht="15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</row>
    <row r="969" spans="1:16" ht="15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</row>
    <row r="970" spans="1:16" ht="15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</row>
    <row r="971" spans="1:16" ht="15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</row>
    <row r="972" spans="1:16" ht="15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</row>
    <row r="973" spans="1:16" ht="15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</row>
    <row r="974" spans="1:16" ht="15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</row>
    <row r="975" spans="1:16" ht="15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</row>
    <row r="976" spans="1:16" ht="15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</row>
    <row r="977" spans="1:16" ht="15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</row>
    <row r="978" spans="1:16" ht="15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</row>
    <row r="979" spans="1:16" ht="15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</row>
    <row r="980" spans="1:16" ht="15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</row>
    <row r="981" spans="1:16" ht="15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</row>
    <row r="982" spans="1:16" ht="15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</row>
    <row r="983" spans="1:16" ht="15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</row>
    <row r="984" spans="1:16" ht="15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</row>
    <row r="985" spans="1:16" ht="15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</row>
    <row r="986" spans="1:16" ht="15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</row>
    <row r="987" spans="1:16" ht="15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</row>
    <row r="988" spans="1:16" ht="15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</row>
    <row r="989" spans="1:16" ht="15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</row>
    <row r="990" spans="1:16" ht="15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</row>
    <row r="991" spans="1:16" ht="15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</row>
    <row r="992" spans="1:16" ht="15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</row>
    <row r="993" spans="1:16" ht="15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</row>
    <row r="994" spans="1:16" ht="15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</row>
    <row r="995" spans="1:16" ht="15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</row>
    <row r="996" spans="1:16" ht="15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</row>
    <row r="997" spans="1:16" ht="15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</row>
    <row r="998" spans="1:16" ht="15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</row>
    <row r="999" spans="1:16" ht="15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</row>
    <row r="1000" spans="1:16" ht="15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</row>
    <row r="1001" spans="1:16" ht="15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</row>
    <row r="1002" spans="1:16" ht="15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</row>
    <row r="1003" spans="1:16" ht="15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</row>
    <row r="1004" spans="1:16" ht="15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</row>
    <row r="1005" spans="1:16" ht="15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</row>
    <row r="1006" spans="1:16" ht="15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</row>
    <row r="1007" spans="1:16" ht="15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</row>
    <row r="1008" spans="1:16" ht="15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</row>
    <row r="1009" spans="1:16" ht="15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</row>
    <row r="1010" spans="1:16" ht="15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</row>
    <row r="1011" spans="1:16" ht="15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</row>
    <row r="1012" spans="1:16" ht="15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</row>
    <row r="1013" spans="1:16" ht="15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</row>
    <row r="1014" spans="1:16" ht="15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</row>
    <row r="1015" spans="1:16" ht="15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</row>
    <row r="1016" spans="1:16" ht="15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</row>
    <row r="1017" spans="1:16" ht="15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</row>
    <row r="1018" spans="1:16" ht="15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</row>
    <row r="1019" spans="1:16" ht="15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</row>
    <row r="1020" spans="1:16" ht="15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</row>
    <row r="1021" spans="1:16" ht="15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</row>
    <row r="1022" spans="1:16" ht="15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</row>
    <row r="1023" spans="1:16" ht="15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</row>
    <row r="1024" spans="1:16" ht="15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</row>
    <row r="1025" spans="1:16" ht="15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</row>
    <row r="1026" spans="1:16" ht="15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</row>
    <row r="1027" spans="1:16" ht="15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</row>
    <row r="1028" spans="1:16" ht="15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</row>
    <row r="1029" spans="1:16" ht="15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</row>
    <row r="1030" spans="1:16" ht="15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</row>
    <row r="1031" spans="1:16" ht="15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</row>
    <row r="1032" spans="1:16" ht="15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</row>
    <row r="1033" spans="1:16" ht="15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</row>
    <row r="1034" spans="1:16" ht="15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</row>
    <row r="1035" spans="1:16" ht="15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</row>
    <row r="1036" spans="1:16" ht="15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</row>
    <row r="1037" spans="1:16" ht="15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</row>
    <row r="1038" spans="1:16" ht="15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</row>
    <row r="1039" spans="1:16" ht="15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</row>
    <row r="1040" spans="1:16" ht="15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</row>
    <row r="1041" spans="1:16" ht="15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</row>
    <row r="1042" spans="1:16" ht="15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</row>
    <row r="1043" spans="1:16" ht="15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</row>
    <row r="1044" spans="1:16" ht="15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</row>
    <row r="1045" spans="1:16" ht="15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</row>
    <row r="1046" spans="1:16" ht="15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</row>
    <row r="1047" spans="1:16" ht="15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</row>
    <row r="1048" spans="1:16" ht="15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</row>
    <row r="1049" spans="1:16" ht="15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</row>
    <row r="1050" spans="1:16" ht="15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</row>
    <row r="1051" spans="1:16" ht="15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</row>
    <row r="1052" spans="1:16" ht="15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</row>
    <row r="1053" spans="1:16" ht="15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</row>
    <row r="1054" spans="1:16" ht="15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</row>
    <row r="1055" spans="1:16" ht="15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</row>
    <row r="1056" spans="1:16" ht="15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</row>
    <row r="1057" spans="1:16" ht="15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</row>
    <row r="1058" spans="1:16" ht="15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</row>
    <row r="1059" spans="1:16" ht="15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</row>
    <row r="1060" spans="1:16" ht="15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</row>
    <row r="1061" spans="1:16" ht="15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</row>
    <row r="1062" spans="1:16" ht="15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</row>
    <row r="1063" spans="1:16" ht="15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</row>
    <row r="1064" spans="1:16" ht="15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</row>
    <row r="1065" spans="1:16" ht="15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</row>
    <row r="1066" spans="1:16" ht="15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</row>
    <row r="1067" spans="1:16" ht="15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</row>
    <row r="1068" spans="1:16" ht="15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</row>
    <row r="1069" spans="1:16" ht="15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</row>
    <row r="1070" spans="1:16" ht="15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</row>
    <row r="1071" spans="1:16" ht="15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</row>
    <row r="1072" spans="1:16" ht="15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</row>
    <row r="1073" spans="1:16" ht="15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</row>
    <row r="1074" spans="1:16" ht="15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</row>
    <row r="1075" spans="1:16" ht="15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</row>
    <row r="1076" spans="1:16" ht="15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</row>
    <row r="1077" spans="1:16" ht="15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</row>
    <row r="1078" spans="1:16" ht="15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</row>
    <row r="1079" spans="1:16" ht="15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</row>
    <row r="1080" spans="1:16" ht="15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</row>
    <row r="1081" spans="1:16" ht="15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</row>
    <row r="1082" spans="1:16" ht="15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</row>
    <row r="1083" spans="1:16" ht="15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</row>
    <row r="1084" spans="1:16" ht="15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</row>
    <row r="1085" spans="1:16" ht="15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</row>
    <row r="1086" spans="1:16" ht="15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</row>
    <row r="1087" spans="1:16" ht="15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</row>
    <row r="1088" spans="1:16" ht="15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</row>
    <row r="1089" spans="1:16" ht="15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</row>
    <row r="1090" spans="1:16" ht="15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</row>
    <row r="1091" spans="1:16" ht="15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</row>
    <row r="1092" spans="1:16" ht="15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</row>
    <row r="1093" spans="1:16" ht="15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</row>
    <row r="1094" spans="1:16" ht="15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</row>
    <row r="1095" spans="1:16" ht="15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</row>
    <row r="1096" spans="1:16" ht="15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</row>
    <row r="1097" spans="1:16" ht="15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</row>
    <row r="1098" spans="1:16" ht="15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</row>
    <row r="1099" spans="1:16" ht="15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</row>
    <row r="1100" spans="1:16" ht="15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</row>
    <row r="1101" spans="1:16" ht="15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</row>
    <row r="1102" spans="1:16" ht="15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</row>
    <row r="1103" spans="1:16" ht="15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</row>
    <row r="1104" spans="1:16" ht="15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</row>
    <row r="1105" spans="1:16" ht="15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</row>
    <row r="1106" spans="1:16" ht="15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</row>
    <row r="1107" spans="1:16" ht="15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</row>
    <row r="1108" spans="1:16" ht="15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</row>
    <row r="1109" spans="1:16" ht="15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</row>
    <row r="1110" spans="1:16" ht="15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</row>
    <row r="1111" spans="1:16" ht="15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</row>
    <row r="1112" spans="1:16" ht="15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</row>
    <row r="1113" spans="1:16" ht="15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</row>
    <row r="1114" spans="1:16" ht="15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</row>
    <row r="1115" spans="1:16" ht="15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</row>
    <row r="1116" spans="1:16" ht="15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</row>
    <row r="1117" spans="1:16" ht="15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</row>
    <row r="1118" spans="1:16" ht="15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</row>
    <row r="1119" spans="1:16" ht="15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</row>
    <row r="1120" spans="1:16" ht="15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</row>
    <row r="1121" spans="1:16" ht="15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</row>
    <row r="1122" spans="1:16" ht="15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</row>
    <row r="1123" spans="1:16" ht="15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</row>
    <row r="1124" spans="1:16" ht="15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</row>
    <row r="1125" spans="1:16" ht="15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</row>
    <row r="1126" spans="1:16" ht="15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</row>
    <row r="1127" spans="1:16" ht="15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</row>
    <row r="1128" spans="1:16" ht="15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</row>
    <row r="1129" spans="1:16" ht="15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</row>
    <row r="1130" spans="1:16" ht="15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</row>
    <row r="1131" spans="1:16" ht="15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</row>
    <row r="1132" spans="1:16" ht="15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</row>
    <row r="1133" spans="1:16" ht="15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</row>
    <row r="1134" spans="1:16" ht="15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</row>
    <row r="1135" spans="1:16" ht="15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</row>
    <row r="1136" spans="1:16" ht="15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</row>
    <row r="1137" spans="1:16" ht="15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</row>
    <row r="1138" spans="1:16" ht="15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</row>
    <row r="1139" spans="1:16" ht="15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</row>
    <row r="1140" spans="1:16" ht="15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</row>
    <row r="1141" spans="1:16" ht="15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</row>
    <row r="1142" spans="1:16" ht="15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</row>
    <row r="1143" spans="1:16" ht="15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</row>
    <row r="1144" spans="1:16" ht="15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</row>
    <row r="1145" spans="1:16" ht="15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</row>
    <row r="1146" spans="1:16" ht="15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</row>
    <row r="1147" spans="1:16" ht="15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</row>
    <row r="1148" spans="1:16" ht="15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</row>
    <row r="1149" spans="1:16" ht="15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</row>
    <row r="1150" spans="1:16" ht="15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</row>
    <row r="1151" spans="1:16" ht="15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</row>
    <row r="1152" spans="1:16" ht="15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</row>
    <row r="1153" spans="1:16" ht="15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</row>
    <row r="1154" spans="1:16" ht="15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</row>
    <row r="1155" spans="1:16" ht="15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</row>
    <row r="1156" spans="1:16" ht="15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</row>
    <row r="1157" spans="1:16" ht="15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</row>
    <row r="1158" spans="1:16" ht="15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</row>
    <row r="1159" spans="1:16" ht="15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</row>
    <row r="1160" spans="1:16" ht="15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</row>
    <row r="1161" spans="1:16" ht="15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</row>
    <row r="1162" spans="1:16" ht="15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</row>
    <row r="1163" spans="1:16" ht="15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</row>
    <row r="1164" spans="1:16" ht="15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</row>
    <row r="1165" spans="1:16" ht="15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</row>
    <row r="1166" spans="1:16" ht="15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</row>
    <row r="1167" spans="1:16" ht="15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</row>
    <row r="1168" spans="1:16" ht="15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</row>
    <row r="1169" spans="1:16" ht="15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</row>
    <row r="1170" spans="1:16" ht="15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</row>
    <row r="1171" spans="1:16" ht="15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</row>
    <row r="1172" spans="1:16" ht="15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</row>
    <row r="1173" spans="1:16" ht="15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</row>
    <row r="1174" spans="1:16" ht="15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</row>
    <row r="1175" spans="1:16" ht="15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</row>
    <row r="1176" spans="1:16" ht="15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</row>
    <row r="1177" spans="1:16" ht="15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</row>
    <row r="1178" spans="1:16" ht="15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</row>
    <row r="1179" spans="1:16" ht="15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</row>
    <row r="1180" spans="1:16" ht="15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</row>
    <row r="1181" spans="1:16" ht="15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</row>
    <row r="1182" spans="1:16" ht="15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</row>
    <row r="1183" spans="1:16" ht="15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</row>
    <row r="1184" spans="1:16" ht="15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</row>
    <row r="1185" spans="1:16" ht="15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</row>
    <row r="1186" spans="1:16" ht="15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</row>
    <row r="1187" spans="1:16" ht="15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</row>
    <row r="1188" spans="1:16" ht="15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</row>
    <row r="1189" spans="1:16" ht="15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</row>
    <row r="1190" spans="1:16" ht="15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</row>
    <row r="1191" spans="1:16" ht="15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</row>
    <row r="1192" spans="1:16" ht="15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</row>
    <row r="1193" spans="1:16" ht="15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</row>
    <row r="1194" spans="1:16" ht="15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</row>
    <row r="1195" spans="1:16" ht="15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</row>
    <row r="1196" spans="1:16" ht="15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</row>
    <row r="1197" spans="1:16" ht="15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</row>
    <row r="1198" spans="1:16" ht="15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</row>
    <row r="1199" spans="1:16" ht="15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</row>
    <row r="1200" spans="1:16" ht="15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</row>
    <row r="1201" spans="1:16" ht="15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</row>
    <row r="1202" spans="1:16" ht="15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</row>
    <row r="1203" spans="1:16" ht="15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</row>
    <row r="1204" spans="1:16" ht="15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</row>
    <row r="1205" spans="1:16" ht="15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</row>
    <row r="1206" spans="1:16" ht="15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</row>
    <row r="1207" spans="1:16" ht="15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</row>
    <row r="1208" spans="1:16" ht="15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</row>
    <row r="1209" spans="1:16" ht="15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</row>
    <row r="1210" spans="1:16" ht="15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</row>
    <row r="1211" spans="1:16" ht="15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</row>
    <row r="1212" spans="1:16" ht="15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</row>
    <row r="1213" spans="1:16" ht="15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</row>
    <row r="1214" spans="1:16" ht="15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</row>
    <row r="1215" spans="1:16" ht="15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</row>
    <row r="1216" spans="1:16" ht="15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</row>
    <row r="1217" spans="1:16" ht="15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</row>
    <row r="1218" spans="1:16" ht="15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</row>
    <row r="1219" spans="1:16" ht="15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</row>
    <row r="1220" spans="1:16" ht="15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</row>
    <row r="1221" spans="1:16" ht="15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</row>
    <row r="1222" spans="1:16" ht="15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</row>
    <row r="1223" spans="1:16" ht="15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</row>
    <row r="1224" spans="1:16" ht="15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</row>
    <row r="1225" spans="1:16" ht="15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</row>
    <row r="1226" spans="1:16" ht="15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</row>
    <row r="1227" spans="1:16" ht="15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</row>
    <row r="1228" spans="1:16" ht="15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</row>
    <row r="1229" spans="1:16" ht="15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</row>
    <row r="1230" spans="1:16" ht="15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</row>
    <row r="1231" spans="1:16" ht="15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</row>
    <row r="1232" spans="1:16" ht="15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</row>
    <row r="1233" spans="1:16" ht="15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</row>
    <row r="1234" spans="1:16" ht="15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</row>
    <row r="1235" spans="1:16" ht="15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</row>
    <row r="1236" spans="1:16" ht="15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</row>
    <row r="1237" spans="1:16" ht="15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</row>
    <row r="1238" spans="1:16" ht="15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</row>
    <row r="1239" spans="1:16" ht="15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</row>
    <row r="1240" spans="1:16" ht="15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</row>
    <row r="1241" spans="1:16" ht="15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</row>
    <row r="1242" spans="1:16" ht="15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</row>
    <row r="1243" spans="1:16" ht="15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</row>
    <row r="1244" spans="1:16" ht="15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</row>
    <row r="1245" spans="1:16" ht="15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</row>
    <row r="1246" spans="1:16" ht="15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</row>
    <row r="1247" spans="1:16" ht="15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</row>
    <row r="1248" spans="1:16" ht="15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</row>
    <row r="1249" spans="1:16" ht="15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</row>
    <row r="1250" spans="1:16" ht="15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</row>
    <row r="1251" spans="1:16" ht="15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</row>
    <row r="1252" spans="1:16" ht="15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</row>
    <row r="1253" spans="1:16" ht="15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</row>
    <row r="1254" spans="1:16" ht="15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</row>
    <row r="1255" spans="1:16" ht="15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</row>
    <row r="1256" spans="1:16" ht="15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</row>
    <row r="1257" spans="1:16" ht="15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</row>
    <row r="1258" spans="1:16" ht="15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</row>
    <row r="1259" spans="1:16" ht="15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</row>
    <row r="1260" spans="1:16" ht="15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</row>
    <row r="1261" spans="1:16" ht="15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</row>
    <row r="1262" spans="1:16" ht="15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</row>
    <row r="1263" spans="1:16" ht="15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</row>
    <row r="1264" spans="1:16" ht="15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</row>
    <row r="1265" spans="1:16" ht="15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</row>
  </sheetData>
  <pageMargins left="0.7" right="0.7" top="0.75" bottom="0.75" header="0.3" footer="0.3"/>
  <pageSetup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>
    <tabColor rgb="FFFFCC99"/>
  </sheetPr>
  <dimension ref="A1:AE669"/>
  <sheetViews>
    <sheetView topLeftCell="A12" zoomScaleNormal="100" workbookViewId="0">
      <selection activeCell="E12" sqref="E12"/>
    </sheetView>
  </sheetViews>
  <sheetFormatPr baseColWidth="10" defaultRowHeight="15" x14ac:dyDescent="0.25"/>
  <cols>
    <col min="1" max="1" width="25.42578125" bestFit="1" customWidth="1"/>
    <col min="2" max="2" width="10.42578125" bestFit="1" customWidth="1"/>
    <col min="3" max="3" width="17.85546875" bestFit="1" customWidth="1"/>
    <col min="4" max="4" width="23.85546875" bestFit="1" customWidth="1"/>
    <col min="5" max="5" width="22.140625" bestFit="1" customWidth="1"/>
    <col min="6" max="6" width="23" bestFit="1" customWidth="1"/>
    <col min="7" max="7" width="11.5703125" bestFit="1" customWidth="1"/>
    <col min="8" max="8" width="12.28515625" bestFit="1" customWidth="1"/>
    <col min="9" max="9" width="11.85546875" bestFit="1" customWidth="1"/>
    <col min="10" max="10" width="12.5703125" bestFit="1" customWidth="1"/>
    <col min="11" max="11" width="11.85546875" bestFit="1" customWidth="1"/>
    <col min="12" max="12" width="12.85546875" bestFit="1" customWidth="1"/>
    <col min="13" max="13" width="11.7109375" bestFit="1" customWidth="1"/>
    <col min="14" max="14" width="11.28515625" bestFit="1" customWidth="1"/>
    <col min="15" max="15" width="21.28515625" bestFit="1" customWidth="1"/>
    <col min="16" max="16" width="12.7109375" bestFit="1" customWidth="1"/>
    <col min="17" max="17" width="11.7109375" bestFit="1" customWidth="1"/>
    <col min="18" max="18" width="12.28515625" bestFit="1" customWidth="1"/>
    <col min="19" max="19" width="11.5703125" bestFit="1" customWidth="1"/>
    <col min="20" max="20" width="12.28515625" bestFit="1" customWidth="1"/>
    <col min="21" max="21" width="11.85546875" bestFit="1" customWidth="1"/>
    <col min="22" max="22" width="12.5703125" bestFit="1" customWidth="1"/>
    <col min="23" max="23" width="11.85546875" bestFit="1" customWidth="1"/>
    <col min="24" max="24" width="12.85546875" bestFit="1" customWidth="1"/>
    <col min="25" max="25" width="11.140625" bestFit="1" customWidth="1"/>
    <col min="26" max="26" width="10.5703125" bestFit="1" customWidth="1"/>
    <col min="27" max="27" width="11.42578125" bestFit="1" customWidth="1"/>
    <col min="28" max="28" width="12.140625" bestFit="1" customWidth="1"/>
    <col min="29" max="29" width="11" bestFit="1" customWidth="1"/>
    <col min="30" max="30" width="11.5703125" bestFit="1" customWidth="1"/>
    <col min="31" max="31" width="10.85546875" bestFit="1" customWidth="1"/>
  </cols>
  <sheetData>
    <row r="1" spans="1:31" x14ac:dyDescent="0.25">
      <c r="B1" s="180" t="s">
        <v>764</v>
      </c>
      <c r="C1" s="180"/>
    </row>
    <row r="2" spans="1:31" ht="15.75" thickBot="1" x14ac:dyDescent="0.3">
      <c r="A2" s="55" t="s">
        <v>2</v>
      </c>
      <c r="B2" s="55">
        <v>2024</v>
      </c>
      <c r="C2" s="55">
        <v>2025</v>
      </c>
      <c r="G2" s="176">
        <v>0.48839999999999995</v>
      </c>
      <c r="H2" s="177"/>
      <c r="I2" s="177"/>
      <c r="J2" s="177"/>
      <c r="K2" s="177"/>
      <c r="L2" s="177"/>
      <c r="M2" s="177"/>
      <c r="N2" s="177"/>
      <c r="O2" s="178" t="s">
        <v>767</v>
      </c>
      <c r="P2" s="70"/>
      <c r="Q2" s="70"/>
      <c r="R2" s="57" cm="1">
        <f t="array" ref="R2">PRODUCT(1+S3:T3)-1</f>
        <v>0.21999999999999997</v>
      </c>
      <c r="S2" s="57">
        <v>0.21999999999999997</v>
      </c>
      <c r="T2" t="s">
        <v>797</v>
      </c>
    </row>
    <row r="3" spans="1:31" x14ac:dyDescent="0.25">
      <c r="A3" s="63" t="s">
        <v>19</v>
      </c>
      <c r="G3" s="75">
        <v>0</v>
      </c>
      <c r="H3" s="64" t="s">
        <v>768</v>
      </c>
      <c r="I3" s="64" t="s">
        <v>769</v>
      </c>
      <c r="J3" s="64" t="s">
        <v>770</v>
      </c>
      <c r="K3" s="64" t="s">
        <v>771</v>
      </c>
      <c r="L3" s="64" t="s">
        <v>772</v>
      </c>
      <c r="M3" s="64" t="s">
        <v>773</v>
      </c>
      <c r="N3" s="65" t="s">
        <v>774</v>
      </c>
      <c r="O3" s="179"/>
      <c r="R3" s="71"/>
      <c r="S3" s="56"/>
      <c r="T3" s="56">
        <v>0.22</v>
      </c>
    </row>
    <row r="4" spans="1:31" x14ac:dyDescent="0.25">
      <c r="A4" s="63" t="s">
        <v>154</v>
      </c>
      <c r="G4" s="66">
        <v>1.1612856797615829</v>
      </c>
      <c r="H4" s="66">
        <v>2.4E-2</v>
      </c>
      <c r="I4" s="66">
        <v>3.6999999999999998E-2</v>
      </c>
      <c r="J4" s="66">
        <v>2.8000000000000001E-2</v>
      </c>
      <c r="K4" s="66">
        <v>1.4999999999999999E-2</v>
      </c>
      <c r="L4" s="66">
        <v>1.6E-2</v>
      </c>
      <c r="M4" s="66">
        <v>1.9E-2</v>
      </c>
      <c r="N4" s="67"/>
      <c r="O4" s="68">
        <f>(G4+1)*(H4+1)*(I4+1)*(J4+1)*(K4+1)*(L4+1)*(M4+1)-1</f>
        <v>1.4792363900400471</v>
      </c>
      <c r="P4" s="72"/>
      <c r="Q4" s="72"/>
      <c r="R4" s="58">
        <v>82.24</v>
      </c>
      <c r="S4" s="74">
        <v>1.5047075340600022</v>
      </c>
      <c r="T4" s="58">
        <f>S4+S4*T3</f>
        <v>1.8357431915532028</v>
      </c>
    </row>
    <row r="5" spans="1:31" x14ac:dyDescent="0.25">
      <c r="A5" s="63" t="s">
        <v>158</v>
      </c>
      <c r="G5" s="176">
        <v>0</v>
      </c>
      <c r="H5" s="177"/>
      <c r="I5" s="177"/>
      <c r="J5" s="177"/>
      <c r="K5" s="177"/>
      <c r="L5" s="177"/>
      <c r="M5" s="177"/>
      <c r="N5" s="177"/>
      <c r="O5" s="178" t="s">
        <v>767</v>
      </c>
      <c r="P5" s="71"/>
      <c r="Q5" s="71"/>
      <c r="R5" s="71"/>
      <c r="T5" s="69">
        <f>R4+R4*R2</f>
        <v>100.33279999999999</v>
      </c>
    </row>
    <row r="6" spans="1:31" x14ac:dyDescent="0.25">
      <c r="A6" s="63" t="s">
        <v>161</v>
      </c>
      <c r="G6" s="75">
        <v>0</v>
      </c>
      <c r="H6" s="64" t="s">
        <v>768</v>
      </c>
      <c r="I6" s="64" t="s">
        <v>769</v>
      </c>
      <c r="J6" s="64" t="s">
        <v>770</v>
      </c>
      <c r="K6" s="64" t="s">
        <v>771</v>
      </c>
      <c r="L6" s="64" t="s">
        <v>772</v>
      </c>
      <c r="M6" s="64" t="s">
        <v>773</v>
      </c>
      <c r="N6" s="65" t="s">
        <v>774</v>
      </c>
      <c r="O6" s="179"/>
      <c r="P6" s="73"/>
      <c r="Q6" s="73"/>
      <c r="S6" s="71"/>
    </row>
    <row r="7" spans="1:31" x14ac:dyDescent="0.25">
      <c r="A7" s="63" t="s">
        <v>182</v>
      </c>
      <c r="G7" s="66">
        <v>0.64874266960899973</v>
      </c>
      <c r="H7" s="66">
        <v>1.6199999999999999E-2</v>
      </c>
      <c r="I7" s="66">
        <v>1.9199999999999998E-2</v>
      </c>
      <c r="J7" s="66">
        <v>3.7699999999999997E-2</v>
      </c>
      <c r="K7" s="66">
        <v>8.0999999999999996E-3</v>
      </c>
      <c r="L7" s="66">
        <v>2.5600000000000001E-2</v>
      </c>
      <c r="M7" s="66">
        <v>4.0300000000000002E-2</v>
      </c>
      <c r="N7" s="67"/>
      <c r="O7" s="68">
        <f>(G7+1)*(H7+1)*(I7+1)*(J7+1)*(K7+1)*(L7+1)*(M7+1)-1</f>
        <v>0.90591498815319937</v>
      </c>
      <c r="P7" s="71"/>
      <c r="Q7" s="71"/>
      <c r="S7" s="57">
        <v>0.40887679272099886</v>
      </c>
    </row>
    <row r="8" spans="1:31" x14ac:dyDescent="0.25">
      <c r="A8" s="63" t="s">
        <v>229</v>
      </c>
      <c r="B8" s="59"/>
      <c r="C8" s="59"/>
      <c r="G8" s="57">
        <v>0</v>
      </c>
    </row>
    <row r="9" spans="1:31" x14ac:dyDescent="0.25">
      <c r="A9" s="63" t="s">
        <v>234</v>
      </c>
      <c r="B9" s="59"/>
      <c r="C9" s="59"/>
      <c r="G9" s="57">
        <v>0</v>
      </c>
    </row>
    <row r="10" spans="1:31" x14ac:dyDescent="0.25">
      <c r="A10" s="63" t="s">
        <v>235</v>
      </c>
      <c r="G10" s="57">
        <v>0</v>
      </c>
    </row>
    <row r="12" spans="1:31" x14ac:dyDescent="0.25">
      <c r="A12" s="106" t="s">
        <v>2</v>
      </c>
      <c r="B12" s="107" t="s">
        <v>3</v>
      </c>
      <c r="C12" s="107" t="s">
        <v>4</v>
      </c>
      <c r="D12" s="108" t="s">
        <v>5</v>
      </c>
      <c r="E12" s="106" t="s">
        <v>6</v>
      </c>
      <c r="F12" s="108" t="s">
        <v>12</v>
      </c>
      <c r="G12" s="76" t="s">
        <v>798</v>
      </c>
      <c r="H12" s="61" t="s">
        <v>775</v>
      </c>
      <c r="I12" s="61" t="s">
        <v>776</v>
      </c>
      <c r="J12" s="61" t="s">
        <v>777</v>
      </c>
      <c r="K12" s="61" t="s">
        <v>778</v>
      </c>
      <c r="L12" s="61" t="s">
        <v>779</v>
      </c>
      <c r="M12" s="61" t="s">
        <v>780</v>
      </c>
      <c r="N12" s="61" t="s">
        <v>781</v>
      </c>
      <c r="O12" s="61" t="s">
        <v>782</v>
      </c>
      <c r="P12" s="61" t="s">
        <v>783</v>
      </c>
      <c r="Q12" s="61" t="s">
        <v>784</v>
      </c>
      <c r="R12" s="61" t="s">
        <v>785</v>
      </c>
      <c r="S12" s="61" t="s">
        <v>786</v>
      </c>
      <c r="T12" s="60" t="s">
        <v>787</v>
      </c>
      <c r="U12" s="60" t="s">
        <v>788</v>
      </c>
      <c r="V12" s="60" t="s">
        <v>789</v>
      </c>
      <c r="W12" s="60" t="s">
        <v>790</v>
      </c>
      <c r="X12" s="60" t="s">
        <v>791</v>
      </c>
      <c r="Y12" s="60" t="s">
        <v>792</v>
      </c>
      <c r="Z12" s="60" t="s">
        <v>793</v>
      </c>
      <c r="AA12" s="60" t="s">
        <v>794</v>
      </c>
      <c r="AB12" s="60" t="s">
        <v>795</v>
      </c>
      <c r="AC12" s="60" t="s">
        <v>800</v>
      </c>
      <c r="AD12" s="60" t="s">
        <v>799</v>
      </c>
      <c r="AE12" s="60" t="s">
        <v>796</v>
      </c>
    </row>
    <row r="13" spans="1:31" x14ac:dyDescent="0.25">
      <c r="A13" s="140" t="s">
        <v>19</v>
      </c>
      <c r="B13" s="140" t="s">
        <v>71</v>
      </c>
      <c r="C13" s="140" t="s">
        <v>66</v>
      </c>
      <c r="D13" s="149" t="s">
        <v>564</v>
      </c>
      <c r="E13" s="139" t="s">
        <v>653</v>
      </c>
      <c r="G13" s="113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114"/>
      <c r="AA13" s="114"/>
      <c r="AB13" s="114"/>
      <c r="AC13" s="114"/>
      <c r="AD13" s="114"/>
      <c r="AE13" s="114"/>
    </row>
    <row r="14" spans="1:31" x14ac:dyDescent="0.25">
      <c r="A14" s="140" t="s">
        <v>19</v>
      </c>
      <c r="B14" s="140" t="s">
        <v>71</v>
      </c>
      <c r="C14" s="140" t="s">
        <v>66</v>
      </c>
      <c r="D14" s="149" t="s">
        <v>568</v>
      </c>
      <c r="E14" s="139" t="s">
        <v>654</v>
      </c>
      <c r="G14" s="113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</row>
    <row r="15" spans="1:31" x14ac:dyDescent="0.25">
      <c r="A15" s="140" t="s">
        <v>19</v>
      </c>
      <c r="B15" s="140" t="s">
        <v>71</v>
      </c>
      <c r="C15" s="140" t="s">
        <v>66</v>
      </c>
      <c r="D15" s="149" t="s">
        <v>183</v>
      </c>
      <c r="E15" s="139" t="s">
        <v>184</v>
      </c>
      <c r="G15" s="113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114"/>
      <c r="AA15" s="114"/>
      <c r="AB15" s="114"/>
      <c r="AC15" s="114"/>
      <c r="AD15" s="114"/>
      <c r="AE15" s="114"/>
    </row>
    <row r="16" spans="1:31" x14ac:dyDescent="0.25">
      <c r="A16" s="140" t="s">
        <v>19</v>
      </c>
      <c r="B16" s="140" t="s">
        <v>71</v>
      </c>
      <c r="C16" s="140" t="s">
        <v>66</v>
      </c>
      <c r="D16" s="149" t="s">
        <v>185</v>
      </c>
      <c r="E16" s="139" t="s">
        <v>72</v>
      </c>
      <c r="G16" s="113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114"/>
      <c r="AA16" s="114"/>
      <c r="AB16" s="114"/>
      <c r="AC16" s="114"/>
      <c r="AD16" s="114"/>
      <c r="AE16" s="114"/>
    </row>
    <row r="17" spans="1:31" x14ac:dyDescent="0.25">
      <c r="A17" s="140" t="s">
        <v>19</v>
      </c>
      <c r="B17" s="140" t="s">
        <v>71</v>
      </c>
      <c r="C17" s="140" t="s">
        <v>66</v>
      </c>
      <c r="D17" s="149" t="s">
        <v>572</v>
      </c>
      <c r="E17" s="139" t="s">
        <v>655</v>
      </c>
      <c r="G17" s="113"/>
      <c r="H17" s="114"/>
      <c r="I17" s="114"/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14"/>
      <c r="V17" s="114"/>
      <c r="W17" s="114"/>
      <c r="X17" s="114"/>
      <c r="Y17" s="114"/>
      <c r="Z17" s="114"/>
      <c r="AA17" s="114"/>
      <c r="AB17" s="114"/>
      <c r="AC17" s="114"/>
      <c r="AD17" s="114"/>
      <c r="AE17" s="114"/>
    </row>
    <row r="18" spans="1:31" x14ac:dyDescent="0.25">
      <c r="A18" s="140" t="s">
        <v>19</v>
      </c>
      <c r="B18" s="140" t="s">
        <v>71</v>
      </c>
      <c r="C18" s="140" t="s">
        <v>66</v>
      </c>
      <c r="D18" s="149" t="s">
        <v>230</v>
      </c>
      <c r="E18" s="139" t="s">
        <v>231</v>
      </c>
      <c r="G18" s="113"/>
      <c r="H18" s="114"/>
      <c r="I18" s="114"/>
      <c r="J18" s="114"/>
      <c r="K18" s="114"/>
      <c r="L18" s="114"/>
      <c r="M18" s="114"/>
      <c r="N18" s="114"/>
      <c r="O18" s="114"/>
      <c r="P18" s="114"/>
      <c r="Q18" s="114"/>
      <c r="R18" s="114"/>
      <c r="S18" s="114"/>
      <c r="T18" s="114"/>
      <c r="U18" s="114"/>
      <c r="V18" s="114"/>
      <c r="W18" s="114"/>
      <c r="X18" s="114"/>
      <c r="Y18" s="114"/>
      <c r="Z18" s="114"/>
      <c r="AA18" s="114"/>
      <c r="AB18" s="114"/>
      <c r="AC18" s="114"/>
      <c r="AD18" s="114"/>
      <c r="AE18" s="114"/>
    </row>
    <row r="19" spans="1:31" x14ac:dyDescent="0.25">
      <c r="A19" s="140" t="s">
        <v>19</v>
      </c>
      <c r="B19" s="140" t="s">
        <v>71</v>
      </c>
      <c r="C19" s="140" t="s">
        <v>66</v>
      </c>
      <c r="D19" s="149" t="s">
        <v>575</v>
      </c>
      <c r="E19" s="139" t="s">
        <v>656</v>
      </c>
      <c r="G19" s="113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  <c r="AB19" s="114"/>
      <c r="AC19" s="114"/>
      <c r="AD19" s="114"/>
      <c r="AE19" s="114"/>
    </row>
    <row r="20" spans="1:31" x14ac:dyDescent="0.25">
      <c r="A20" s="140" t="s">
        <v>19</v>
      </c>
      <c r="B20" s="140" t="s">
        <v>71</v>
      </c>
      <c r="C20" s="140" t="s">
        <v>66</v>
      </c>
      <c r="D20" s="149" t="s">
        <v>577</v>
      </c>
      <c r="E20" s="139" t="s">
        <v>657</v>
      </c>
      <c r="G20" s="113"/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/>
      <c r="X20" s="114"/>
      <c r="Y20" s="114"/>
      <c r="Z20" s="114"/>
      <c r="AA20" s="114"/>
      <c r="AB20" s="114"/>
      <c r="AC20" s="114"/>
      <c r="AD20" s="114"/>
      <c r="AE20" s="114"/>
    </row>
    <row r="21" spans="1:31" x14ac:dyDescent="0.25">
      <c r="A21" s="140" t="s">
        <v>19</v>
      </c>
      <c r="B21" s="140" t="s">
        <v>71</v>
      </c>
      <c r="C21" s="140" t="s">
        <v>66</v>
      </c>
      <c r="D21" s="149" t="s">
        <v>579</v>
      </c>
      <c r="E21" s="139" t="s">
        <v>658</v>
      </c>
      <c r="G21" s="113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4"/>
      <c r="AB21" s="114"/>
      <c r="AC21" s="114"/>
      <c r="AD21" s="114"/>
      <c r="AE21" s="114"/>
    </row>
    <row r="22" spans="1:31" x14ac:dyDescent="0.25">
      <c r="A22" s="140" t="s">
        <v>19</v>
      </c>
      <c r="B22" s="140" t="s">
        <v>71</v>
      </c>
      <c r="C22" s="140" t="s">
        <v>66</v>
      </c>
      <c r="D22" s="149" t="s">
        <v>581</v>
      </c>
      <c r="E22" s="139" t="s">
        <v>659</v>
      </c>
      <c r="G22" s="113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  <c r="AC22" s="114"/>
      <c r="AD22" s="114"/>
      <c r="AE22" s="114"/>
    </row>
    <row r="23" spans="1:31" x14ac:dyDescent="0.25">
      <c r="A23" s="140" t="s">
        <v>19</v>
      </c>
      <c r="B23" s="140" t="s">
        <v>20</v>
      </c>
      <c r="C23" s="140" t="s">
        <v>66</v>
      </c>
      <c r="D23" s="149" t="s">
        <v>21</v>
      </c>
      <c r="E23" s="139" t="s">
        <v>22</v>
      </c>
      <c r="G23" s="113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  <c r="AC23" s="114"/>
      <c r="AD23" s="114"/>
      <c r="AE23" s="114"/>
    </row>
    <row r="24" spans="1:31" x14ac:dyDescent="0.25">
      <c r="A24" s="140" t="s">
        <v>19</v>
      </c>
      <c r="B24" s="140" t="s">
        <v>20</v>
      </c>
      <c r="C24" s="140" t="s">
        <v>34</v>
      </c>
      <c r="D24" s="149" t="s">
        <v>35</v>
      </c>
      <c r="E24" s="139" t="s">
        <v>36</v>
      </c>
      <c r="G24" s="113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  <c r="AC24" s="114"/>
      <c r="AD24" s="114"/>
      <c r="AE24" s="114"/>
    </row>
    <row r="25" spans="1:31" x14ac:dyDescent="0.25">
      <c r="A25" s="140" t="s">
        <v>19</v>
      </c>
      <c r="B25" s="140" t="s">
        <v>20</v>
      </c>
      <c r="C25" s="140" t="s">
        <v>34</v>
      </c>
      <c r="D25" s="149" t="s">
        <v>164</v>
      </c>
      <c r="E25" s="139" t="s">
        <v>165</v>
      </c>
      <c r="G25" s="113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</row>
    <row r="26" spans="1:31" x14ac:dyDescent="0.25">
      <c r="A26" s="140" t="s">
        <v>19</v>
      </c>
      <c r="B26" s="140" t="s">
        <v>20</v>
      </c>
      <c r="C26" s="140" t="s">
        <v>34</v>
      </c>
      <c r="D26" s="149" t="s">
        <v>49</v>
      </c>
      <c r="E26" s="139" t="s">
        <v>50</v>
      </c>
      <c r="G26" s="113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114"/>
      <c r="AA26" s="114"/>
      <c r="AB26" s="114"/>
      <c r="AC26" s="114"/>
      <c r="AD26" s="114"/>
      <c r="AE26" s="114"/>
    </row>
    <row r="27" spans="1:31" x14ac:dyDescent="0.25">
      <c r="A27" s="140" t="s">
        <v>19</v>
      </c>
      <c r="B27" s="140" t="s">
        <v>20</v>
      </c>
      <c r="C27" s="140" t="s">
        <v>34</v>
      </c>
      <c r="D27" s="149" t="s">
        <v>62</v>
      </c>
      <c r="E27" s="139" t="s">
        <v>63</v>
      </c>
      <c r="G27" s="113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114"/>
      <c r="AC27" s="114"/>
      <c r="AD27" s="114"/>
      <c r="AE27" s="114"/>
    </row>
    <row r="28" spans="1:31" x14ac:dyDescent="0.25">
      <c r="A28" s="140" t="s">
        <v>19</v>
      </c>
      <c r="B28" s="140" t="s">
        <v>20</v>
      </c>
      <c r="C28" s="140" t="s">
        <v>34</v>
      </c>
      <c r="D28" s="149" t="s">
        <v>441</v>
      </c>
      <c r="E28" s="139" t="s">
        <v>729</v>
      </c>
      <c r="G28" s="113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114"/>
      <c r="AA28" s="114"/>
      <c r="AB28" s="114"/>
      <c r="AC28" s="114"/>
      <c r="AD28" s="114"/>
      <c r="AE28" s="114"/>
    </row>
    <row r="29" spans="1:31" x14ac:dyDescent="0.25">
      <c r="A29" s="140" t="s">
        <v>19</v>
      </c>
      <c r="B29" s="140" t="s">
        <v>20</v>
      </c>
      <c r="C29" s="140" t="s">
        <v>34</v>
      </c>
      <c r="D29" s="149" t="s">
        <v>113</v>
      </c>
      <c r="E29" s="139" t="s">
        <v>114</v>
      </c>
      <c r="G29" s="113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114"/>
      <c r="AA29" s="114"/>
      <c r="AB29" s="114"/>
      <c r="AC29" s="114"/>
      <c r="AD29" s="114"/>
      <c r="AE29" s="114"/>
    </row>
    <row r="30" spans="1:31" x14ac:dyDescent="0.25">
      <c r="A30" s="140" t="s">
        <v>19</v>
      </c>
      <c r="B30" s="140" t="s">
        <v>20</v>
      </c>
      <c r="C30" s="140" t="s">
        <v>34</v>
      </c>
      <c r="D30" s="149" t="s">
        <v>144</v>
      </c>
      <c r="E30" s="139" t="s">
        <v>145</v>
      </c>
      <c r="G30" s="113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114"/>
      <c r="AA30" s="114"/>
      <c r="AB30" s="114"/>
      <c r="AC30" s="114"/>
      <c r="AD30" s="114"/>
      <c r="AE30" s="114"/>
    </row>
    <row r="31" spans="1:31" x14ac:dyDescent="0.25">
      <c r="A31" s="140" t="s">
        <v>19</v>
      </c>
      <c r="B31" s="140" t="s">
        <v>20</v>
      </c>
      <c r="C31" s="140" t="s">
        <v>34</v>
      </c>
      <c r="D31" s="149" t="s">
        <v>827</v>
      </c>
      <c r="E31" s="139" t="s">
        <v>151</v>
      </c>
      <c r="G31" s="113"/>
      <c r="H31" s="114"/>
      <c r="I31" s="114"/>
      <c r="J31" s="114"/>
      <c r="K31" s="114"/>
      <c r="L31" s="114"/>
      <c r="M31" s="114"/>
      <c r="N31" s="114"/>
      <c r="O31" s="114"/>
      <c r="P31" s="114"/>
      <c r="Q31" s="114"/>
      <c r="R31" s="114"/>
      <c r="S31" s="114"/>
      <c r="T31" s="114"/>
      <c r="U31" s="114"/>
      <c r="V31" s="114"/>
      <c r="W31" s="114"/>
      <c r="X31" s="114"/>
      <c r="Y31" s="114"/>
      <c r="Z31" s="114"/>
      <c r="AA31" s="114"/>
      <c r="AB31" s="114"/>
      <c r="AC31" s="114"/>
      <c r="AD31" s="114"/>
      <c r="AE31" s="114"/>
    </row>
    <row r="32" spans="1:31" x14ac:dyDescent="0.25">
      <c r="A32" s="140" t="s">
        <v>19</v>
      </c>
      <c r="B32" s="140" t="s">
        <v>20</v>
      </c>
      <c r="C32" s="140" t="s">
        <v>37</v>
      </c>
      <c r="D32" s="149" t="s">
        <v>828</v>
      </c>
      <c r="E32" s="139" t="s">
        <v>163</v>
      </c>
      <c r="G32" s="113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/>
      <c r="S32" s="114"/>
      <c r="T32" s="114"/>
      <c r="U32" s="114"/>
      <c r="V32" s="114"/>
      <c r="W32" s="114"/>
      <c r="X32" s="114"/>
      <c r="Y32" s="114"/>
      <c r="Z32" s="114"/>
      <c r="AA32" s="114"/>
      <c r="AB32" s="114"/>
      <c r="AC32" s="114"/>
      <c r="AD32" s="114"/>
      <c r="AE32" s="114"/>
    </row>
    <row r="33" spans="1:31" x14ac:dyDescent="0.25">
      <c r="A33" s="140" t="s">
        <v>19</v>
      </c>
      <c r="B33" s="140" t="s">
        <v>20</v>
      </c>
      <c r="C33" s="140" t="s">
        <v>37</v>
      </c>
      <c r="D33" s="149" t="s">
        <v>37</v>
      </c>
      <c r="E33" s="139" t="s">
        <v>77</v>
      </c>
      <c r="G33" s="113"/>
      <c r="H33" s="114"/>
      <c r="I33" s="114"/>
      <c r="J33" s="114"/>
      <c r="K33" s="114"/>
      <c r="L33" s="114"/>
      <c r="M33" s="114"/>
      <c r="N33" s="114"/>
      <c r="O33" s="114"/>
      <c r="P33" s="114"/>
      <c r="Q33" s="114"/>
      <c r="R33" s="114"/>
      <c r="S33" s="114"/>
      <c r="T33" s="114"/>
      <c r="U33" s="114"/>
      <c r="V33" s="114"/>
      <c r="W33" s="114"/>
      <c r="X33" s="114"/>
      <c r="Y33" s="114"/>
      <c r="Z33" s="114"/>
      <c r="AA33" s="114"/>
      <c r="AB33" s="114"/>
      <c r="AC33" s="114"/>
      <c r="AD33" s="114"/>
      <c r="AE33" s="114"/>
    </row>
    <row r="34" spans="1:31" x14ac:dyDescent="0.25">
      <c r="A34" s="140" t="s">
        <v>19</v>
      </c>
      <c r="B34" s="140" t="s">
        <v>20</v>
      </c>
      <c r="C34" s="140" t="s">
        <v>37</v>
      </c>
      <c r="D34" s="149" t="s">
        <v>76</v>
      </c>
      <c r="E34" s="139" t="s">
        <v>77</v>
      </c>
      <c r="G34" s="113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114"/>
      <c r="AA34" s="114"/>
      <c r="AB34" s="114"/>
      <c r="AC34" s="114"/>
      <c r="AD34" s="114"/>
      <c r="AE34" s="114"/>
    </row>
    <row r="35" spans="1:31" x14ac:dyDescent="0.25">
      <c r="A35" s="140" t="s">
        <v>19</v>
      </c>
      <c r="B35" s="140" t="s">
        <v>20</v>
      </c>
      <c r="C35" s="140" t="s">
        <v>37</v>
      </c>
      <c r="D35" s="149" t="s">
        <v>829</v>
      </c>
      <c r="E35" s="139" t="s">
        <v>122</v>
      </c>
      <c r="G35" s="113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  <c r="AD35" s="114"/>
      <c r="AE35" s="114"/>
    </row>
    <row r="36" spans="1:31" x14ac:dyDescent="0.25">
      <c r="A36" s="140" t="s">
        <v>19</v>
      </c>
      <c r="B36" s="140" t="s">
        <v>20</v>
      </c>
      <c r="C36" s="140" t="s">
        <v>37</v>
      </c>
      <c r="D36" s="149" t="s">
        <v>152</v>
      </c>
      <c r="E36" s="139" t="s">
        <v>153</v>
      </c>
      <c r="G36" s="113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  <c r="AB36" s="114"/>
      <c r="AC36" s="114"/>
      <c r="AD36" s="114"/>
      <c r="AE36" s="114"/>
    </row>
    <row r="37" spans="1:31" x14ac:dyDescent="0.25">
      <c r="A37" s="140" t="s">
        <v>19</v>
      </c>
      <c r="B37" s="140" t="s">
        <v>155</v>
      </c>
      <c r="C37" s="140" t="s">
        <v>66</v>
      </c>
      <c r="D37" s="149" t="s">
        <v>186</v>
      </c>
      <c r="E37" s="139" t="s">
        <v>187</v>
      </c>
      <c r="G37" s="113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114"/>
      <c r="AA37" s="114"/>
      <c r="AB37" s="114"/>
      <c r="AC37" s="114"/>
      <c r="AD37" s="114"/>
      <c r="AE37" s="114"/>
    </row>
    <row r="38" spans="1:31" x14ac:dyDescent="0.25">
      <c r="A38" s="140" t="s">
        <v>19</v>
      </c>
      <c r="B38" s="140" t="s">
        <v>155</v>
      </c>
      <c r="C38" s="140" t="s">
        <v>66</v>
      </c>
      <c r="D38" s="149" t="s">
        <v>159</v>
      </c>
      <c r="E38" s="139" t="s">
        <v>160</v>
      </c>
      <c r="G38" s="113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114"/>
      <c r="AA38" s="114"/>
      <c r="AB38" s="114"/>
      <c r="AC38" s="114"/>
      <c r="AD38" s="114"/>
      <c r="AE38" s="114"/>
    </row>
    <row r="39" spans="1:31" x14ac:dyDescent="0.25">
      <c r="A39" s="140" t="s">
        <v>19</v>
      </c>
      <c r="B39" s="140" t="s">
        <v>155</v>
      </c>
      <c r="C39" s="140" t="s">
        <v>66</v>
      </c>
      <c r="D39" s="149" t="s">
        <v>188</v>
      </c>
      <c r="E39" s="139" t="s">
        <v>189</v>
      </c>
      <c r="G39" s="113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114"/>
      <c r="AA39" s="114"/>
      <c r="AB39" s="114"/>
      <c r="AC39" s="114"/>
      <c r="AD39" s="114"/>
      <c r="AE39" s="114"/>
    </row>
    <row r="40" spans="1:31" x14ac:dyDescent="0.25">
      <c r="A40" s="140" t="s">
        <v>19</v>
      </c>
      <c r="B40" s="140" t="s">
        <v>155</v>
      </c>
      <c r="C40" s="140" t="s">
        <v>66</v>
      </c>
      <c r="D40" s="149" t="s">
        <v>190</v>
      </c>
      <c r="E40" s="139" t="s">
        <v>191</v>
      </c>
      <c r="G40" s="113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114"/>
      <c r="AA40" s="114"/>
      <c r="AB40" s="114"/>
      <c r="AC40" s="114"/>
      <c r="AD40" s="114"/>
      <c r="AE40" s="114"/>
    </row>
    <row r="41" spans="1:31" x14ac:dyDescent="0.25">
      <c r="A41" s="140" t="s">
        <v>19</v>
      </c>
      <c r="B41" s="140" t="s">
        <v>155</v>
      </c>
      <c r="C41" s="140" t="s">
        <v>66</v>
      </c>
      <c r="D41" s="149" t="s">
        <v>192</v>
      </c>
      <c r="E41" s="139" t="s">
        <v>193</v>
      </c>
      <c r="G41" s="113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114"/>
      <c r="AA41" s="114"/>
      <c r="AB41" s="114"/>
      <c r="AC41" s="114"/>
      <c r="AD41" s="114"/>
      <c r="AE41" s="114"/>
    </row>
    <row r="42" spans="1:31" x14ac:dyDescent="0.25">
      <c r="A42" s="140" t="s">
        <v>19</v>
      </c>
      <c r="B42" s="140" t="s">
        <v>155</v>
      </c>
      <c r="C42" s="140" t="s">
        <v>66</v>
      </c>
      <c r="D42" s="149" t="s">
        <v>194</v>
      </c>
      <c r="E42" s="139" t="s">
        <v>195</v>
      </c>
      <c r="G42" s="113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</row>
    <row r="43" spans="1:31" x14ac:dyDescent="0.25">
      <c r="A43" s="140" t="s">
        <v>19</v>
      </c>
      <c r="B43" s="140" t="s">
        <v>155</v>
      </c>
      <c r="C43" s="140" t="s">
        <v>66</v>
      </c>
      <c r="D43" s="149" t="s">
        <v>156</v>
      </c>
      <c r="E43" s="139" t="s">
        <v>157</v>
      </c>
      <c r="G43" s="113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114"/>
      <c r="AA43" s="114"/>
      <c r="AB43" s="114"/>
      <c r="AC43" s="114"/>
      <c r="AD43" s="114"/>
      <c r="AE43" s="114"/>
    </row>
    <row r="44" spans="1:31" x14ac:dyDescent="0.25">
      <c r="A44" s="140" t="s">
        <v>19</v>
      </c>
      <c r="B44" s="140" t="s">
        <v>155</v>
      </c>
      <c r="C44" s="140" t="s">
        <v>66</v>
      </c>
      <c r="D44" s="149" t="s">
        <v>196</v>
      </c>
      <c r="E44" s="139" t="s">
        <v>197</v>
      </c>
      <c r="G44" s="113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</row>
    <row r="45" spans="1:31" x14ac:dyDescent="0.25">
      <c r="A45" s="140" t="s">
        <v>19</v>
      </c>
      <c r="B45" s="140" t="s">
        <v>44</v>
      </c>
      <c r="C45" s="140" t="s">
        <v>812</v>
      </c>
      <c r="D45" s="149" t="s">
        <v>517</v>
      </c>
      <c r="E45" s="139" t="s">
        <v>676</v>
      </c>
      <c r="G45" s="113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</row>
    <row r="46" spans="1:31" x14ac:dyDescent="0.25">
      <c r="A46" s="140" t="s">
        <v>19</v>
      </c>
      <c r="B46" s="140" t="s">
        <v>44</v>
      </c>
      <c r="C46" s="140" t="s">
        <v>812</v>
      </c>
      <c r="D46" s="149" t="s">
        <v>830</v>
      </c>
      <c r="E46" s="139" t="s">
        <v>677</v>
      </c>
      <c r="G46" s="113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4"/>
    </row>
    <row r="47" spans="1:31" x14ac:dyDescent="0.25">
      <c r="A47" s="140" t="s">
        <v>19</v>
      </c>
      <c r="B47" s="140" t="s">
        <v>44</v>
      </c>
      <c r="C47" s="140" t="s">
        <v>812</v>
      </c>
      <c r="D47" s="149" t="s">
        <v>831</v>
      </c>
      <c r="E47" s="139" t="s">
        <v>678</v>
      </c>
      <c r="G47" s="113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4"/>
    </row>
    <row r="48" spans="1:31" x14ac:dyDescent="0.25">
      <c r="A48" s="140" t="s">
        <v>19</v>
      </c>
      <c r="B48" s="140" t="s">
        <v>44</v>
      </c>
      <c r="C48" s="140" t="s">
        <v>812</v>
      </c>
      <c r="D48" s="149" t="s">
        <v>204</v>
      </c>
      <c r="E48" s="139" t="s">
        <v>205</v>
      </c>
      <c r="G48" s="113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4"/>
    </row>
    <row r="49" spans="1:31" x14ac:dyDescent="0.25">
      <c r="A49" s="140" t="s">
        <v>19</v>
      </c>
      <c r="B49" s="140" t="s">
        <v>44</v>
      </c>
      <c r="C49" s="140" t="s">
        <v>812</v>
      </c>
      <c r="D49" s="149" t="s">
        <v>198</v>
      </c>
      <c r="E49" s="139" t="s">
        <v>199</v>
      </c>
      <c r="G49" s="113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4"/>
    </row>
    <row r="50" spans="1:31" x14ac:dyDescent="0.25">
      <c r="A50" s="140" t="s">
        <v>19</v>
      </c>
      <c r="B50" s="140" t="s">
        <v>44</v>
      </c>
      <c r="C50" s="140" t="s">
        <v>812</v>
      </c>
      <c r="D50" s="149" t="s">
        <v>200</v>
      </c>
      <c r="E50" s="139" t="s">
        <v>201</v>
      </c>
      <c r="G50" s="113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</row>
    <row r="51" spans="1:31" x14ac:dyDescent="0.25">
      <c r="A51" s="140" t="s">
        <v>19</v>
      </c>
      <c r="B51" s="140" t="s">
        <v>44</v>
      </c>
      <c r="C51" s="140" t="s">
        <v>812</v>
      </c>
      <c r="D51" s="149" t="s">
        <v>832</v>
      </c>
      <c r="E51" s="139" t="s">
        <v>679</v>
      </c>
      <c r="G51" s="113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  <c r="AD51" s="114"/>
      <c r="AE51" s="114"/>
    </row>
    <row r="52" spans="1:31" x14ac:dyDescent="0.25">
      <c r="A52" s="140" t="s">
        <v>19</v>
      </c>
      <c r="B52" s="140" t="s">
        <v>44</v>
      </c>
      <c r="C52" s="140" t="s">
        <v>812</v>
      </c>
      <c r="D52" s="149" t="s">
        <v>45</v>
      </c>
      <c r="E52" s="139" t="s">
        <v>46</v>
      </c>
      <c r="G52" s="113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  <c r="AD52" s="114"/>
      <c r="AE52" s="114"/>
    </row>
    <row r="53" spans="1:31" x14ac:dyDescent="0.25">
      <c r="A53" s="140" t="s">
        <v>19</v>
      </c>
      <c r="B53" s="140" t="s">
        <v>44</v>
      </c>
      <c r="C53" s="140" t="s">
        <v>812</v>
      </c>
      <c r="D53" s="149" t="s">
        <v>526</v>
      </c>
      <c r="E53" s="139" t="s">
        <v>680</v>
      </c>
      <c r="G53" s="113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  <c r="AD53" s="114"/>
      <c r="AE53" s="114"/>
    </row>
    <row r="54" spans="1:31" x14ac:dyDescent="0.25">
      <c r="A54" s="140" t="s">
        <v>19</v>
      </c>
      <c r="B54" s="140" t="s">
        <v>44</v>
      </c>
      <c r="C54" s="140" t="s">
        <v>812</v>
      </c>
      <c r="D54" s="149" t="s">
        <v>833</v>
      </c>
      <c r="E54" s="139" t="s">
        <v>681</v>
      </c>
      <c r="G54" s="113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  <c r="AD54" s="114"/>
      <c r="AE54" s="114"/>
    </row>
    <row r="55" spans="1:31" x14ac:dyDescent="0.25">
      <c r="A55" s="140" t="s">
        <v>19</v>
      </c>
      <c r="B55" s="140" t="s">
        <v>44</v>
      </c>
      <c r="C55" s="140" t="s">
        <v>812</v>
      </c>
      <c r="D55" s="149" t="s">
        <v>834</v>
      </c>
      <c r="E55" s="139" t="s">
        <v>682</v>
      </c>
      <c r="G55" s="113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114"/>
      <c r="AA55" s="114"/>
      <c r="AB55" s="114"/>
      <c r="AC55" s="114"/>
      <c r="AD55" s="114"/>
      <c r="AE55" s="114"/>
    </row>
    <row r="56" spans="1:31" x14ac:dyDescent="0.25">
      <c r="A56" s="140" t="s">
        <v>19</v>
      </c>
      <c r="B56" s="140" t="s">
        <v>44</v>
      </c>
      <c r="C56" s="140" t="s">
        <v>812</v>
      </c>
      <c r="D56" s="149" t="s">
        <v>835</v>
      </c>
      <c r="E56" s="139" t="s">
        <v>683</v>
      </c>
      <c r="G56" s="113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114"/>
      <c r="AA56" s="114"/>
      <c r="AB56" s="114"/>
      <c r="AC56" s="114"/>
      <c r="AD56" s="114"/>
      <c r="AE56" s="114"/>
    </row>
    <row r="57" spans="1:31" x14ac:dyDescent="0.25">
      <c r="A57" s="140" t="s">
        <v>19</v>
      </c>
      <c r="B57" s="140" t="s">
        <v>44</v>
      </c>
      <c r="C57" s="140" t="s">
        <v>812</v>
      </c>
      <c r="D57" s="149" t="s">
        <v>836</v>
      </c>
      <c r="E57" s="139" t="s">
        <v>684</v>
      </c>
      <c r="G57" s="113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114"/>
      <c r="AA57" s="114"/>
      <c r="AB57" s="114"/>
      <c r="AC57" s="114"/>
      <c r="AD57" s="114"/>
      <c r="AE57" s="114"/>
    </row>
    <row r="58" spans="1:31" x14ac:dyDescent="0.25">
      <c r="A58" s="140" t="s">
        <v>19</v>
      </c>
      <c r="B58" s="140" t="s">
        <v>44</v>
      </c>
      <c r="C58" s="140" t="s">
        <v>812</v>
      </c>
      <c r="D58" s="149" t="s">
        <v>837</v>
      </c>
      <c r="E58" s="139" t="s">
        <v>685</v>
      </c>
      <c r="G58" s="113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  <c r="AC58" s="114"/>
      <c r="AD58" s="114"/>
      <c r="AE58" s="114"/>
    </row>
    <row r="59" spans="1:31" x14ac:dyDescent="0.25">
      <c r="A59" s="140" t="s">
        <v>19</v>
      </c>
      <c r="B59" s="140" t="s">
        <v>44</v>
      </c>
      <c r="C59" s="140" t="s">
        <v>812</v>
      </c>
      <c r="D59" s="149" t="s">
        <v>838</v>
      </c>
      <c r="E59" s="139" t="s">
        <v>686</v>
      </c>
      <c r="G59" s="113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114"/>
      <c r="AA59" s="114"/>
      <c r="AB59" s="114"/>
      <c r="AC59" s="114"/>
      <c r="AD59" s="114"/>
      <c r="AE59" s="114"/>
    </row>
    <row r="60" spans="1:31" x14ac:dyDescent="0.25">
      <c r="A60" s="140" t="s">
        <v>19</v>
      </c>
      <c r="B60" s="140" t="s">
        <v>44</v>
      </c>
      <c r="C60" s="140" t="s">
        <v>812</v>
      </c>
      <c r="D60" s="149" t="s">
        <v>534</v>
      </c>
      <c r="E60" s="139" t="s">
        <v>687</v>
      </c>
      <c r="G60" s="113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114"/>
      <c r="AA60" s="114"/>
      <c r="AB60" s="114"/>
      <c r="AC60" s="114"/>
      <c r="AD60" s="114"/>
      <c r="AE60" s="114"/>
    </row>
    <row r="61" spans="1:31" x14ac:dyDescent="0.25">
      <c r="A61" s="140" t="s">
        <v>19</v>
      </c>
      <c r="B61" s="140" t="s">
        <v>44</v>
      </c>
      <c r="C61" s="140" t="s">
        <v>812</v>
      </c>
      <c r="D61" s="149" t="s">
        <v>100</v>
      </c>
      <c r="E61" s="139" t="s">
        <v>101</v>
      </c>
      <c r="G61" s="113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114"/>
      <c r="AA61" s="114"/>
      <c r="AB61" s="114"/>
      <c r="AC61" s="114"/>
      <c r="AD61" s="114"/>
      <c r="AE61" s="114"/>
    </row>
    <row r="62" spans="1:31" x14ac:dyDescent="0.25">
      <c r="A62" s="140" t="s">
        <v>19</v>
      </c>
      <c r="B62" s="140" t="s">
        <v>44</v>
      </c>
      <c r="C62" s="140" t="s">
        <v>812</v>
      </c>
      <c r="D62" s="149" t="s">
        <v>202</v>
      </c>
      <c r="E62" s="139" t="s">
        <v>203</v>
      </c>
      <c r="G62" s="113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114"/>
      <c r="AA62" s="114"/>
      <c r="AB62" s="114"/>
      <c r="AC62" s="114"/>
      <c r="AD62" s="114"/>
      <c r="AE62" s="114"/>
    </row>
    <row r="63" spans="1:31" x14ac:dyDescent="0.25">
      <c r="A63" s="140" t="s">
        <v>19</v>
      </c>
      <c r="B63" s="140" t="s">
        <v>44</v>
      </c>
      <c r="C63" s="140" t="s">
        <v>812</v>
      </c>
      <c r="D63" s="149" t="s">
        <v>538</v>
      </c>
      <c r="E63" s="139" t="s">
        <v>115</v>
      </c>
      <c r="G63" s="113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114"/>
      <c r="AA63" s="114"/>
      <c r="AB63" s="114"/>
      <c r="AC63" s="114"/>
      <c r="AD63" s="114"/>
      <c r="AE63" s="114"/>
    </row>
    <row r="64" spans="1:31" x14ac:dyDescent="0.25">
      <c r="A64" s="140" t="s">
        <v>19</v>
      </c>
      <c r="B64" s="140" t="s">
        <v>44</v>
      </c>
      <c r="C64" s="140" t="s">
        <v>812</v>
      </c>
      <c r="D64" s="149" t="s">
        <v>539</v>
      </c>
      <c r="E64" s="139" t="s">
        <v>688</v>
      </c>
      <c r="G64" s="113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114"/>
      <c r="AA64" s="114"/>
      <c r="AB64" s="114"/>
      <c r="AC64" s="114"/>
      <c r="AD64" s="114"/>
      <c r="AE64" s="114"/>
    </row>
    <row r="65" spans="1:31" x14ac:dyDescent="0.25">
      <c r="A65" s="140" t="s">
        <v>19</v>
      </c>
      <c r="B65" s="140" t="s">
        <v>44</v>
      </c>
      <c r="C65" s="140" t="s">
        <v>812</v>
      </c>
      <c r="D65" s="149" t="s">
        <v>541</v>
      </c>
      <c r="E65" s="139" t="s">
        <v>689</v>
      </c>
      <c r="G65" s="113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  <c r="Y65" s="114"/>
      <c r="Z65" s="114"/>
      <c r="AA65" s="114"/>
      <c r="AB65" s="114"/>
      <c r="AC65" s="114"/>
      <c r="AD65" s="114"/>
      <c r="AE65" s="114"/>
    </row>
    <row r="66" spans="1:31" x14ac:dyDescent="0.25">
      <c r="A66" s="140" t="s">
        <v>19</v>
      </c>
      <c r="B66" s="140" t="s">
        <v>44</v>
      </c>
      <c r="C66" s="140" t="s">
        <v>812</v>
      </c>
      <c r="D66" s="149" t="s">
        <v>543</v>
      </c>
      <c r="E66" s="139" t="s">
        <v>690</v>
      </c>
      <c r="G66" s="113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114"/>
      <c r="AA66" s="114"/>
      <c r="AB66" s="114"/>
      <c r="AC66" s="114"/>
      <c r="AD66" s="114"/>
      <c r="AE66" s="114"/>
    </row>
    <row r="67" spans="1:31" x14ac:dyDescent="0.25">
      <c r="A67" s="140" t="s">
        <v>19</v>
      </c>
      <c r="B67" s="140" t="s">
        <v>44</v>
      </c>
      <c r="C67" s="140" t="s">
        <v>812</v>
      </c>
      <c r="D67" s="149" t="s">
        <v>545</v>
      </c>
      <c r="E67" s="139" t="s">
        <v>691</v>
      </c>
      <c r="G67" s="113"/>
      <c r="H67" s="114"/>
      <c r="I67" s="114"/>
      <c r="J67" s="114"/>
      <c r="K67" s="114"/>
      <c r="L67" s="114"/>
      <c r="M67" s="114"/>
      <c r="N67" s="114"/>
      <c r="O67" s="114"/>
      <c r="P67" s="114"/>
      <c r="Q67" s="114"/>
      <c r="R67" s="114"/>
      <c r="S67" s="114"/>
      <c r="T67" s="114"/>
      <c r="U67" s="114"/>
      <c r="V67" s="114"/>
      <c r="W67" s="114"/>
      <c r="X67" s="114"/>
      <c r="Y67" s="114"/>
      <c r="Z67" s="114"/>
      <c r="AA67" s="114"/>
      <c r="AB67" s="114"/>
      <c r="AC67" s="114"/>
      <c r="AD67" s="114"/>
      <c r="AE67" s="114"/>
    </row>
    <row r="68" spans="1:31" x14ac:dyDescent="0.25">
      <c r="A68" s="140" t="s">
        <v>19</v>
      </c>
      <c r="B68" s="140" t="s">
        <v>44</v>
      </c>
      <c r="C68" s="140" t="s">
        <v>812</v>
      </c>
      <c r="D68" s="149" t="s">
        <v>839</v>
      </c>
      <c r="E68" s="139" t="s">
        <v>692</v>
      </c>
      <c r="G68" s="113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114"/>
      <c r="T68" s="114"/>
      <c r="U68" s="114"/>
      <c r="V68" s="114"/>
      <c r="W68" s="114"/>
      <c r="X68" s="114"/>
      <c r="Y68" s="114"/>
      <c r="Z68" s="114"/>
      <c r="AA68" s="114"/>
      <c r="AB68" s="114"/>
      <c r="AC68" s="114"/>
      <c r="AD68" s="114"/>
      <c r="AE68" s="114"/>
    </row>
    <row r="69" spans="1:31" x14ac:dyDescent="0.25">
      <c r="A69" s="140" t="s">
        <v>19</v>
      </c>
      <c r="B69" s="140" t="s">
        <v>44</v>
      </c>
      <c r="C69" s="140" t="s">
        <v>812</v>
      </c>
      <c r="D69" s="149" t="s">
        <v>146</v>
      </c>
      <c r="E69" s="139" t="s">
        <v>147</v>
      </c>
      <c r="G69" s="113"/>
      <c r="H69" s="114"/>
      <c r="I69" s="114"/>
      <c r="J69" s="114"/>
      <c r="K69" s="114"/>
      <c r="L69" s="114"/>
      <c r="M69" s="114"/>
      <c r="N69" s="114"/>
      <c r="O69" s="114"/>
      <c r="P69" s="114"/>
      <c r="Q69" s="114"/>
      <c r="R69" s="114"/>
      <c r="S69" s="114"/>
      <c r="T69" s="114"/>
      <c r="U69" s="114"/>
      <c r="V69" s="114"/>
      <c r="W69" s="114"/>
      <c r="X69" s="114"/>
      <c r="Y69" s="114"/>
      <c r="Z69" s="114"/>
      <c r="AA69" s="114"/>
      <c r="AB69" s="114"/>
      <c r="AC69" s="114"/>
      <c r="AD69" s="114"/>
      <c r="AE69" s="114"/>
    </row>
    <row r="70" spans="1:31" x14ac:dyDescent="0.25">
      <c r="A70" s="140" t="s">
        <v>19</v>
      </c>
      <c r="B70" s="140" t="s">
        <v>44</v>
      </c>
      <c r="C70" s="140" t="s">
        <v>69</v>
      </c>
      <c r="D70" s="149" t="s">
        <v>470</v>
      </c>
      <c r="E70" s="139" t="s">
        <v>718</v>
      </c>
      <c r="G70" s="113"/>
      <c r="H70" s="114"/>
      <c r="I70" s="114"/>
      <c r="J70" s="114"/>
      <c r="K70" s="114"/>
      <c r="L70" s="114"/>
      <c r="M70" s="114"/>
      <c r="N70" s="114"/>
      <c r="O70" s="114"/>
      <c r="P70" s="114"/>
      <c r="Q70" s="114"/>
      <c r="R70" s="114"/>
      <c r="S70" s="114"/>
      <c r="T70" s="114"/>
      <c r="U70" s="114"/>
      <c r="V70" s="114"/>
      <c r="W70" s="114"/>
      <c r="X70" s="114"/>
      <c r="Y70" s="114"/>
      <c r="Z70" s="114"/>
      <c r="AA70" s="114"/>
      <c r="AB70" s="114"/>
      <c r="AC70" s="114"/>
      <c r="AD70" s="114"/>
      <c r="AE70" s="114"/>
    </row>
    <row r="71" spans="1:31" x14ac:dyDescent="0.25">
      <c r="A71" s="140" t="s">
        <v>19</v>
      </c>
      <c r="B71" s="140" t="s">
        <v>44</v>
      </c>
      <c r="C71" s="140" t="s">
        <v>69</v>
      </c>
      <c r="D71" s="149" t="s">
        <v>69</v>
      </c>
      <c r="E71" s="139" t="s">
        <v>70</v>
      </c>
      <c r="G71" s="113"/>
      <c r="H71" s="114"/>
      <c r="I71" s="114"/>
      <c r="J71" s="114"/>
      <c r="K71" s="114"/>
      <c r="L71" s="114"/>
      <c r="M71" s="114"/>
      <c r="N71" s="114"/>
      <c r="O71" s="114"/>
      <c r="P71" s="114"/>
      <c r="Q71" s="114"/>
      <c r="R71" s="114"/>
      <c r="S71" s="114"/>
      <c r="T71" s="114"/>
      <c r="U71" s="114"/>
      <c r="V71" s="114"/>
      <c r="W71" s="114"/>
      <c r="X71" s="114"/>
      <c r="Y71" s="114"/>
      <c r="Z71" s="114"/>
      <c r="AA71" s="114"/>
      <c r="AB71" s="114"/>
      <c r="AC71" s="114"/>
      <c r="AD71" s="114"/>
      <c r="AE71" s="114"/>
    </row>
    <row r="72" spans="1:31" x14ac:dyDescent="0.25">
      <c r="A72" s="140" t="s">
        <v>19</v>
      </c>
      <c r="B72" s="140" t="s">
        <v>73</v>
      </c>
      <c r="C72" s="140" t="s">
        <v>74</v>
      </c>
      <c r="D72" s="149" t="s">
        <v>454</v>
      </c>
      <c r="E72" s="139" t="s">
        <v>724</v>
      </c>
      <c r="G72" s="113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14"/>
      <c r="U72" s="114"/>
      <c r="V72" s="114"/>
      <c r="W72" s="114"/>
      <c r="X72" s="114"/>
      <c r="Y72" s="114"/>
      <c r="Z72" s="114"/>
      <c r="AA72" s="114"/>
      <c r="AB72" s="114"/>
      <c r="AC72" s="114"/>
      <c r="AD72" s="114"/>
      <c r="AE72" s="114"/>
    </row>
    <row r="73" spans="1:31" x14ac:dyDescent="0.25">
      <c r="A73" s="140" t="s">
        <v>19</v>
      </c>
      <c r="B73" s="140" t="s">
        <v>73</v>
      </c>
      <c r="C73" s="140" t="s">
        <v>74</v>
      </c>
      <c r="D73" s="149" t="s">
        <v>206</v>
      </c>
      <c r="E73" s="139" t="s">
        <v>207</v>
      </c>
      <c r="G73" s="113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  <c r="Y73" s="114"/>
      <c r="Z73" s="114"/>
      <c r="AA73" s="114"/>
      <c r="AB73" s="114"/>
      <c r="AC73" s="114"/>
      <c r="AD73" s="114"/>
      <c r="AE73" s="114"/>
    </row>
    <row r="74" spans="1:31" x14ac:dyDescent="0.25">
      <c r="A74" s="140" t="s">
        <v>19</v>
      </c>
      <c r="B74" s="140" t="s">
        <v>73</v>
      </c>
      <c r="C74" s="140" t="s">
        <v>74</v>
      </c>
      <c r="D74" s="149" t="s">
        <v>459</v>
      </c>
      <c r="E74" s="139" t="s">
        <v>725</v>
      </c>
      <c r="G74" s="113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114"/>
      <c r="AA74" s="114"/>
      <c r="AB74" s="114"/>
      <c r="AC74" s="114"/>
      <c r="AD74" s="114"/>
      <c r="AE74" s="114"/>
    </row>
    <row r="75" spans="1:31" x14ac:dyDescent="0.25">
      <c r="A75" s="140" t="s">
        <v>19</v>
      </c>
      <c r="B75" s="140" t="s">
        <v>73</v>
      </c>
      <c r="C75" s="140" t="s">
        <v>74</v>
      </c>
      <c r="D75" s="149" t="s">
        <v>208</v>
      </c>
      <c r="E75" s="139" t="s">
        <v>209</v>
      </c>
      <c r="G75" s="113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4"/>
      <c r="Y75" s="114"/>
      <c r="Z75" s="114"/>
      <c r="AA75" s="114"/>
      <c r="AB75" s="114"/>
      <c r="AC75" s="114"/>
      <c r="AD75" s="114"/>
      <c r="AE75" s="114"/>
    </row>
    <row r="76" spans="1:31" x14ac:dyDescent="0.25">
      <c r="A76" s="140" t="s">
        <v>19</v>
      </c>
      <c r="B76" s="140" t="s">
        <v>73</v>
      </c>
      <c r="C76" s="140" t="s">
        <v>74</v>
      </c>
      <c r="D76" s="149" t="s">
        <v>210</v>
      </c>
      <c r="E76" s="139" t="s">
        <v>211</v>
      </c>
      <c r="G76" s="113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4"/>
      <c r="Y76" s="114"/>
      <c r="Z76" s="114"/>
      <c r="AA76" s="114"/>
      <c r="AB76" s="114"/>
      <c r="AC76" s="114"/>
      <c r="AD76" s="114"/>
      <c r="AE76" s="114"/>
    </row>
    <row r="77" spans="1:31" x14ac:dyDescent="0.25">
      <c r="A77" s="140" t="s">
        <v>19</v>
      </c>
      <c r="B77" s="140" t="s">
        <v>73</v>
      </c>
      <c r="C77" s="140" t="s">
        <v>74</v>
      </c>
      <c r="D77" s="149" t="s">
        <v>212</v>
      </c>
      <c r="E77" s="139" t="s">
        <v>213</v>
      </c>
      <c r="G77" s="113"/>
      <c r="H77" s="114"/>
      <c r="I77" s="114"/>
      <c r="J77" s="114"/>
      <c r="K77" s="114"/>
      <c r="L77" s="114"/>
      <c r="M77" s="114"/>
      <c r="N77" s="114"/>
      <c r="O77" s="114"/>
      <c r="P77" s="114"/>
      <c r="Q77" s="114"/>
      <c r="R77" s="114"/>
      <c r="S77" s="114"/>
      <c r="T77" s="114"/>
      <c r="U77" s="114"/>
      <c r="V77" s="114"/>
      <c r="W77" s="114"/>
      <c r="X77" s="114"/>
      <c r="Y77" s="114"/>
      <c r="Z77" s="114"/>
      <c r="AA77" s="114"/>
      <c r="AB77" s="114"/>
      <c r="AC77" s="114"/>
      <c r="AD77" s="114"/>
      <c r="AE77" s="114"/>
    </row>
    <row r="78" spans="1:31" x14ac:dyDescent="0.25">
      <c r="A78" s="140" t="s">
        <v>19</v>
      </c>
      <c r="B78" s="140" t="s">
        <v>73</v>
      </c>
      <c r="C78" s="140" t="s">
        <v>74</v>
      </c>
      <c r="D78" s="149" t="s">
        <v>74</v>
      </c>
      <c r="E78" s="139" t="s">
        <v>75</v>
      </c>
      <c r="G78" s="113"/>
      <c r="H78" s="114"/>
      <c r="I78" s="114"/>
      <c r="J78" s="114"/>
      <c r="K78" s="114"/>
      <c r="L78" s="114"/>
      <c r="M78" s="114"/>
      <c r="N78" s="114"/>
      <c r="O78" s="114"/>
      <c r="P78" s="114"/>
      <c r="Q78" s="114"/>
      <c r="R78" s="114"/>
      <c r="S78" s="114"/>
      <c r="T78" s="114"/>
      <c r="U78" s="114"/>
      <c r="V78" s="114"/>
      <c r="W78" s="114"/>
      <c r="X78" s="114"/>
      <c r="Y78" s="114"/>
      <c r="Z78" s="114"/>
      <c r="AA78" s="114"/>
      <c r="AB78" s="114"/>
      <c r="AC78" s="114"/>
      <c r="AD78" s="114"/>
      <c r="AE78" s="114"/>
    </row>
    <row r="79" spans="1:31" x14ac:dyDescent="0.25">
      <c r="A79" s="151" t="s">
        <v>19</v>
      </c>
      <c r="B79" s="151" t="s">
        <v>73</v>
      </c>
      <c r="C79" s="151" t="s">
        <v>74</v>
      </c>
      <c r="D79" s="151" t="s">
        <v>450</v>
      </c>
      <c r="E79" s="151" t="s">
        <v>126</v>
      </c>
      <c r="G79" s="113"/>
      <c r="H79" s="114"/>
      <c r="I79" s="114"/>
      <c r="J79" s="114"/>
      <c r="K79" s="114"/>
      <c r="L79" s="114"/>
      <c r="M79" s="114"/>
      <c r="N79" s="114"/>
      <c r="O79" s="114"/>
      <c r="P79" s="114"/>
      <c r="Q79" s="114"/>
      <c r="R79" s="114"/>
      <c r="S79" s="114"/>
      <c r="T79" s="114"/>
      <c r="U79" s="114"/>
      <c r="V79" s="114"/>
      <c r="W79" s="114"/>
      <c r="X79" s="114"/>
      <c r="Y79" s="114"/>
      <c r="Z79" s="114"/>
      <c r="AA79" s="114"/>
      <c r="AB79" s="114"/>
      <c r="AC79" s="114"/>
      <c r="AD79" s="114"/>
      <c r="AE79" s="114"/>
    </row>
    <row r="80" spans="1:31" x14ac:dyDescent="0.25">
      <c r="A80" s="140" t="s">
        <v>19</v>
      </c>
      <c r="B80" s="140" t="s">
        <v>73</v>
      </c>
      <c r="C80" s="140" t="s">
        <v>74</v>
      </c>
      <c r="D80" s="149" t="s">
        <v>464</v>
      </c>
      <c r="E80" s="139" t="s">
        <v>726</v>
      </c>
      <c r="G80" s="113"/>
      <c r="H80" s="114"/>
      <c r="I80" s="114"/>
      <c r="J80" s="114"/>
      <c r="K80" s="114"/>
      <c r="L80" s="114"/>
      <c r="M80" s="114"/>
      <c r="N80" s="114"/>
      <c r="O80" s="114"/>
      <c r="P80" s="114"/>
      <c r="Q80" s="114"/>
      <c r="R80" s="114"/>
      <c r="S80" s="114"/>
      <c r="T80" s="114"/>
      <c r="U80" s="114"/>
      <c r="V80" s="114"/>
      <c r="W80" s="114"/>
      <c r="X80" s="114"/>
      <c r="Y80" s="114"/>
      <c r="Z80" s="114"/>
      <c r="AA80" s="114"/>
      <c r="AB80" s="114"/>
      <c r="AC80" s="114"/>
      <c r="AD80" s="114"/>
      <c r="AE80" s="114"/>
    </row>
    <row r="81" spans="1:31" x14ac:dyDescent="0.25">
      <c r="A81" s="140" t="s">
        <v>19</v>
      </c>
      <c r="B81" s="140" t="s">
        <v>73</v>
      </c>
      <c r="C81" s="140" t="s">
        <v>74</v>
      </c>
      <c r="D81" s="149" t="s">
        <v>214</v>
      </c>
      <c r="E81" s="139" t="s">
        <v>215</v>
      </c>
      <c r="G81" s="113"/>
      <c r="H81" s="114"/>
      <c r="I81" s="114"/>
      <c r="J81" s="114"/>
      <c r="K81" s="114"/>
      <c r="L81" s="114"/>
      <c r="M81" s="114"/>
      <c r="N81" s="114"/>
      <c r="O81" s="114"/>
      <c r="P81" s="114"/>
      <c r="Q81" s="114"/>
      <c r="R81" s="114"/>
      <c r="S81" s="114"/>
      <c r="T81" s="114"/>
      <c r="U81" s="114"/>
      <c r="V81" s="114"/>
      <c r="W81" s="114"/>
      <c r="X81" s="114"/>
      <c r="Y81" s="114"/>
      <c r="Z81" s="114"/>
      <c r="AA81" s="114"/>
      <c r="AB81" s="114"/>
      <c r="AC81" s="114"/>
      <c r="AD81" s="114"/>
      <c r="AE81" s="114"/>
    </row>
    <row r="82" spans="1:31" x14ac:dyDescent="0.25">
      <c r="A82" s="140" t="s">
        <v>19</v>
      </c>
      <c r="B82" s="140" t="s">
        <v>73</v>
      </c>
      <c r="C82" s="140" t="s">
        <v>74</v>
      </c>
      <c r="D82" s="149" t="s">
        <v>466</v>
      </c>
      <c r="E82" s="139" t="s">
        <v>727</v>
      </c>
      <c r="G82" s="113"/>
      <c r="H82" s="114"/>
      <c r="I82" s="114"/>
      <c r="J82" s="114"/>
      <c r="K82" s="114"/>
      <c r="L82" s="114"/>
      <c r="M82" s="114"/>
      <c r="N82" s="114"/>
      <c r="O82" s="114"/>
      <c r="P82" s="114"/>
      <c r="Q82" s="114"/>
      <c r="R82" s="114"/>
      <c r="S82" s="114"/>
      <c r="T82" s="114"/>
      <c r="U82" s="114"/>
      <c r="V82" s="114"/>
      <c r="W82" s="114"/>
      <c r="X82" s="114"/>
      <c r="Y82" s="114"/>
      <c r="Z82" s="114"/>
      <c r="AA82" s="114"/>
      <c r="AB82" s="114"/>
      <c r="AC82" s="114"/>
      <c r="AD82" s="114"/>
      <c r="AE82" s="114"/>
    </row>
    <row r="83" spans="1:31" x14ac:dyDescent="0.25">
      <c r="A83" s="140" t="s">
        <v>19</v>
      </c>
      <c r="B83" s="140" t="s">
        <v>73</v>
      </c>
      <c r="C83" s="140" t="s">
        <v>74</v>
      </c>
      <c r="D83" s="149" t="s">
        <v>125</v>
      </c>
      <c r="E83" s="139" t="s">
        <v>126</v>
      </c>
      <c r="G83" s="113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114"/>
      <c r="AA83" s="114"/>
      <c r="AB83" s="114"/>
      <c r="AC83" s="114"/>
      <c r="AD83" s="114"/>
      <c r="AE83" s="114"/>
    </row>
    <row r="84" spans="1:31" x14ac:dyDescent="0.25">
      <c r="A84" s="140" t="s">
        <v>19</v>
      </c>
      <c r="B84" s="140" t="s">
        <v>73</v>
      </c>
      <c r="C84" s="140" t="s">
        <v>74</v>
      </c>
      <c r="D84" s="149" t="s">
        <v>840</v>
      </c>
      <c r="E84" s="139" t="s">
        <v>728</v>
      </c>
      <c r="G84" s="113"/>
      <c r="H84" s="114"/>
      <c r="I84" s="114"/>
      <c r="J84" s="114"/>
      <c r="K84" s="114"/>
      <c r="L84" s="114"/>
      <c r="M84" s="114"/>
      <c r="N84" s="114"/>
      <c r="O84" s="114"/>
      <c r="P84" s="114"/>
      <c r="Q84" s="114"/>
      <c r="R84" s="114"/>
      <c r="S84" s="114"/>
      <c r="T84" s="114"/>
      <c r="U84" s="114"/>
      <c r="V84" s="114"/>
      <c r="W84" s="114"/>
      <c r="X84" s="114"/>
      <c r="Y84" s="114"/>
      <c r="Z84" s="114"/>
      <c r="AA84" s="114"/>
      <c r="AB84" s="114"/>
      <c r="AC84" s="114"/>
      <c r="AD84" s="114"/>
      <c r="AE84" s="114"/>
    </row>
    <row r="85" spans="1:31" x14ac:dyDescent="0.25">
      <c r="A85" s="140" t="s">
        <v>19</v>
      </c>
      <c r="B85" s="140" t="s">
        <v>73</v>
      </c>
      <c r="C85" s="140" t="s">
        <v>116</v>
      </c>
      <c r="D85" s="149" t="s">
        <v>117</v>
      </c>
      <c r="E85" s="139" t="s">
        <v>118</v>
      </c>
      <c r="G85" s="113"/>
      <c r="H85" s="114"/>
      <c r="I85" s="114"/>
      <c r="J85" s="114"/>
      <c r="K85" s="114"/>
      <c r="L85" s="114"/>
      <c r="M85" s="114"/>
      <c r="N85" s="114"/>
      <c r="O85" s="114"/>
      <c r="P85" s="114"/>
      <c r="Q85" s="114"/>
      <c r="R85" s="114"/>
      <c r="S85" s="114"/>
      <c r="T85" s="114"/>
      <c r="U85" s="114"/>
      <c r="V85" s="114"/>
      <c r="W85" s="114"/>
      <c r="X85" s="114"/>
      <c r="Y85" s="114"/>
      <c r="Z85" s="114"/>
      <c r="AA85" s="114"/>
      <c r="AB85" s="114"/>
      <c r="AC85" s="114"/>
      <c r="AD85" s="114"/>
      <c r="AE85" s="114"/>
    </row>
    <row r="86" spans="1:31" x14ac:dyDescent="0.25">
      <c r="A86" s="140" t="s">
        <v>19</v>
      </c>
      <c r="B86" s="140" t="s">
        <v>73</v>
      </c>
      <c r="C86" s="140" t="s">
        <v>116</v>
      </c>
      <c r="D86" s="149" t="s">
        <v>216</v>
      </c>
      <c r="E86" s="139" t="s">
        <v>217</v>
      </c>
      <c r="G86" s="113"/>
      <c r="H86" s="114"/>
      <c r="I86" s="114"/>
      <c r="J86" s="114"/>
      <c r="K86" s="114"/>
      <c r="L86" s="114"/>
      <c r="M86" s="114"/>
      <c r="N86" s="114"/>
      <c r="O86" s="114"/>
      <c r="P86" s="114"/>
      <c r="Q86" s="114"/>
      <c r="R86" s="114"/>
      <c r="S86" s="114"/>
      <c r="T86" s="114"/>
      <c r="U86" s="114"/>
      <c r="V86" s="114"/>
      <c r="W86" s="114"/>
      <c r="X86" s="114"/>
      <c r="Y86" s="114"/>
      <c r="Z86" s="114"/>
      <c r="AA86" s="114"/>
      <c r="AB86" s="114"/>
      <c r="AC86" s="114"/>
      <c r="AD86" s="114"/>
      <c r="AE86" s="114"/>
    </row>
    <row r="87" spans="1:31" x14ac:dyDescent="0.25">
      <c r="A87" s="140" t="s">
        <v>19</v>
      </c>
      <c r="B87" s="140" t="s">
        <v>73</v>
      </c>
      <c r="C87" s="140" t="s">
        <v>116</v>
      </c>
      <c r="D87" s="149" t="s">
        <v>841</v>
      </c>
      <c r="E87" s="139" t="s">
        <v>753</v>
      </c>
      <c r="G87" s="113"/>
      <c r="H87" s="114"/>
      <c r="I87" s="114"/>
      <c r="J87" s="114"/>
      <c r="K87" s="114"/>
      <c r="L87" s="114"/>
      <c r="M87" s="114"/>
      <c r="N87" s="114"/>
      <c r="O87" s="114"/>
      <c r="P87" s="114"/>
      <c r="Q87" s="114"/>
      <c r="R87" s="114"/>
      <c r="S87" s="114"/>
      <c r="T87" s="114"/>
      <c r="U87" s="114"/>
      <c r="V87" s="114"/>
      <c r="W87" s="114"/>
      <c r="X87" s="114"/>
      <c r="Y87" s="114"/>
      <c r="Z87" s="114"/>
      <c r="AA87" s="114"/>
      <c r="AB87" s="114"/>
      <c r="AC87" s="114"/>
      <c r="AD87" s="114"/>
      <c r="AE87" s="114"/>
    </row>
    <row r="88" spans="1:31" x14ac:dyDescent="0.25">
      <c r="A88" s="140" t="s">
        <v>19</v>
      </c>
      <c r="B88" s="140" t="s">
        <v>73</v>
      </c>
      <c r="C88" s="140" t="s">
        <v>119</v>
      </c>
      <c r="D88" s="149" t="s">
        <v>119</v>
      </c>
      <c r="E88" s="139" t="s">
        <v>120</v>
      </c>
      <c r="G88" s="113"/>
      <c r="H88" s="114"/>
      <c r="I88" s="114"/>
      <c r="J88" s="114"/>
      <c r="K88" s="114"/>
      <c r="L88" s="114"/>
      <c r="M88" s="114"/>
      <c r="N88" s="114"/>
      <c r="O88" s="114"/>
      <c r="P88" s="114"/>
      <c r="Q88" s="114"/>
      <c r="R88" s="114"/>
      <c r="S88" s="114"/>
      <c r="T88" s="114"/>
      <c r="U88" s="114"/>
      <c r="V88" s="114"/>
      <c r="W88" s="114"/>
      <c r="X88" s="114"/>
      <c r="Y88" s="114"/>
      <c r="Z88" s="114"/>
      <c r="AA88" s="114"/>
      <c r="AB88" s="114"/>
      <c r="AC88" s="114"/>
      <c r="AD88" s="114"/>
      <c r="AE88" s="114"/>
    </row>
    <row r="89" spans="1:31" x14ac:dyDescent="0.25">
      <c r="A89" s="140" t="s">
        <v>19</v>
      </c>
      <c r="B89" s="140" t="s">
        <v>73</v>
      </c>
      <c r="C89" s="140" t="s">
        <v>119</v>
      </c>
      <c r="D89" s="149" t="s">
        <v>148</v>
      </c>
      <c r="E89" s="139" t="s">
        <v>149</v>
      </c>
      <c r="G89" s="113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  <c r="X89" s="114"/>
      <c r="Y89" s="114"/>
      <c r="Z89" s="114"/>
      <c r="AA89" s="114"/>
      <c r="AB89" s="114"/>
      <c r="AC89" s="114"/>
      <c r="AD89" s="114"/>
      <c r="AE89" s="114"/>
    </row>
    <row r="90" spans="1:31" x14ac:dyDescent="0.25">
      <c r="A90" s="140" t="s">
        <v>19</v>
      </c>
      <c r="B90" s="140" t="s">
        <v>41</v>
      </c>
      <c r="C90" s="140" t="s">
        <v>813</v>
      </c>
      <c r="D90" s="149" t="s">
        <v>842</v>
      </c>
      <c r="E90" s="139" t="s">
        <v>698</v>
      </c>
      <c r="G90" s="113"/>
      <c r="H90" s="114"/>
      <c r="I90" s="114"/>
      <c r="J90" s="114"/>
      <c r="K90" s="114"/>
      <c r="L90" s="114"/>
      <c r="M90" s="114"/>
      <c r="N90" s="114"/>
      <c r="O90" s="114"/>
      <c r="P90" s="114"/>
      <c r="Q90" s="114"/>
      <c r="R90" s="114"/>
      <c r="S90" s="114"/>
      <c r="T90" s="114"/>
      <c r="U90" s="114"/>
      <c r="V90" s="114"/>
      <c r="W90" s="114"/>
      <c r="X90" s="114"/>
      <c r="Y90" s="114"/>
      <c r="Z90" s="114"/>
      <c r="AA90" s="114"/>
      <c r="AB90" s="114"/>
      <c r="AC90" s="114"/>
      <c r="AD90" s="114"/>
      <c r="AE90" s="114"/>
    </row>
    <row r="91" spans="1:31" x14ac:dyDescent="0.25">
      <c r="A91" s="140" t="s">
        <v>19</v>
      </c>
      <c r="B91" s="140" t="s">
        <v>41</v>
      </c>
      <c r="C91" s="140" t="s">
        <v>813</v>
      </c>
      <c r="D91" s="149" t="s">
        <v>843</v>
      </c>
      <c r="E91" s="139" t="s">
        <v>699</v>
      </c>
      <c r="G91" s="113"/>
      <c r="H91" s="114"/>
      <c r="I91" s="114"/>
      <c r="J91" s="114"/>
      <c r="K91" s="114"/>
      <c r="L91" s="114"/>
      <c r="M91" s="114"/>
      <c r="N91" s="114"/>
      <c r="O91" s="114"/>
      <c r="P91" s="114"/>
      <c r="Q91" s="114"/>
      <c r="R91" s="114"/>
      <c r="S91" s="114"/>
      <c r="T91" s="114"/>
      <c r="U91" s="114"/>
      <c r="V91" s="114"/>
      <c r="W91" s="114"/>
      <c r="X91" s="114"/>
      <c r="Y91" s="114"/>
      <c r="Z91" s="114"/>
      <c r="AA91" s="114"/>
      <c r="AB91" s="114"/>
      <c r="AC91" s="114"/>
      <c r="AD91" s="114"/>
      <c r="AE91" s="114"/>
    </row>
    <row r="92" spans="1:31" x14ac:dyDescent="0.25">
      <c r="A92" s="140" t="s">
        <v>19</v>
      </c>
      <c r="B92" s="140" t="s">
        <v>41</v>
      </c>
      <c r="C92" s="140" t="s">
        <v>813</v>
      </c>
      <c r="D92" s="149" t="s">
        <v>497</v>
      </c>
      <c r="E92" s="139" t="s">
        <v>700</v>
      </c>
      <c r="G92" s="113"/>
      <c r="H92" s="114"/>
      <c r="I92" s="114"/>
      <c r="J92" s="114"/>
      <c r="K92" s="114"/>
      <c r="L92" s="114"/>
      <c r="M92" s="114"/>
      <c r="N92" s="114"/>
      <c r="O92" s="114"/>
      <c r="P92" s="114"/>
      <c r="Q92" s="114"/>
      <c r="R92" s="114"/>
      <c r="S92" s="114"/>
      <c r="T92" s="114"/>
      <c r="U92" s="114"/>
      <c r="V92" s="114"/>
      <c r="W92" s="114"/>
      <c r="X92" s="114"/>
      <c r="Y92" s="114"/>
      <c r="Z92" s="114"/>
      <c r="AA92" s="114"/>
      <c r="AB92" s="114"/>
      <c r="AC92" s="114"/>
      <c r="AD92" s="114"/>
      <c r="AE92" s="114"/>
    </row>
    <row r="93" spans="1:31" x14ac:dyDescent="0.25">
      <c r="A93" s="140" t="s">
        <v>19</v>
      </c>
      <c r="B93" s="140" t="s">
        <v>41</v>
      </c>
      <c r="C93" s="140" t="s">
        <v>813</v>
      </c>
      <c r="D93" s="149" t="s">
        <v>42</v>
      </c>
      <c r="E93" s="139" t="s">
        <v>43</v>
      </c>
      <c r="G93" s="113"/>
      <c r="H93" s="114"/>
      <c r="I93" s="114"/>
      <c r="J93" s="114"/>
      <c r="K93" s="114"/>
      <c r="L93" s="114"/>
      <c r="M93" s="114"/>
      <c r="N93" s="114"/>
      <c r="O93" s="114"/>
      <c r="P93" s="114"/>
      <c r="Q93" s="114"/>
      <c r="R93" s="114"/>
      <c r="S93" s="114"/>
      <c r="T93" s="114"/>
      <c r="U93" s="114"/>
      <c r="V93" s="114"/>
      <c r="W93" s="114"/>
      <c r="X93" s="114"/>
      <c r="Y93" s="114"/>
      <c r="Z93" s="114"/>
      <c r="AA93" s="114"/>
      <c r="AB93" s="114"/>
      <c r="AC93" s="114"/>
      <c r="AD93" s="114"/>
      <c r="AE93" s="114"/>
    </row>
    <row r="94" spans="1:31" x14ac:dyDescent="0.25">
      <c r="A94" s="140" t="s">
        <v>19</v>
      </c>
      <c r="B94" s="140" t="s">
        <v>41</v>
      </c>
      <c r="C94" s="140" t="s">
        <v>813</v>
      </c>
      <c r="D94" s="149" t="s">
        <v>844</v>
      </c>
      <c r="E94" s="139" t="s">
        <v>701</v>
      </c>
      <c r="G94" s="113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</row>
    <row r="95" spans="1:31" x14ac:dyDescent="0.25">
      <c r="A95" s="140" t="s">
        <v>19</v>
      </c>
      <c r="B95" s="140" t="s">
        <v>41</v>
      </c>
      <c r="C95" s="140" t="s">
        <v>813</v>
      </c>
      <c r="D95" s="149" t="s">
        <v>845</v>
      </c>
      <c r="E95" s="139" t="s">
        <v>702</v>
      </c>
      <c r="F95" s="105"/>
      <c r="G95" s="113"/>
      <c r="H95" s="114"/>
      <c r="I95" s="114"/>
      <c r="J95" s="114"/>
      <c r="K95" s="114"/>
      <c r="L95" s="114"/>
      <c r="M95" s="114"/>
      <c r="N95" s="114"/>
      <c r="O95" s="114"/>
      <c r="P95" s="114"/>
      <c r="Q95" s="114"/>
      <c r="R95" s="114"/>
      <c r="S95" s="59"/>
      <c r="T95" s="114"/>
      <c r="U95" s="114"/>
      <c r="V95" s="114"/>
      <c r="W95" s="114"/>
      <c r="X95" s="114"/>
      <c r="Y95" s="114"/>
      <c r="Z95" s="114"/>
      <c r="AA95" s="114"/>
      <c r="AB95" s="114"/>
      <c r="AC95" s="114"/>
      <c r="AD95" s="114"/>
      <c r="AE95" s="114"/>
    </row>
    <row r="96" spans="1:31" x14ac:dyDescent="0.25">
      <c r="A96" s="140" t="s">
        <v>19</v>
      </c>
      <c r="B96" s="140" t="s">
        <v>41</v>
      </c>
      <c r="C96" s="140" t="s">
        <v>813</v>
      </c>
      <c r="D96" s="149" t="s">
        <v>846</v>
      </c>
      <c r="E96" s="139" t="s">
        <v>703</v>
      </c>
      <c r="F96" s="105"/>
      <c r="G96" s="113"/>
      <c r="H96" s="114"/>
      <c r="I96" s="114"/>
      <c r="J96" s="114"/>
      <c r="K96" s="114"/>
      <c r="L96" s="114"/>
      <c r="M96" s="114"/>
      <c r="N96" s="114"/>
      <c r="O96" s="114"/>
      <c r="P96" s="114"/>
      <c r="Q96" s="114"/>
      <c r="R96" s="114"/>
      <c r="S96" s="59"/>
      <c r="T96" s="114"/>
      <c r="U96" s="114"/>
      <c r="V96" s="114"/>
      <c r="W96" s="114"/>
      <c r="X96" s="114"/>
      <c r="Y96" s="114"/>
      <c r="Z96" s="114"/>
      <c r="AA96" s="114"/>
      <c r="AB96" s="114"/>
      <c r="AC96" s="114"/>
      <c r="AD96" s="114"/>
      <c r="AE96" s="114"/>
    </row>
    <row r="97" spans="1:31" x14ac:dyDescent="0.25">
      <c r="A97" s="140" t="s">
        <v>19</v>
      </c>
      <c r="B97" s="140" t="s">
        <v>41</v>
      </c>
      <c r="C97" s="140" t="s">
        <v>813</v>
      </c>
      <c r="D97" s="149" t="s">
        <v>64</v>
      </c>
      <c r="E97" s="139" t="s">
        <v>65</v>
      </c>
      <c r="F97" s="105"/>
      <c r="G97" s="113"/>
      <c r="H97" s="114"/>
      <c r="I97" s="114"/>
      <c r="J97" s="114"/>
      <c r="K97" s="114"/>
      <c r="L97" s="114"/>
      <c r="M97" s="114"/>
      <c r="N97" s="114"/>
      <c r="O97" s="114"/>
      <c r="P97" s="114"/>
      <c r="Q97" s="114"/>
      <c r="R97" s="114"/>
      <c r="S97" s="59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  <c r="AD97" s="114"/>
      <c r="AE97" s="114"/>
    </row>
    <row r="98" spans="1:31" x14ac:dyDescent="0.25">
      <c r="A98" s="140" t="s">
        <v>19</v>
      </c>
      <c r="B98" s="140" t="s">
        <v>41</v>
      </c>
      <c r="C98" s="140" t="s">
        <v>813</v>
      </c>
      <c r="D98" s="149" t="s">
        <v>847</v>
      </c>
      <c r="E98" s="139" t="s">
        <v>704</v>
      </c>
      <c r="F98" s="105"/>
      <c r="G98" s="113"/>
      <c r="H98" s="114"/>
      <c r="I98" s="114"/>
      <c r="J98" s="114"/>
      <c r="K98" s="114"/>
      <c r="L98" s="114"/>
      <c r="M98" s="114"/>
      <c r="N98" s="114"/>
      <c r="O98" s="114"/>
      <c r="P98" s="114"/>
      <c r="Q98" s="114"/>
      <c r="R98" s="114"/>
      <c r="S98" s="59"/>
      <c r="T98" s="114"/>
      <c r="U98" s="114"/>
      <c r="V98" s="114"/>
      <c r="W98" s="114"/>
      <c r="X98" s="114"/>
      <c r="Y98" s="114"/>
      <c r="Z98" s="114"/>
      <c r="AA98" s="114"/>
      <c r="AB98" s="114"/>
      <c r="AC98" s="114"/>
      <c r="AD98" s="114"/>
      <c r="AE98" s="114"/>
    </row>
    <row r="99" spans="1:31" x14ac:dyDescent="0.25">
      <c r="A99" s="140" t="s">
        <v>19</v>
      </c>
      <c r="B99" s="140" t="s">
        <v>41</v>
      </c>
      <c r="C99" s="140" t="s">
        <v>813</v>
      </c>
      <c r="D99" s="149" t="s">
        <v>504</v>
      </c>
      <c r="E99" s="139" t="s">
        <v>705</v>
      </c>
      <c r="F99" s="105"/>
      <c r="G99" s="113"/>
      <c r="H99" s="114"/>
      <c r="I99" s="114"/>
      <c r="J99" s="114"/>
      <c r="K99" s="114"/>
      <c r="L99" s="114"/>
      <c r="M99" s="114"/>
      <c r="N99" s="114"/>
      <c r="O99" s="114"/>
      <c r="P99" s="114"/>
      <c r="Q99" s="114"/>
      <c r="R99" s="114"/>
      <c r="S99" s="59"/>
      <c r="T99" s="114"/>
      <c r="U99" s="114"/>
      <c r="V99" s="114"/>
      <c r="W99" s="114"/>
      <c r="X99" s="114"/>
      <c r="Y99" s="114"/>
      <c r="Z99" s="114"/>
      <c r="AA99" s="114"/>
      <c r="AB99" s="114"/>
      <c r="AC99" s="114"/>
      <c r="AD99" s="114"/>
      <c r="AE99" s="114"/>
    </row>
    <row r="100" spans="1:31" x14ac:dyDescent="0.25">
      <c r="A100" s="140" t="s">
        <v>19</v>
      </c>
      <c r="B100" s="140" t="s">
        <v>41</v>
      </c>
      <c r="C100" s="140" t="s">
        <v>813</v>
      </c>
      <c r="D100" s="149" t="s">
        <v>848</v>
      </c>
      <c r="E100" s="139" t="s">
        <v>706</v>
      </c>
      <c r="F100" s="105"/>
      <c r="G100" s="113"/>
      <c r="H100" s="114"/>
      <c r="I100" s="114"/>
      <c r="J100" s="114"/>
      <c r="K100" s="114"/>
      <c r="L100" s="114"/>
      <c r="M100" s="114"/>
      <c r="N100" s="114"/>
      <c r="O100" s="114"/>
      <c r="P100" s="114"/>
      <c r="Q100" s="114"/>
      <c r="R100" s="114"/>
      <c r="S100" s="59"/>
      <c r="T100" s="114"/>
      <c r="U100" s="114"/>
      <c r="V100" s="114"/>
      <c r="W100" s="114"/>
      <c r="X100" s="114"/>
      <c r="Y100" s="114"/>
      <c r="Z100" s="114"/>
      <c r="AA100" s="114"/>
      <c r="AB100" s="114"/>
      <c r="AC100" s="114"/>
      <c r="AD100" s="114"/>
      <c r="AE100" s="114"/>
    </row>
    <row r="101" spans="1:31" x14ac:dyDescent="0.25">
      <c r="A101" s="140" t="s">
        <v>19</v>
      </c>
      <c r="B101" s="140" t="s">
        <v>41</v>
      </c>
      <c r="C101" s="140" t="s">
        <v>813</v>
      </c>
      <c r="D101" s="149" t="s">
        <v>849</v>
      </c>
      <c r="E101" s="139" t="s">
        <v>707</v>
      </c>
      <c r="F101" s="105"/>
      <c r="G101" s="113"/>
      <c r="H101" s="114"/>
      <c r="I101" s="114"/>
      <c r="J101" s="114"/>
      <c r="K101" s="114"/>
      <c r="L101" s="114"/>
      <c r="M101" s="114"/>
      <c r="N101" s="114"/>
      <c r="O101" s="114"/>
      <c r="P101" s="114"/>
      <c r="Q101" s="114"/>
      <c r="R101" s="114"/>
      <c r="S101" s="59"/>
      <c r="T101" s="114"/>
      <c r="U101" s="114"/>
      <c r="V101" s="114"/>
      <c r="W101" s="114"/>
      <c r="X101" s="114"/>
      <c r="Y101" s="114"/>
      <c r="Z101" s="114"/>
      <c r="AA101" s="114"/>
      <c r="AB101" s="114"/>
      <c r="AC101" s="114"/>
      <c r="AD101" s="114"/>
      <c r="AE101" s="114"/>
    </row>
    <row r="102" spans="1:31" x14ac:dyDescent="0.25">
      <c r="A102" s="140" t="s">
        <v>19</v>
      </c>
      <c r="B102" s="140" t="s">
        <v>41</v>
      </c>
      <c r="C102" s="140" t="s">
        <v>813</v>
      </c>
      <c r="D102" s="149" t="s">
        <v>850</v>
      </c>
      <c r="E102" s="139" t="s">
        <v>708</v>
      </c>
      <c r="F102" s="105"/>
      <c r="G102" s="113"/>
      <c r="H102" s="114"/>
      <c r="I102" s="114"/>
      <c r="J102" s="114"/>
      <c r="K102" s="114"/>
      <c r="L102" s="114"/>
      <c r="M102" s="114"/>
      <c r="N102" s="114"/>
      <c r="O102" s="114"/>
      <c r="P102" s="114"/>
      <c r="Q102" s="114"/>
      <c r="R102" s="114"/>
      <c r="S102" s="59"/>
      <c r="T102" s="114"/>
      <c r="U102" s="114"/>
      <c r="V102" s="114"/>
      <c r="W102" s="114"/>
      <c r="X102" s="114"/>
      <c r="Y102" s="114"/>
      <c r="Z102" s="114"/>
      <c r="AA102" s="114"/>
      <c r="AB102" s="114"/>
      <c r="AC102" s="114"/>
      <c r="AD102" s="114"/>
      <c r="AE102" s="114"/>
    </row>
    <row r="103" spans="1:31" x14ac:dyDescent="0.25">
      <c r="A103" s="140" t="s">
        <v>19</v>
      </c>
      <c r="B103" s="140" t="s">
        <v>41</v>
      </c>
      <c r="C103" s="140" t="s">
        <v>813</v>
      </c>
      <c r="D103" s="149" t="s">
        <v>851</v>
      </c>
      <c r="E103" s="139" t="s">
        <v>709</v>
      </c>
      <c r="F103" s="105"/>
      <c r="G103" s="113"/>
      <c r="H103" s="114"/>
      <c r="I103" s="114"/>
      <c r="J103" s="114"/>
      <c r="K103" s="114"/>
      <c r="L103" s="114"/>
      <c r="M103" s="114"/>
      <c r="N103" s="114"/>
      <c r="O103" s="114"/>
      <c r="P103" s="114"/>
      <c r="Q103" s="114"/>
      <c r="R103" s="114"/>
      <c r="S103" s="59"/>
      <c r="T103" s="114"/>
      <c r="U103" s="114"/>
      <c r="V103" s="114"/>
      <c r="W103" s="114"/>
      <c r="X103" s="114"/>
      <c r="Y103" s="114"/>
      <c r="Z103" s="114"/>
      <c r="AA103" s="114"/>
      <c r="AB103" s="114"/>
      <c r="AC103" s="114"/>
      <c r="AD103" s="114"/>
      <c r="AE103" s="114"/>
    </row>
    <row r="104" spans="1:31" x14ac:dyDescent="0.25">
      <c r="A104" s="140" t="s">
        <v>19</v>
      </c>
      <c r="B104" s="140" t="s">
        <v>55</v>
      </c>
      <c r="C104" s="140" t="s">
        <v>220</v>
      </c>
      <c r="D104" s="149" t="s">
        <v>220</v>
      </c>
      <c r="E104" s="139" t="s">
        <v>221</v>
      </c>
      <c r="F104" s="105"/>
      <c r="G104" s="113"/>
      <c r="H104" s="114"/>
      <c r="I104" s="114"/>
      <c r="J104" s="114"/>
      <c r="K104" s="114"/>
      <c r="L104" s="114"/>
      <c r="M104" s="114"/>
      <c r="N104" s="114"/>
      <c r="O104" s="114"/>
      <c r="P104" s="114"/>
      <c r="Q104" s="114"/>
      <c r="R104" s="114"/>
      <c r="S104" s="59"/>
      <c r="T104" s="114"/>
      <c r="U104" s="114"/>
      <c r="V104" s="114"/>
      <c r="W104" s="114"/>
      <c r="X104" s="114"/>
      <c r="Y104" s="114"/>
      <c r="Z104" s="114"/>
      <c r="AA104" s="114"/>
      <c r="AB104" s="114"/>
      <c r="AC104" s="114"/>
      <c r="AD104" s="114"/>
      <c r="AE104" s="114"/>
    </row>
    <row r="105" spans="1:31" x14ac:dyDescent="0.25">
      <c r="A105" s="140" t="s">
        <v>19</v>
      </c>
      <c r="B105" s="140" t="s">
        <v>55</v>
      </c>
      <c r="C105" s="140" t="s">
        <v>220</v>
      </c>
      <c r="D105" s="149" t="s">
        <v>852</v>
      </c>
      <c r="E105" s="139" t="s">
        <v>696</v>
      </c>
      <c r="F105" s="105"/>
      <c r="G105" s="113"/>
      <c r="H105" s="114"/>
      <c r="I105" s="114"/>
      <c r="J105" s="114"/>
      <c r="K105" s="114"/>
      <c r="L105" s="114"/>
      <c r="M105" s="114"/>
      <c r="N105" s="114"/>
      <c r="O105" s="114"/>
      <c r="P105" s="114"/>
      <c r="Q105" s="114"/>
      <c r="R105" s="114"/>
      <c r="S105" s="59"/>
      <c r="T105" s="114"/>
      <c r="U105" s="114"/>
      <c r="V105" s="114"/>
      <c r="W105" s="114"/>
      <c r="X105" s="114"/>
      <c r="Y105" s="114"/>
      <c r="Z105" s="114"/>
      <c r="AA105" s="114"/>
      <c r="AB105" s="114"/>
      <c r="AC105" s="114"/>
      <c r="AD105" s="114"/>
      <c r="AE105" s="114"/>
    </row>
    <row r="106" spans="1:31" x14ac:dyDescent="0.25">
      <c r="A106" s="140" t="s">
        <v>19</v>
      </c>
      <c r="B106" s="140" t="s">
        <v>55</v>
      </c>
      <c r="C106" s="140" t="s">
        <v>220</v>
      </c>
      <c r="D106" s="149" t="s">
        <v>515</v>
      </c>
      <c r="E106" s="139" t="s">
        <v>697</v>
      </c>
      <c r="F106" s="105"/>
      <c r="G106" s="113"/>
      <c r="H106" s="114"/>
      <c r="I106" s="114"/>
      <c r="J106" s="114"/>
      <c r="K106" s="114"/>
      <c r="L106" s="114"/>
      <c r="M106" s="114"/>
      <c r="N106" s="114"/>
      <c r="O106" s="114"/>
      <c r="P106" s="114"/>
      <c r="Q106" s="114"/>
      <c r="R106" s="114"/>
      <c r="S106" s="59"/>
      <c r="T106" s="114"/>
      <c r="U106" s="114"/>
      <c r="V106" s="114"/>
      <c r="W106" s="114"/>
      <c r="X106" s="114"/>
      <c r="Y106" s="114"/>
      <c r="Z106" s="114"/>
      <c r="AA106" s="114"/>
      <c r="AB106" s="114"/>
      <c r="AC106" s="114"/>
      <c r="AD106" s="114"/>
      <c r="AE106" s="114"/>
    </row>
    <row r="107" spans="1:31" x14ac:dyDescent="0.25">
      <c r="A107" s="140" t="s">
        <v>19</v>
      </c>
      <c r="B107" s="140" t="s">
        <v>55</v>
      </c>
      <c r="C107" s="140" t="s">
        <v>56</v>
      </c>
      <c r="D107" s="149" t="s">
        <v>488</v>
      </c>
      <c r="E107" s="139" t="s">
        <v>711</v>
      </c>
      <c r="F107" s="105"/>
      <c r="G107" s="113"/>
      <c r="H107" s="114"/>
      <c r="I107" s="114"/>
      <c r="J107" s="114"/>
      <c r="K107" s="114"/>
      <c r="L107" s="114"/>
      <c r="M107" s="114"/>
      <c r="N107" s="114"/>
      <c r="O107" s="114"/>
      <c r="P107" s="114"/>
      <c r="Q107" s="114"/>
      <c r="R107" s="114"/>
      <c r="S107" s="59"/>
      <c r="T107" s="114"/>
      <c r="U107" s="114"/>
      <c r="V107" s="114"/>
      <c r="W107" s="114"/>
      <c r="X107" s="114"/>
      <c r="Y107" s="114"/>
      <c r="Z107" s="114"/>
      <c r="AA107" s="114"/>
      <c r="AB107" s="114"/>
      <c r="AC107" s="114"/>
      <c r="AD107" s="114"/>
      <c r="AE107" s="114"/>
    </row>
    <row r="108" spans="1:31" x14ac:dyDescent="0.25">
      <c r="A108" s="140" t="s">
        <v>19</v>
      </c>
      <c r="B108" s="140" t="s">
        <v>55</v>
      </c>
      <c r="C108" s="140" t="s">
        <v>56</v>
      </c>
      <c r="D108" s="149" t="s">
        <v>56</v>
      </c>
      <c r="E108" s="139" t="s">
        <v>57</v>
      </c>
      <c r="F108" s="105"/>
      <c r="G108" s="113"/>
      <c r="H108" s="114"/>
      <c r="I108" s="114"/>
      <c r="J108" s="114"/>
      <c r="K108" s="114"/>
      <c r="L108" s="114"/>
      <c r="M108" s="114"/>
      <c r="N108" s="114"/>
      <c r="O108" s="114"/>
      <c r="P108" s="114"/>
      <c r="Q108" s="114"/>
      <c r="R108" s="114"/>
      <c r="S108" s="59"/>
      <c r="T108" s="114"/>
      <c r="U108" s="114"/>
      <c r="V108" s="114"/>
      <c r="W108" s="114"/>
      <c r="X108" s="114"/>
      <c r="Y108" s="114"/>
      <c r="Z108" s="114"/>
      <c r="AA108" s="114"/>
      <c r="AB108" s="114"/>
      <c r="AC108" s="114"/>
      <c r="AD108" s="114"/>
      <c r="AE108" s="114"/>
    </row>
    <row r="109" spans="1:31" x14ac:dyDescent="0.25">
      <c r="A109" s="140" t="s">
        <v>19</v>
      </c>
      <c r="B109" s="140" t="s">
        <v>55</v>
      </c>
      <c r="C109" s="140" t="s">
        <v>86</v>
      </c>
      <c r="D109" s="149" t="s">
        <v>445</v>
      </c>
      <c r="E109" s="139" t="s">
        <v>719</v>
      </c>
      <c r="F109" s="105"/>
      <c r="G109" s="113"/>
      <c r="H109" s="114"/>
      <c r="I109" s="114"/>
      <c r="J109" s="114"/>
      <c r="K109" s="114"/>
      <c r="L109" s="114"/>
      <c r="M109" s="114"/>
      <c r="N109" s="114"/>
      <c r="O109" s="114"/>
      <c r="P109" s="114"/>
      <c r="Q109" s="114"/>
      <c r="R109" s="114"/>
      <c r="S109" s="59"/>
      <c r="T109" s="114"/>
      <c r="U109" s="114"/>
      <c r="V109" s="114"/>
      <c r="W109" s="114"/>
      <c r="X109" s="114"/>
      <c r="Y109" s="114"/>
      <c r="Z109" s="114"/>
      <c r="AA109" s="114"/>
      <c r="AB109" s="114"/>
      <c r="AC109" s="114"/>
      <c r="AD109" s="114"/>
      <c r="AE109" s="114"/>
    </row>
    <row r="110" spans="1:31" x14ac:dyDescent="0.25">
      <c r="A110" s="140" t="s">
        <v>19</v>
      </c>
      <c r="B110" s="140" t="s">
        <v>55</v>
      </c>
      <c r="C110" s="140" t="s">
        <v>86</v>
      </c>
      <c r="D110" s="149" t="s">
        <v>853</v>
      </c>
      <c r="E110" s="139" t="s">
        <v>720</v>
      </c>
      <c r="F110" s="105"/>
      <c r="G110" s="113"/>
      <c r="H110" s="114"/>
      <c r="I110" s="114"/>
      <c r="J110" s="114"/>
      <c r="K110" s="114"/>
      <c r="L110" s="114"/>
      <c r="M110" s="114"/>
      <c r="N110" s="114"/>
      <c r="O110" s="114"/>
      <c r="P110" s="114"/>
      <c r="Q110" s="114"/>
      <c r="R110" s="114"/>
      <c r="S110" s="59"/>
      <c r="T110" s="114"/>
      <c r="U110" s="114"/>
      <c r="V110" s="114"/>
      <c r="W110" s="114"/>
      <c r="X110" s="114"/>
      <c r="Y110" s="114"/>
      <c r="Z110" s="114"/>
      <c r="AA110" s="114"/>
      <c r="AB110" s="114"/>
      <c r="AC110" s="114"/>
      <c r="AD110" s="114"/>
      <c r="AE110" s="114"/>
    </row>
    <row r="111" spans="1:31" x14ac:dyDescent="0.25">
      <c r="A111" s="140" t="s">
        <v>19</v>
      </c>
      <c r="B111" s="140" t="s">
        <v>55</v>
      </c>
      <c r="C111" s="140" t="s">
        <v>86</v>
      </c>
      <c r="D111" s="149" t="s">
        <v>854</v>
      </c>
      <c r="E111" s="139" t="s">
        <v>721</v>
      </c>
      <c r="F111" s="105"/>
      <c r="G111" s="113"/>
      <c r="H111" s="114"/>
      <c r="I111" s="114"/>
      <c r="J111" s="114"/>
      <c r="K111" s="114"/>
      <c r="L111" s="114"/>
      <c r="M111" s="114"/>
      <c r="N111" s="114"/>
      <c r="O111" s="114"/>
      <c r="P111" s="114"/>
      <c r="Q111" s="114"/>
      <c r="R111" s="114"/>
      <c r="S111" s="59"/>
      <c r="T111" s="114"/>
      <c r="U111" s="114"/>
      <c r="V111" s="114"/>
      <c r="W111" s="114"/>
      <c r="X111" s="114"/>
      <c r="Y111" s="114"/>
      <c r="Z111" s="114"/>
      <c r="AA111" s="114"/>
      <c r="AB111" s="114"/>
      <c r="AC111" s="114"/>
      <c r="AD111" s="114"/>
      <c r="AE111" s="114"/>
    </row>
    <row r="112" spans="1:31" x14ac:dyDescent="0.25">
      <c r="A112" s="140" t="s">
        <v>19</v>
      </c>
      <c r="B112" s="140" t="s">
        <v>55</v>
      </c>
      <c r="C112" s="140" t="s">
        <v>86</v>
      </c>
      <c r="D112" s="149" t="s">
        <v>855</v>
      </c>
      <c r="E112" s="139" t="s">
        <v>722</v>
      </c>
      <c r="F112" s="105"/>
      <c r="G112" s="113"/>
      <c r="H112" s="114"/>
      <c r="I112" s="114"/>
      <c r="J112" s="114"/>
      <c r="K112" s="114"/>
      <c r="L112" s="114"/>
      <c r="M112" s="114"/>
      <c r="N112" s="114"/>
      <c r="O112" s="114"/>
      <c r="P112" s="114"/>
      <c r="Q112" s="114"/>
      <c r="R112" s="114"/>
      <c r="S112" s="59"/>
      <c r="T112" s="114"/>
      <c r="U112" s="114"/>
      <c r="V112" s="114"/>
      <c r="W112" s="114"/>
      <c r="X112" s="114"/>
      <c r="Y112" s="114"/>
      <c r="Z112" s="114"/>
      <c r="AA112" s="114"/>
      <c r="AB112" s="114"/>
      <c r="AC112" s="114"/>
      <c r="AD112" s="114"/>
      <c r="AE112" s="114"/>
    </row>
    <row r="113" spans="1:31" x14ac:dyDescent="0.25">
      <c r="A113" s="140" t="s">
        <v>19</v>
      </c>
      <c r="B113" s="140" t="s">
        <v>55</v>
      </c>
      <c r="C113" s="140" t="s">
        <v>86</v>
      </c>
      <c r="D113" s="149" t="s">
        <v>87</v>
      </c>
      <c r="E113" s="139" t="s">
        <v>88</v>
      </c>
      <c r="F113" s="105"/>
      <c r="G113" s="113"/>
      <c r="H113" s="114"/>
      <c r="I113" s="114"/>
      <c r="J113" s="114"/>
      <c r="K113" s="114"/>
      <c r="L113" s="114"/>
      <c r="M113" s="114"/>
      <c r="N113" s="114"/>
      <c r="O113" s="114"/>
      <c r="P113" s="114"/>
      <c r="Q113" s="114"/>
      <c r="R113" s="114"/>
      <c r="S113" s="59"/>
      <c r="T113" s="114"/>
      <c r="U113" s="114"/>
      <c r="V113" s="114"/>
      <c r="W113" s="114"/>
      <c r="X113" s="114"/>
      <c r="Y113" s="114"/>
      <c r="Z113" s="114"/>
      <c r="AA113" s="114"/>
      <c r="AB113" s="114"/>
      <c r="AC113" s="114"/>
      <c r="AD113" s="114"/>
      <c r="AE113" s="114"/>
    </row>
    <row r="114" spans="1:31" x14ac:dyDescent="0.25">
      <c r="A114" s="140" t="s">
        <v>19</v>
      </c>
      <c r="B114" s="140" t="s">
        <v>55</v>
      </c>
      <c r="C114" s="140" t="s">
        <v>86</v>
      </c>
      <c r="D114" s="149" t="s">
        <v>856</v>
      </c>
      <c r="E114" s="139" t="s">
        <v>723</v>
      </c>
      <c r="F114" s="105"/>
      <c r="G114" s="113"/>
      <c r="H114" s="114"/>
      <c r="I114" s="114"/>
      <c r="J114" s="114"/>
      <c r="K114" s="114"/>
      <c r="L114" s="114"/>
      <c r="M114" s="114"/>
      <c r="N114" s="114"/>
      <c r="O114" s="114"/>
      <c r="P114" s="114"/>
      <c r="Q114" s="114"/>
      <c r="R114" s="114"/>
      <c r="S114" s="59"/>
      <c r="T114" s="114"/>
      <c r="U114" s="114"/>
      <c r="V114" s="114"/>
      <c r="W114" s="114"/>
      <c r="X114" s="114"/>
      <c r="Y114" s="114"/>
      <c r="Z114" s="114"/>
      <c r="AA114" s="114"/>
      <c r="AB114" s="114"/>
      <c r="AC114" s="114"/>
      <c r="AD114" s="114"/>
      <c r="AE114" s="114"/>
    </row>
    <row r="115" spans="1:31" x14ac:dyDescent="0.25">
      <c r="A115" s="140" t="s">
        <v>19</v>
      </c>
      <c r="B115" s="140" t="s">
        <v>55</v>
      </c>
      <c r="C115" s="140" t="s">
        <v>78</v>
      </c>
      <c r="D115" s="149" t="s">
        <v>326</v>
      </c>
      <c r="E115" s="139" t="s">
        <v>693</v>
      </c>
      <c r="F115" s="105"/>
      <c r="G115" s="113"/>
      <c r="H115" s="114"/>
      <c r="I115" s="114"/>
      <c r="J115" s="114"/>
      <c r="K115" s="114"/>
      <c r="L115" s="114"/>
      <c r="M115" s="114"/>
      <c r="N115" s="114"/>
      <c r="O115" s="114"/>
      <c r="P115" s="114"/>
      <c r="Q115" s="114"/>
      <c r="R115" s="114"/>
      <c r="S115" s="59"/>
      <c r="T115" s="114"/>
      <c r="U115" s="114"/>
      <c r="V115" s="114"/>
      <c r="W115" s="114"/>
      <c r="X115" s="114"/>
      <c r="Y115" s="114"/>
      <c r="Z115" s="114"/>
      <c r="AA115" s="114"/>
      <c r="AB115" s="114"/>
      <c r="AC115" s="114"/>
      <c r="AD115" s="114"/>
      <c r="AE115" s="114"/>
    </row>
    <row r="116" spans="1:31" x14ac:dyDescent="0.25">
      <c r="A116" s="140" t="s">
        <v>19</v>
      </c>
      <c r="B116" s="140" t="s">
        <v>55</v>
      </c>
      <c r="C116" s="140" t="s">
        <v>78</v>
      </c>
      <c r="D116" s="149" t="s">
        <v>79</v>
      </c>
      <c r="E116" s="139" t="s">
        <v>80</v>
      </c>
      <c r="F116" s="105"/>
      <c r="G116" s="113"/>
      <c r="H116" s="114"/>
      <c r="I116" s="114"/>
      <c r="J116" s="114"/>
      <c r="K116" s="114"/>
      <c r="L116" s="114"/>
      <c r="M116" s="114"/>
      <c r="N116" s="114"/>
      <c r="O116" s="114"/>
      <c r="P116" s="114"/>
      <c r="Q116" s="114"/>
      <c r="R116" s="114"/>
      <c r="S116" s="59"/>
      <c r="T116" s="114"/>
      <c r="U116" s="114"/>
      <c r="V116" s="114"/>
      <c r="W116" s="114"/>
      <c r="X116" s="114"/>
      <c r="Y116" s="114"/>
      <c r="Z116" s="114"/>
      <c r="AA116" s="114"/>
      <c r="AB116" s="114"/>
      <c r="AC116" s="114"/>
      <c r="AD116" s="114"/>
      <c r="AE116" s="114"/>
    </row>
    <row r="117" spans="1:31" x14ac:dyDescent="0.25">
      <c r="A117" s="140" t="s">
        <v>19</v>
      </c>
      <c r="B117" s="140" t="s">
        <v>55</v>
      </c>
      <c r="C117" s="140" t="s">
        <v>78</v>
      </c>
      <c r="D117" s="149" t="s">
        <v>857</v>
      </c>
      <c r="E117" s="139" t="s">
        <v>694</v>
      </c>
      <c r="F117" s="105"/>
      <c r="G117" s="113"/>
      <c r="H117" s="114"/>
      <c r="I117" s="114"/>
      <c r="J117" s="114"/>
      <c r="K117" s="114"/>
      <c r="L117" s="114"/>
      <c r="M117" s="114"/>
      <c r="N117" s="114"/>
      <c r="O117" s="114"/>
      <c r="P117" s="114"/>
      <c r="Q117" s="114"/>
      <c r="R117" s="114"/>
      <c r="S117" s="59"/>
      <c r="T117" s="114"/>
      <c r="U117" s="114"/>
      <c r="V117" s="114"/>
      <c r="W117" s="114"/>
      <c r="X117" s="114"/>
      <c r="Y117" s="114"/>
      <c r="Z117" s="114"/>
      <c r="AA117" s="114"/>
      <c r="AB117" s="114"/>
      <c r="AC117" s="114"/>
      <c r="AD117" s="114"/>
      <c r="AE117" s="114"/>
    </row>
    <row r="118" spans="1:31" x14ac:dyDescent="0.25">
      <c r="A118" s="140" t="s">
        <v>19</v>
      </c>
      <c r="B118" s="140" t="s">
        <v>55</v>
      </c>
      <c r="C118" s="140" t="s">
        <v>78</v>
      </c>
      <c r="D118" s="149" t="s">
        <v>98</v>
      </c>
      <c r="E118" s="139" t="s">
        <v>99</v>
      </c>
      <c r="F118" s="105"/>
      <c r="G118" s="113"/>
      <c r="H118" s="114"/>
      <c r="I118" s="114"/>
      <c r="J118" s="114"/>
      <c r="K118" s="114"/>
      <c r="L118" s="114"/>
      <c r="M118" s="114"/>
      <c r="N118" s="114"/>
      <c r="O118" s="114"/>
      <c r="P118" s="114"/>
      <c r="Q118" s="114"/>
      <c r="R118" s="114"/>
      <c r="S118" s="59"/>
      <c r="T118" s="114"/>
      <c r="U118" s="114"/>
      <c r="V118" s="114"/>
      <c r="W118" s="114"/>
      <c r="X118" s="114"/>
      <c r="Y118" s="114"/>
      <c r="Z118" s="114"/>
      <c r="AA118" s="114"/>
      <c r="AB118" s="114"/>
      <c r="AC118" s="114"/>
      <c r="AD118" s="114"/>
      <c r="AE118" s="114"/>
    </row>
    <row r="119" spans="1:31" x14ac:dyDescent="0.25">
      <c r="A119" s="140" t="s">
        <v>19</v>
      </c>
      <c r="B119" s="140" t="s">
        <v>55</v>
      </c>
      <c r="C119" s="140" t="s">
        <v>78</v>
      </c>
      <c r="D119" s="149" t="s">
        <v>333</v>
      </c>
      <c r="E119" s="139" t="s">
        <v>695</v>
      </c>
      <c r="F119" s="105"/>
      <c r="G119" s="113"/>
      <c r="H119" s="114"/>
      <c r="I119" s="114"/>
      <c r="J119" s="114"/>
      <c r="K119" s="114"/>
      <c r="L119" s="114"/>
      <c r="M119" s="114"/>
      <c r="N119" s="114"/>
      <c r="O119" s="114"/>
      <c r="P119" s="114"/>
      <c r="Q119" s="114"/>
      <c r="R119" s="114"/>
      <c r="S119" s="59"/>
      <c r="T119" s="114"/>
      <c r="U119" s="114"/>
      <c r="V119" s="114"/>
      <c r="W119" s="114"/>
      <c r="X119" s="114"/>
      <c r="Y119" s="114"/>
      <c r="Z119" s="114"/>
      <c r="AA119" s="114"/>
      <c r="AB119" s="114"/>
      <c r="AC119" s="114"/>
      <c r="AD119" s="114"/>
      <c r="AE119" s="114"/>
    </row>
    <row r="120" spans="1:31" x14ac:dyDescent="0.25">
      <c r="A120" s="140" t="s">
        <v>19</v>
      </c>
      <c r="B120" s="140" t="s">
        <v>31</v>
      </c>
      <c r="C120" s="140" t="s">
        <v>32</v>
      </c>
      <c r="D120" s="149" t="s">
        <v>32</v>
      </c>
      <c r="E120" s="139" t="s">
        <v>33</v>
      </c>
      <c r="F120" s="105"/>
      <c r="G120" s="113"/>
      <c r="H120" s="114"/>
      <c r="I120" s="114"/>
      <c r="J120" s="114"/>
      <c r="K120" s="114"/>
      <c r="L120" s="114"/>
      <c r="M120" s="114"/>
      <c r="N120" s="114"/>
      <c r="O120" s="114"/>
      <c r="P120" s="114"/>
      <c r="Q120" s="114"/>
      <c r="R120" s="114"/>
      <c r="S120" s="59"/>
      <c r="T120" s="114"/>
      <c r="U120" s="114"/>
      <c r="V120" s="114"/>
      <c r="W120" s="114"/>
      <c r="X120" s="114"/>
      <c r="Y120" s="114"/>
      <c r="Z120" s="114"/>
      <c r="AA120" s="114"/>
      <c r="AB120" s="114"/>
      <c r="AC120" s="114"/>
      <c r="AD120" s="114"/>
      <c r="AE120" s="114"/>
    </row>
    <row r="121" spans="1:31" x14ac:dyDescent="0.25">
      <c r="A121" s="140" t="s">
        <v>19</v>
      </c>
      <c r="B121" s="140" t="s">
        <v>31</v>
      </c>
      <c r="C121" s="140" t="s">
        <v>127</v>
      </c>
      <c r="D121" s="149" t="s">
        <v>858</v>
      </c>
      <c r="E121" s="139" t="s">
        <v>712</v>
      </c>
      <c r="F121" s="105"/>
      <c r="G121" s="113"/>
      <c r="H121" s="114"/>
      <c r="I121" s="114"/>
      <c r="J121" s="114"/>
      <c r="K121" s="114"/>
      <c r="L121" s="114"/>
      <c r="M121" s="114"/>
      <c r="N121" s="114"/>
      <c r="O121" s="114"/>
      <c r="P121" s="114"/>
      <c r="Q121" s="114"/>
      <c r="R121" s="114"/>
      <c r="S121" s="59"/>
      <c r="T121" s="114"/>
      <c r="U121" s="114"/>
      <c r="V121" s="114"/>
      <c r="W121" s="114"/>
      <c r="X121" s="114"/>
      <c r="Y121" s="114"/>
      <c r="Z121" s="114"/>
      <c r="AA121" s="114"/>
      <c r="AB121" s="114"/>
      <c r="AC121" s="114"/>
      <c r="AD121" s="114"/>
      <c r="AE121" s="114"/>
    </row>
    <row r="122" spans="1:31" x14ac:dyDescent="0.25">
      <c r="A122" s="140" t="s">
        <v>19</v>
      </c>
      <c r="B122" s="140" t="s">
        <v>31</v>
      </c>
      <c r="C122" s="140" t="s">
        <v>127</v>
      </c>
      <c r="D122" s="149" t="s">
        <v>483</v>
      </c>
      <c r="E122" s="139" t="s">
        <v>713</v>
      </c>
      <c r="F122" s="105"/>
      <c r="G122" s="113"/>
      <c r="H122" s="114"/>
      <c r="I122" s="114"/>
      <c r="J122" s="114"/>
      <c r="K122" s="114"/>
      <c r="L122" s="114"/>
      <c r="M122" s="114"/>
      <c r="N122" s="114"/>
      <c r="O122" s="114"/>
      <c r="P122" s="114"/>
      <c r="Q122" s="114"/>
      <c r="R122" s="114"/>
      <c r="S122" s="59"/>
      <c r="T122" s="114"/>
      <c r="U122" s="114"/>
      <c r="V122" s="114"/>
      <c r="W122" s="114"/>
      <c r="X122" s="114"/>
      <c r="Y122" s="114"/>
      <c r="Z122" s="114"/>
      <c r="AA122" s="114"/>
      <c r="AB122" s="114"/>
      <c r="AC122" s="114"/>
      <c r="AD122" s="114"/>
      <c r="AE122" s="114"/>
    </row>
    <row r="123" spans="1:31" x14ac:dyDescent="0.25">
      <c r="A123" s="140" t="s">
        <v>19</v>
      </c>
      <c r="B123" s="140" t="s">
        <v>31</v>
      </c>
      <c r="C123" s="140" t="s">
        <v>127</v>
      </c>
      <c r="D123" s="149" t="s">
        <v>485</v>
      </c>
      <c r="E123" s="139" t="s">
        <v>714</v>
      </c>
      <c r="F123" s="105"/>
      <c r="G123" s="113"/>
      <c r="H123" s="114"/>
      <c r="I123" s="114"/>
      <c r="J123" s="114"/>
      <c r="K123" s="114"/>
      <c r="L123" s="114"/>
      <c r="M123" s="114"/>
      <c r="N123" s="114"/>
      <c r="O123" s="114"/>
      <c r="P123" s="114"/>
      <c r="Q123" s="114"/>
      <c r="R123" s="114"/>
      <c r="S123" s="59"/>
      <c r="T123" s="114"/>
      <c r="U123" s="114"/>
      <c r="V123" s="114"/>
      <c r="W123" s="114"/>
      <c r="X123" s="114"/>
      <c r="Y123" s="114"/>
      <c r="Z123" s="114"/>
      <c r="AA123" s="114"/>
      <c r="AB123" s="114"/>
      <c r="AC123" s="114"/>
      <c r="AD123" s="114"/>
      <c r="AE123" s="114"/>
    </row>
    <row r="124" spans="1:31" x14ac:dyDescent="0.25">
      <c r="A124" s="140" t="s">
        <v>19</v>
      </c>
      <c r="B124" s="140" t="s">
        <v>31</v>
      </c>
      <c r="C124" s="140" t="s">
        <v>127</v>
      </c>
      <c r="D124" s="149" t="s">
        <v>859</v>
      </c>
      <c r="E124" s="139" t="s">
        <v>715</v>
      </c>
      <c r="F124" s="105"/>
      <c r="G124" s="113"/>
      <c r="H124" s="114"/>
      <c r="I124" s="114"/>
      <c r="J124" s="114"/>
      <c r="K124" s="114"/>
      <c r="L124" s="114"/>
      <c r="M124" s="114"/>
      <c r="N124" s="114"/>
      <c r="O124" s="114"/>
      <c r="P124" s="114"/>
      <c r="Q124" s="114"/>
      <c r="R124" s="114"/>
      <c r="S124" s="59"/>
      <c r="T124" s="114"/>
      <c r="U124" s="114"/>
      <c r="V124" s="114"/>
      <c r="W124" s="114"/>
      <c r="X124" s="114"/>
      <c r="Y124" s="114"/>
      <c r="Z124" s="114"/>
      <c r="AA124" s="114"/>
      <c r="AB124" s="114"/>
      <c r="AC124" s="114"/>
      <c r="AD124" s="114"/>
      <c r="AE124" s="114"/>
    </row>
    <row r="125" spans="1:31" x14ac:dyDescent="0.25">
      <c r="A125" s="140" t="s">
        <v>19</v>
      </c>
      <c r="B125" s="140" t="s">
        <v>31</v>
      </c>
      <c r="C125" s="140" t="s">
        <v>127</v>
      </c>
      <c r="D125" s="149" t="s">
        <v>860</v>
      </c>
      <c r="E125" s="139" t="s">
        <v>129</v>
      </c>
      <c r="F125" s="105"/>
      <c r="G125" s="113"/>
      <c r="H125" s="114"/>
      <c r="I125" s="114"/>
      <c r="J125" s="114"/>
      <c r="K125" s="114"/>
      <c r="L125" s="114"/>
      <c r="M125" s="114"/>
      <c r="N125" s="114"/>
      <c r="O125" s="114"/>
      <c r="P125" s="114"/>
      <c r="Q125" s="114"/>
      <c r="R125" s="114"/>
      <c r="S125" s="59"/>
      <c r="T125" s="114"/>
      <c r="U125" s="114"/>
      <c r="V125" s="114"/>
      <c r="W125" s="114"/>
      <c r="X125" s="114"/>
      <c r="Y125" s="114"/>
      <c r="Z125" s="114"/>
      <c r="AA125" s="114"/>
      <c r="AB125" s="114"/>
      <c r="AC125" s="114"/>
      <c r="AD125" s="114"/>
      <c r="AE125" s="114"/>
    </row>
    <row r="126" spans="1:31" x14ac:dyDescent="0.25">
      <c r="A126" s="140" t="s">
        <v>19</v>
      </c>
      <c r="B126" s="140" t="s">
        <v>31</v>
      </c>
      <c r="C126" s="140" t="s">
        <v>111</v>
      </c>
      <c r="D126" s="149" t="s">
        <v>430</v>
      </c>
      <c r="E126" s="139" t="s">
        <v>730</v>
      </c>
      <c r="F126" s="105"/>
      <c r="G126" s="113"/>
      <c r="H126" s="114"/>
      <c r="I126" s="114"/>
      <c r="J126" s="114"/>
      <c r="K126" s="114"/>
      <c r="L126" s="114"/>
      <c r="M126" s="114"/>
      <c r="N126" s="114"/>
      <c r="O126" s="114"/>
      <c r="P126" s="114"/>
      <c r="Q126" s="114"/>
      <c r="R126" s="114"/>
      <c r="S126" s="59"/>
      <c r="T126" s="114"/>
      <c r="U126" s="114"/>
      <c r="V126" s="114"/>
      <c r="W126" s="114"/>
      <c r="X126" s="114"/>
      <c r="Y126" s="114"/>
      <c r="Z126" s="114"/>
      <c r="AA126" s="114"/>
      <c r="AB126" s="114"/>
      <c r="AC126" s="114"/>
      <c r="AD126" s="114"/>
      <c r="AE126" s="114"/>
    </row>
    <row r="127" spans="1:31" x14ac:dyDescent="0.25">
      <c r="A127" s="140" t="s">
        <v>19</v>
      </c>
      <c r="B127" s="140" t="s">
        <v>31</v>
      </c>
      <c r="C127" s="140" t="s">
        <v>111</v>
      </c>
      <c r="D127" s="149" t="s">
        <v>861</v>
      </c>
      <c r="E127" s="139" t="s">
        <v>731</v>
      </c>
      <c r="F127" s="105"/>
      <c r="G127" s="113"/>
      <c r="H127" s="114"/>
      <c r="I127" s="114"/>
      <c r="J127" s="114"/>
      <c r="K127" s="114"/>
      <c r="L127" s="114"/>
      <c r="M127" s="114"/>
      <c r="N127" s="114"/>
      <c r="O127" s="114"/>
      <c r="P127" s="114"/>
      <c r="Q127" s="114"/>
      <c r="R127" s="114"/>
      <c r="S127" s="59"/>
      <c r="T127" s="114"/>
      <c r="U127" s="114"/>
      <c r="V127" s="114"/>
      <c r="W127" s="114"/>
      <c r="X127" s="114"/>
      <c r="Y127" s="114"/>
      <c r="Z127" s="114"/>
      <c r="AA127" s="114"/>
      <c r="AB127" s="114"/>
      <c r="AC127" s="114"/>
      <c r="AD127" s="114"/>
      <c r="AE127" s="114"/>
    </row>
    <row r="128" spans="1:31" x14ac:dyDescent="0.25">
      <c r="A128" s="140" t="s">
        <v>19</v>
      </c>
      <c r="B128" s="140" t="s">
        <v>31</v>
      </c>
      <c r="C128" s="140" t="s">
        <v>111</v>
      </c>
      <c r="D128" s="149" t="s">
        <v>111</v>
      </c>
      <c r="E128" s="139" t="s">
        <v>112</v>
      </c>
      <c r="F128" s="105"/>
      <c r="G128" s="113"/>
      <c r="H128" s="114"/>
      <c r="I128" s="114"/>
      <c r="J128" s="114"/>
      <c r="K128" s="114"/>
      <c r="L128" s="114"/>
      <c r="M128" s="114"/>
      <c r="N128" s="114"/>
      <c r="O128" s="114"/>
      <c r="P128" s="114"/>
      <c r="Q128" s="114"/>
      <c r="R128" s="114"/>
      <c r="S128" s="59"/>
      <c r="T128" s="114"/>
      <c r="U128" s="114"/>
      <c r="V128" s="114"/>
      <c r="W128" s="114"/>
      <c r="X128" s="114"/>
      <c r="Y128" s="114"/>
      <c r="Z128" s="114"/>
      <c r="AA128" s="114"/>
      <c r="AB128" s="114"/>
      <c r="AC128" s="114"/>
      <c r="AD128" s="114"/>
      <c r="AE128" s="114"/>
    </row>
    <row r="129" spans="1:31" x14ac:dyDescent="0.25">
      <c r="A129" s="140" t="s">
        <v>19</v>
      </c>
      <c r="B129" s="140" t="s">
        <v>31</v>
      </c>
      <c r="C129" s="140" t="s">
        <v>132</v>
      </c>
      <c r="D129" s="149" t="s">
        <v>862</v>
      </c>
      <c r="E129" s="139" t="s">
        <v>733</v>
      </c>
      <c r="F129" s="105"/>
      <c r="G129" s="113"/>
      <c r="H129" s="114"/>
      <c r="I129" s="114"/>
      <c r="J129" s="114"/>
      <c r="K129" s="114"/>
      <c r="L129" s="114"/>
      <c r="M129" s="114"/>
      <c r="N129" s="114"/>
      <c r="O129" s="114"/>
      <c r="P129" s="114"/>
      <c r="Q129" s="114"/>
      <c r="R129" s="114"/>
      <c r="S129" s="59"/>
      <c r="T129" s="114"/>
      <c r="U129" s="114"/>
      <c r="V129" s="114"/>
      <c r="W129" s="114"/>
      <c r="X129" s="114"/>
      <c r="Y129" s="114"/>
      <c r="Z129" s="114"/>
      <c r="AA129" s="114"/>
      <c r="AB129" s="114"/>
      <c r="AC129" s="114"/>
      <c r="AD129" s="114"/>
      <c r="AE129" s="114"/>
    </row>
    <row r="130" spans="1:31" x14ac:dyDescent="0.25">
      <c r="A130" s="140" t="s">
        <v>19</v>
      </c>
      <c r="B130" s="140" t="s">
        <v>31</v>
      </c>
      <c r="C130" s="140" t="s">
        <v>132</v>
      </c>
      <c r="D130" s="149" t="s">
        <v>132</v>
      </c>
      <c r="E130" s="139" t="s">
        <v>133</v>
      </c>
      <c r="F130" s="105"/>
      <c r="G130" s="113"/>
      <c r="H130" s="114"/>
      <c r="I130" s="114"/>
      <c r="J130" s="114"/>
      <c r="K130" s="114"/>
      <c r="L130" s="114"/>
      <c r="M130" s="114"/>
      <c r="N130" s="114"/>
      <c r="O130" s="114"/>
      <c r="P130" s="114"/>
      <c r="Q130" s="114"/>
      <c r="R130" s="114"/>
      <c r="S130" s="59"/>
      <c r="T130" s="114"/>
      <c r="U130" s="114"/>
      <c r="V130" s="114"/>
      <c r="W130" s="114"/>
      <c r="X130" s="114"/>
      <c r="Y130" s="114"/>
      <c r="Z130" s="114"/>
      <c r="AA130" s="114"/>
      <c r="AB130" s="114"/>
      <c r="AC130" s="114"/>
      <c r="AD130" s="114"/>
      <c r="AE130" s="114"/>
    </row>
    <row r="131" spans="1:31" x14ac:dyDescent="0.25">
      <c r="A131" s="140" t="s">
        <v>19</v>
      </c>
      <c r="B131" s="140" t="s">
        <v>31</v>
      </c>
      <c r="C131" s="140" t="s">
        <v>814</v>
      </c>
      <c r="D131" s="149" t="s">
        <v>863</v>
      </c>
      <c r="E131" s="139" t="s">
        <v>754</v>
      </c>
      <c r="F131" s="105"/>
      <c r="G131" s="113"/>
      <c r="H131" s="114"/>
      <c r="I131" s="114"/>
      <c r="J131" s="114"/>
      <c r="K131" s="114"/>
      <c r="L131" s="114"/>
      <c r="M131" s="114"/>
      <c r="N131" s="114"/>
      <c r="O131" s="114"/>
      <c r="P131" s="114"/>
      <c r="Q131" s="114"/>
      <c r="R131" s="114"/>
      <c r="S131" s="59"/>
      <c r="T131" s="114"/>
      <c r="U131" s="114"/>
      <c r="V131" s="114"/>
      <c r="W131" s="114"/>
      <c r="X131" s="114"/>
      <c r="Y131" s="114"/>
      <c r="Z131" s="114"/>
      <c r="AA131" s="114"/>
      <c r="AB131" s="114"/>
      <c r="AC131" s="114"/>
      <c r="AD131" s="114"/>
      <c r="AE131" s="114"/>
    </row>
    <row r="132" spans="1:31" x14ac:dyDescent="0.25">
      <c r="A132" s="140" t="s">
        <v>19</v>
      </c>
      <c r="B132" s="140" t="s">
        <v>31</v>
      </c>
      <c r="C132" s="140" t="s">
        <v>814</v>
      </c>
      <c r="D132" s="149" t="s">
        <v>864</v>
      </c>
      <c r="E132" s="139" t="s">
        <v>755</v>
      </c>
      <c r="F132" s="105"/>
      <c r="G132" s="113"/>
      <c r="H132" s="114"/>
      <c r="I132" s="114"/>
      <c r="J132" s="114"/>
      <c r="K132" s="114"/>
      <c r="L132" s="114"/>
      <c r="M132" s="114"/>
      <c r="N132" s="114"/>
      <c r="O132" s="114"/>
      <c r="P132" s="114"/>
      <c r="Q132" s="114"/>
      <c r="R132" s="114"/>
      <c r="S132" s="59"/>
      <c r="T132" s="114"/>
      <c r="U132" s="114"/>
      <c r="V132" s="114"/>
      <c r="W132" s="114"/>
      <c r="X132" s="114"/>
      <c r="Y132" s="114"/>
      <c r="Z132" s="114"/>
      <c r="AA132" s="114"/>
      <c r="AB132" s="114"/>
      <c r="AC132" s="114"/>
      <c r="AD132" s="114"/>
      <c r="AE132" s="114"/>
    </row>
    <row r="133" spans="1:31" x14ac:dyDescent="0.25">
      <c r="A133" s="140" t="s">
        <v>19</v>
      </c>
      <c r="B133" s="140" t="s">
        <v>31</v>
      </c>
      <c r="C133" s="140" t="s">
        <v>814</v>
      </c>
      <c r="D133" s="149" t="s">
        <v>865</v>
      </c>
      <c r="E133" s="139" t="s">
        <v>756</v>
      </c>
      <c r="F133" s="105"/>
      <c r="G133" s="113"/>
      <c r="H133" s="114"/>
      <c r="I133" s="114"/>
      <c r="J133" s="114"/>
      <c r="K133" s="114"/>
      <c r="L133" s="114"/>
      <c r="M133" s="114"/>
      <c r="N133" s="114"/>
      <c r="O133" s="114"/>
      <c r="P133" s="114"/>
      <c r="Q133" s="114"/>
      <c r="R133" s="114"/>
      <c r="S133" s="59"/>
      <c r="T133" s="114"/>
      <c r="U133" s="114"/>
      <c r="V133" s="114"/>
      <c r="W133" s="114"/>
      <c r="X133" s="114"/>
      <c r="Y133" s="114"/>
      <c r="Z133" s="114"/>
      <c r="AA133" s="114"/>
      <c r="AB133" s="114"/>
      <c r="AC133" s="114"/>
      <c r="AD133" s="114"/>
      <c r="AE133" s="114"/>
    </row>
    <row r="134" spans="1:31" x14ac:dyDescent="0.25">
      <c r="A134" s="140" t="s">
        <v>19</v>
      </c>
      <c r="B134" s="140" t="s">
        <v>31</v>
      </c>
      <c r="C134" s="140" t="s">
        <v>814</v>
      </c>
      <c r="D134" s="149" t="s">
        <v>866</v>
      </c>
      <c r="E134" s="139" t="s">
        <v>757</v>
      </c>
      <c r="F134" s="105"/>
      <c r="G134" s="113"/>
      <c r="H134" s="114"/>
      <c r="I134" s="114"/>
      <c r="J134" s="114"/>
      <c r="K134" s="114"/>
      <c r="L134" s="114"/>
      <c r="M134" s="114"/>
      <c r="N134" s="114"/>
      <c r="O134" s="114"/>
      <c r="P134" s="114"/>
      <c r="Q134" s="114"/>
      <c r="R134" s="114"/>
      <c r="S134" s="59"/>
      <c r="T134" s="114"/>
      <c r="U134" s="114"/>
      <c r="V134" s="114"/>
      <c r="W134" s="114"/>
      <c r="X134" s="114"/>
      <c r="Y134" s="114"/>
      <c r="Z134" s="114"/>
      <c r="AA134" s="114"/>
      <c r="AB134" s="114"/>
      <c r="AC134" s="114"/>
      <c r="AD134" s="114"/>
      <c r="AE134" s="114"/>
    </row>
    <row r="135" spans="1:31" x14ac:dyDescent="0.25">
      <c r="A135" s="140" t="s">
        <v>19</v>
      </c>
      <c r="B135" s="140" t="s">
        <v>31</v>
      </c>
      <c r="C135" s="140" t="s">
        <v>814</v>
      </c>
      <c r="D135" s="149" t="s">
        <v>123</v>
      </c>
      <c r="E135" s="139" t="s">
        <v>124</v>
      </c>
      <c r="F135" s="105"/>
      <c r="G135" s="113"/>
      <c r="H135" s="114"/>
      <c r="I135" s="114"/>
      <c r="J135" s="114"/>
      <c r="K135" s="114"/>
      <c r="L135" s="114"/>
      <c r="M135" s="114"/>
      <c r="N135" s="114"/>
      <c r="O135" s="114"/>
      <c r="P135" s="114"/>
      <c r="Q135" s="114"/>
      <c r="R135" s="114"/>
      <c r="S135" s="59"/>
      <c r="T135" s="114"/>
      <c r="U135" s="114"/>
      <c r="V135" s="114"/>
      <c r="W135" s="114"/>
      <c r="X135" s="114"/>
      <c r="Y135" s="114"/>
      <c r="Z135" s="114"/>
      <c r="AA135" s="114"/>
      <c r="AB135" s="114"/>
      <c r="AC135" s="114"/>
      <c r="AD135" s="114"/>
      <c r="AE135" s="114"/>
    </row>
    <row r="136" spans="1:31" x14ac:dyDescent="0.25">
      <c r="A136" s="140" t="s">
        <v>19</v>
      </c>
      <c r="B136" s="140" t="s">
        <v>31</v>
      </c>
      <c r="C136" s="140" t="s">
        <v>814</v>
      </c>
      <c r="D136" s="149" t="s">
        <v>867</v>
      </c>
      <c r="E136" s="139" t="s">
        <v>758</v>
      </c>
      <c r="F136" s="105"/>
      <c r="G136" s="113"/>
      <c r="H136" s="114"/>
      <c r="I136" s="114"/>
      <c r="J136" s="114"/>
      <c r="K136" s="114"/>
      <c r="L136" s="114"/>
      <c r="M136" s="114"/>
      <c r="N136" s="114"/>
      <c r="O136" s="114"/>
      <c r="P136" s="114"/>
      <c r="Q136" s="114"/>
      <c r="R136" s="114"/>
      <c r="S136" s="59"/>
      <c r="T136" s="114"/>
      <c r="U136" s="114"/>
      <c r="V136" s="114"/>
      <c r="W136" s="114"/>
      <c r="X136" s="114"/>
      <c r="Y136" s="114"/>
      <c r="Z136" s="114"/>
      <c r="AA136" s="114"/>
      <c r="AB136" s="114"/>
      <c r="AC136" s="114"/>
      <c r="AD136" s="114"/>
      <c r="AE136" s="114"/>
    </row>
    <row r="137" spans="1:31" x14ac:dyDescent="0.25">
      <c r="A137" s="140" t="s">
        <v>19</v>
      </c>
      <c r="B137" s="140" t="s">
        <v>58</v>
      </c>
      <c r="C137" s="140" t="s">
        <v>66</v>
      </c>
      <c r="D137" s="149" t="s">
        <v>585</v>
      </c>
      <c r="E137" s="139" t="s">
        <v>660</v>
      </c>
      <c r="F137" s="105"/>
      <c r="G137" s="113"/>
      <c r="H137" s="114"/>
      <c r="I137" s="114"/>
      <c r="J137" s="114"/>
      <c r="K137" s="114"/>
      <c r="L137" s="114"/>
      <c r="M137" s="114"/>
      <c r="N137" s="114"/>
      <c r="O137" s="114"/>
      <c r="P137" s="114"/>
      <c r="Q137" s="114"/>
      <c r="R137" s="114"/>
      <c r="S137" s="59"/>
      <c r="T137" s="114"/>
      <c r="U137" s="114"/>
      <c r="V137" s="114"/>
      <c r="W137" s="114"/>
      <c r="X137" s="114"/>
      <c r="Y137" s="114"/>
      <c r="Z137" s="114"/>
      <c r="AA137" s="114"/>
      <c r="AB137" s="114"/>
      <c r="AC137" s="114"/>
      <c r="AD137" s="114"/>
      <c r="AE137" s="114"/>
    </row>
    <row r="138" spans="1:31" x14ac:dyDescent="0.25">
      <c r="A138" s="140" t="s">
        <v>19</v>
      </c>
      <c r="B138" s="140" t="s">
        <v>58</v>
      </c>
      <c r="C138" s="140" t="s">
        <v>66</v>
      </c>
      <c r="D138" s="149" t="s">
        <v>868</v>
      </c>
      <c r="E138" s="139" t="s">
        <v>661</v>
      </c>
      <c r="F138" s="105"/>
      <c r="G138" s="113"/>
      <c r="H138" s="114"/>
      <c r="I138" s="114"/>
      <c r="J138" s="114"/>
      <c r="K138" s="114"/>
      <c r="L138" s="114"/>
      <c r="M138" s="114"/>
      <c r="N138" s="114"/>
      <c r="O138" s="114"/>
      <c r="P138" s="114"/>
      <c r="Q138" s="114"/>
      <c r="R138" s="114"/>
      <c r="S138" s="59"/>
      <c r="T138" s="114"/>
      <c r="U138" s="114"/>
      <c r="V138" s="114"/>
      <c r="W138" s="114"/>
      <c r="X138" s="114"/>
      <c r="Y138" s="114"/>
      <c r="Z138" s="114"/>
      <c r="AA138" s="114"/>
      <c r="AB138" s="114"/>
      <c r="AC138" s="114"/>
      <c r="AD138" s="114"/>
      <c r="AE138" s="114"/>
    </row>
    <row r="139" spans="1:31" x14ac:dyDescent="0.25">
      <c r="A139" s="140" t="s">
        <v>19</v>
      </c>
      <c r="B139" s="140" t="s">
        <v>58</v>
      </c>
      <c r="C139" s="140" t="s">
        <v>66</v>
      </c>
      <c r="D139" s="149" t="s">
        <v>590</v>
      </c>
      <c r="E139" s="139" t="s">
        <v>662</v>
      </c>
      <c r="F139" s="105"/>
      <c r="G139" s="113"/>
      <c r="H139" s="114"/>
      <c r="I139" s="114"/>
      <c r="J139" s="114"/>
      <c r="K139" s="114"/>
      <c r="L139" s="114"/>
      <c r="M139" s="114"/>
      <c r="N139" s="114"/>
      <c r="O139" s="114"/>
      <c r="P139" s="114"/>
      <c r="Q139" s="114"/>
      <c r="R139" s="114"/>
      <c r="S139" s="59"/>
      <c r="T139" s="114"/>
      <c r="U139" s="114"/>
      <c r="V139" s="114"/>
      <c r="W139" s="114"/>
      <c r="X139" s="114"/>
      <c r="Y139" s="114"/>
      <c r="Z139" s="114"/>
      <c r="AA139" s="114"/>
      <c r="AB139" s="114"/>
      <c r="AC139" s="114"/>
      <c r="AD139" s="114"/>
      <c r="AE139" s="114"/>
    </row>
    <row r="140" spans="1:31" x14ac:dyDescent="0.25">
      <c r="A140" s="140" t="s">
        <v>19</v>
      </c>
      <c r="B140" s="140" t="s">
        <v>58</v>
      </c>
      <c r="C140" s="140" t="s">
        <v>66</v>
      </c>
      <c r="D140" s="149" t="s">
        <v>598</v>
      </c>
      <c r="E140" s="139" t="s">
        <v>666</v>
      </c>
      <c r="F140" s="105"/>
      <c r="G140" s="113"/>
      <c r="H140" s="114"/>
      <c r="I140" s="114"/>
      <c r="J140" s="114"/>
      <c r="K140" s="114"/>
      <c r="L140" s="114"/>
      <c r="M140" s="114"/>
      <c r="N140" s="114"/>
      <c r="O140" s="114"/>
      <c r="P140" s="114"/>
      <c r="Q140" s="114"/>
      <c r="R140" s="114"/>
      <c r="S140" s="59"/>
      <c r="T140" s="114"/>
      <c r="U140" s="114"/>
      <c r="V140" s="114"/>
      <c r="W140" s="114"/>
      <c r="X140" s="114"/>
      <c r="Y140" s="114"/>
      <c r="Z140" s="114"/>
      <c r="AA140" s="114"/>
      <c r="AB140" s="114"/>
      <c r="AC140" s="114"/>
      <c r="AD140" s="114"/>
      <c r="AE140" s="114"/>
    </row>
    <row r="141" spans="1:31" x14ac:dyDescent="0.25">
      <c r="A141" s="140" t="s">
        <v>19</v>
      </c>
      <c r="B141" s="140" t="s">
        <v>58</v>
      </c>
      <c r="C141" s="140" t="s">
        <v>66</v>
      </c>
      <c r="D141" s="149" t="s">
        <v>222</v>
      </c>
      <c r="E141" s="139" t="s">
        <v>223</v>
      </c>
      <c r="F141" s="105"/>
      <c r="G141" s="113"/>
      <c r="H141" s="114"/>
      <c r="I141" s="114"/>
      <c r="J141" s="114"/>
      <c r="K141" s="114"/>
      <c r="L141" s="114"/>
      <c r="M141" s="114"/>
      <c r="N141" s="114"/>
      <c r="O141" s="114"/>
      <c r="P141" s="114"/>
      <c r="Q141" s="114"/>
      <c r="R141" s="114"/>
      <c r="S141" s="59"/>
      <c r="T141" s="114"/>
      <c r="U141" s="114"/>
      <c r="V141" s="114"/>
      <c r="W141" s="114"/>
      <c r="X141" s="114"/>
      <c r="Y141" s="114"/>
      <c r="Z141" s="114"/>
      <c r="AA141" s="114"/>
      <c r="AB141" s="114"/>
      <c r="AC141" s="114"/>
      <c r="AD141" s="114"/>
      <c r="AE141" s="114"/>
    </row>
    <row r="142" spans="1:31" x14ac:dyDescent="0.25">
      <c r="A142" s="140" t="s">
        <v>19</v>
      </c>
      <c r="B142" s="140" t="s">
        <v>58</v>
      </c>
      <c r="C142" s="140" t="s">
        <v>66</v>
      </c>
      <c r="D142" s="149" t="s">
        <v>186</v>
      </c>
      <c r="E142" s="139" t="s">
        <v>663</v>
      </c>
      <c r="F142" s="105"/>
      <c r="G142" s="113"/>
      <c r="H142" s="114"/>
      <c r="I142" s="114"/>
      <c r="J142" s="114"/>
      <c r="K142" s="114"/>
      <c r="L142" s="114"/>
      <c r="M142" s="114"/>
      <c r="N142" s="114"/>
      <c r="O142" s="114"/>
      <c r="P142" s="114"/>
      <c r="Q142" s="114"/>
      <c r="R142" s="114"/>
      <c r="S142" s="59"/>
      <c r="T142" s="114"/>
      <c r="U142" s="114"/>
      <c r="V142" s="114"/>
      <c r="W142" s="114"/>
      <c r="X142" s="114"/>
      <c r="Y142" s="114"/>
      <c r="Z142" s="114"/>
      <c r="AA142" s="114"/>
      <c r="AB142" s="114"/>
      <c r="AC142" s="114"/>
      <c r="AD142" s="114"/>
      <c r="AE142" s="114"/>
    </row>
    <row r="143" spans="1:31" x14ac:dyDescent="0.25">
      <c r="A143" s="140" t="s">
        <v>19</v>
      </c>
      <c r="B143" s="140" t="s">
        <v>58</v>
      </c>
      <c r="C143" s="140" t="s">
        <v>66</v>
      </c>
      <c r="D143" s="149" t="s">
        <v>224</v>
      </c>
      <c r="E143" s="139" t="s">
        <v>225</v>
      </c>
      <c r="F143" s="105"/>
      <c r="G143" s="113"/>
      <c r="H143" s="114"/>
      <c r="I143" s="114"/>
      <c r="J143" s="114"/>
      <c r="K143" s="114"/>
      <c r="L143" s="114"/>
      <c r="M143" s="114"/>
      <c r="N143" s="114"/>
      <c r="O143" s="114"/>
      <c r="P143" s="114"/>
      <c r="Q143" s="114"/>
      <c r="R143" s="114"/>
      <c r="S143" s="59"/>
      <c r="T143" s="114"/>
      <c r="U143" s="114"/>
      <c r="V143" s="114"/>
      <c r="W143" s="114"/>
      <c r="X143" s="114"/>
      <c r="Y143" s="114"/>
      <c r="Z143" s="114"/>
      <c r="AA143" s="114"/>
      <c r="AB143" s="114"/>
      <c r="AC143" s="114"/>
      <c r="AD143" s="114"/>
      <c r="AE143" s="114"/>
    </row>
    <row r="144" spans="1:31" x14ac:dyDescent="0.25">
      <c r="A144" s="140" t="s">
        <v>19</v>
      </c>
      <c r="B144" s="140" t="s">
        <v>58</v>
      </c>
      <c r="C144" s="140" t="s">
        <v>66</v>
      </c>
      <c r="D144" s="149" t="s">
        <v>869</v>
      </c>
      <c r="E144" s="139" t="s">
        <v>664</v>
      </c>
      <c r="F144" s="105"/>
      <c r="G144" s="113"/>
      <c r="H144" s="114"/>
      <c r="I144" s="114"/>
      <c r="J144" s="114"/>
      <c r="K144" s="114"/>
      <c r="L144" s="114"/>
      <c r="M144" s="114"/>
      <c r="N144" s="114"/>
      <c r="O144" s="114"/>
      <c r="P144" s="114"/>
      <c r="Q144" s="114"/>
      <c r="R144" s="114"/>
      <c r="S144" s="59"/>
      <c r="T144" s="114"/>
      <c r="U144" s="114"/>
      <c r="V144" s="114"/>
      <c r="W144" s="114"/>
      <c r="X144" s="114"/>
      <c r="Y144" s="114"/>
      <c r="Z144" s="114"/>
      <c r="AA144" s="114"/>
      <c r="AB144" s="114"/>
      <c r="AC144" s="114"/>
      <c r="AD144" s="114"/>
      <c r="AE144" s="114"/>
    </row>
    <row r="145" spans="1:31" x14ac:dyDescent="0.25">
      <c r="A145" s="140" t="s">
        <v>19</v>
      </c>
      <c r="B145" s="140" t="s">
        <v>58</v>
      </c>
      <c r="C145" s="140" t="s">
        <v>66</v>
      </c>
      <c r="D145" s="149" t="s">
        <v>166</v>
      </c>
      <c r="E145" s="139" t="s">
        <v>167</v>
      </c>
      <c r="F145" s="105"/>
      <c r="G145" s="113"/>
      <c r="H145" s="114"/>
      <c r="I145" s="114"/>
      <c r="J145" s="114"/>
      <c r="K145" s="114"/>
      <c r="L145" s="114"/>
      <c r="M145" s="114"/>
      <c r="N145" s="114"/>
      <c r="O145" s="114"/>
      <c r="P145" s="114"/>
      <c r="Q145" s="114"/>
      <c r="R145" s="114"/>
      <c r="S145" s="59"/>
      <c r="T145" s="114"/>
      <c r="U145" s="114"/>
      <c r="V145" s="114"/>
      <c r="W145" s="114"/>
      <c r="X145" s="114"/>
      <c r="Y145" s="114"/>
      <c r="Z145" s="114"/>
      <c r="AA145" s="114"/>
      <c r="AB145" s="114"/>
      <c r="AC145" s="114"/>
      <c r="AD145" s="114"/>
      <c r="AE145" s="114"/>
    </row>
    <row r="146" spans="1:31" x14ac:dyDescent="0.25">
      <c r="A146" s="140" t="s">
        <v>19</v>
      </c>
      <c r="B146" s="140" t="s">
        <v>58</v>
      </c>
      <c r="C146" s="140" t="s">
        <v>66</v>
      </c>
      <c r="D146" s="149" t="s">
        <v>870</v>
      </c>
      <c r="E146" s="139" t="s">
        <v>665</v>
      </c>
      <c r="F146" s="105"/>
      <c r="G146" s="113"/>
      <c r="H146" s="114"/>
      <c r="I146" s="114"/>
      <c r="J146" s="114"/>
      <c r="K146" s="114"/>
      <c r="L146" s="114"/>
      <c r="M146" s="114"/>
      <c r="N146" s="114"/>
      <c r="O146" s="114"/>
      <c r="P146" s="114"/>
      <c r="Q146" s="114"/>
      <c r="R146" s="114"/>
      <c r="S146" s="59"/>
      <c r="T146" s="114"/>
      <c r="U146" s="114"/>
      <c r="V146" s="114"/>
      <c r="W146" s="114"/>
      <c r="X146" s="114"/>
      <c r="Y146" s="114"/>
      <c r="Z146" s="114"/>
      <c r="AA146" s="114"/>
      <c r="AB146" s="114"/>
      <c r="AC146" s="114"/>
      <c r="AD146" s="114"/>
      <c r="AE146" s="114"/>
    </row>
    <row r="147" spans="1:31" x14ac:dyDescent="0.25">
      <c r="A147" s="140" t="s">
        <v>19</v>
      </c>
      <c r="B147" s="140" t="s">
        <v>58</v>
      </c>
      <c r="C147" s="140" t="s">
        <v>66</v>
      </c>
      <c r="D147" s="149" t="s">
        <v>871</v>
      </c>
      <c r="E147" s="139" t="s">
        <v>667</v>
      </c>
      <c r="F147" s="105"/>
      <c r="G147" s="113"/>
      <c r="H147" s="114"/>
      <c r="I147" s="114"/>
      <c r="J147" s="114"/>
      <c r="K147" s="114"/>
      <c r="L147" s="114"/>
      <c r="M147" s="114"/>
      <c r="N147" s="114"/>
      <c r="O147" s="114"/>
      <c r="P147" s="114"/>
      <c r="Q147" s="114"/>
      <c r="R147" s="114"/>
      <c r="S147" s="59"/>
      <c r="T147" s="114"/>
      <c r="U147" s="114"/>
      <c r="V147" s="114"/>
      <c r="W147" s="114"/>
      <c r="X147" s="114"/>
      <c r="Y147" s="114"/>
      <c r="Z147" s="114"/>
      <c r="AA147" s="114"/>
      <c r="AB147" s="114"/>
      <c r="AC147" s="114"/>
      <c r="AD147" s="114"/>
      <c r="AE147" s="114"/>
    </row>
    <row r="148" spans="1:31" x14ac:dyDescent="0.25">
      <c r="A148" s="140" t="s">
        <v>19</v>
      </c>
      <c r="B148" s="140" t="s">
        <v>58</v>
      </c>
      <c r="C148" s="140" t="s">
        <v>66</v>
      </c>
      <c r="D148" s="149" t="s">
        <v>67</v>
      </c>
      <c r="E148" s="139" t="s">
        <v>68</v>
      </c>
      <c r="F148" s="105"/>
      <c r="G148" s="113"/>
      <c r="H148" s="114"/>
      <c r="I148" s="114"/>
      <c r="J148" s="114"/>
      <c r="K148" s="114"/>
      <c r="L148" s="114"/>
      <c r="M148" s="114"/>
      <c r="N148" s="114"/>
      <c r="O148" s="114"/>
      <c r="P148" s="114"/>
      <c r="Q148" s="114"/>
      <c r="R148" s="114"/>
      <c r="S148" s="59"/>
      <c r="T148" s="114"/>
      <c r="U148" s="114"/>
      <c r="V148" s="114"/>
      <c r="W148" s="114"/>
      <c r="X148" s="114"/>
      <c r="Y148" s="114"/>
      <c r="Z148" s="114"/>
      <c r="AA148" s="114"/>
      <c r="AB148" s="114"/>
      <c r="AC148" s="114"/>
      <c r="AD148" s="114"/>
      <c r="AE148" s="114"/>
    </row>
    <row r="149" spans="1:31" x14ac:dyDescent="0.25">
      <c r="A149" s="140" t="s">
        <v>19</v>
      </c>
      <c r="B149" s="140" t="s">
        <v>58</v>
      </c>
      <c r="C149" s="140" t="s">
        <v>66</v>
      </c>
      <c r="D149" s="149" t="s">
        <v>872</v>
      </c>
      <c r="E149" s="139" t="s">
        <v>668</v>
      </c>
      <c r="F149" s="105"/>
      <c r="G149" s="113"/>
      <c r="H149" s="114"/>
      <c r="I149" s="114"/>
      <c r="J149" s="114"/>
      <c r="K149" s="114"/>
      <c r="L149" s="114"/>
      <c r="M149" s="114"/>
      <c r="N149" s="114"/>
      <c r="O149" s="114"/>
      <c r="P149" s="114"/>
      <c r="Q149" s="114"/>
      <c r="R149" s="114"/>
      <c r="S149" s="59"/>
      <c r="T149" s="114"/>
      <c r="U149" s="114"/>
      <c r="V149" s="114"/>
      <c r="W149" s="114"/>
      <c r="X149" s="114"/>
      <c r="Y149" s="114"/>
      <c r="Z149" s="114"/>
      <c r="AA149" s="114"/>
      <c r="AB149" s="114"/>
      <c r="AC149" s="114"/>
      <c r="AD149" s="114"/>
      <c r="AE149" s="114"/>
    </row>
    <row r="150" spans="1:31" x14ac:dyDescent="0.25">
      <c r="A150" s="140" t="s">
        <v>19</v>
      </c>
      <c r="B150" s="140" t="s">
        <v>58</v>
      </c>
      <c r="C150" s="140" t="s">
        <v>66</v>
      </c>
      <c r="D150" s="149" t="s">
        <v>873</v>
      </c>
      <c r="E150" s="139" t="s">
        <v>669</v>
      </c>
      <c r="F150" s="105"/>
      <c r="G150" s="113"/>
      <c r="H150" s="114"/>
      <c r="I150" s="114"/>
      <c r="J150" s="114"/>
      <c r="K150" s="114"/>
      <c r="L150" s="114"/>
      <c r="M150" s="114"/>
      <c r="N150" s="114"/>
      <c r="O150" s="114"/>
      <c r="P150" s="114"/>
      <c r="Q150" s="114"/>
      <c r="R150" s="114"/>
      <c r="S150" s="59"/>
      <c r="T150" s="114"/>
      <c r="U150" s="114"/>
      <c r="V150" s="114"/>
      <c r="W150" s="114"/>
      <c r="X150" s="114"/>
      <c r="Y150" s="114"/>
      <c r="Z150" s="114"/>
      <c r="AA150" s="114"/>
      <c r="AB150" s="114"/>
      <c r="AC150" s="114"/>
      <c r="AD150" s="114"/>
      <c r="AE150" s="114"/>
    </row>
    <row r="151" spans="1:31" x14ac:dyDescent="0.25">
      <c r="A151" s="140" t="s">
        <v>19</v>
      </c>
      <c r="B151" s="140" t="s">
        <v>58</v>
      </c>
      <c r="C151" s="140" t="s">
        <v>66</v>
      </c>
      <c r="D151" s="149" t="s">
        <v>226</v>
      </c>
      <c r="E151" s="139" t="s">
        <v>227</v>
      </c>
      <c r="F151" s="105"/>
      <c r="G151" s="113"/>
      <c r="H151" s="114"/>
      <c r="I151" s="114"/>
      <c r="J151" s="114"/>
      <c r="K151" s="114"/>
      <c r="L151" s="114"/>
      <c r="M151" s="114"/>
      <c r="N151" s="114"/>
      <c r="O151" s="114"/>
      <c r="P151" s="114"/>
      <c r="Q151" s="114"/>
      <c r="R151" s="114"/>
      <c r="S151" s="59"/>
      <c r="T151" s="114"/>
      <c r="U151" s="114"/>
      <c r="V151" s="114"/>
      <c r="W151" s="114"/>
      <c r="X151" s="114"/>
      <c r="Y151" s="114"/>
      <c r="Z151" s="114"/>
      <c r="AA151" s="114"/>
      <c r="AB151" s="114"/>
      <c r="AC151" s="114"/>
      <c r="AD151" s="114"/>
      <c r="AE151" s="114"/>
    </row>
    <row r="152" spans="1:31" x14ac:dyDescent="0.25">
      <c r="A152" s="140" t="s">
        <v>19</v>
      </c>
      <c r="B152" s="140" t="s">
        <v>58</v>
      </c>
      <c r="C152" s="140" t="s">
        <v>66</v>
      </c>
      <c r="D152" s="149" t="s">
        <v>874</v>
      </c>
      <c r="E152" s="139" t="s">
        <v>670</v>
      </c>
      <c r="F152" s="105"/>
      <c r="G152" s="113"/>
      <c r="H152" s="114"/>
      <c r="I152" s="114"/>
      <c r="J152" s="114"/>
      <c r="K152" s="114"/>
      <c r="L152" s="114"/>
      <c r="M152" s="114"/>
      <c r="N152" s="114"/>
      <c r="O152" s="114"/>
      <c r="P152" s="114"/>
      <c r="Q152" s="114"/>
      <c r="R152" s="114"/>
      <c r="S152" s="59"/>
      <c r="T152" s="114"/>
      <c r="U152" s="114"/>
      <c r="V152" s="114"/>
      <c r="W152" s="114"/>
      <c r="X152" s="114"/>
      <c r="Y152" s="114"/>
      <c r="Z152" s="114"/>
      <c r="AA152" s="114"/>
      <c r="AB152" s="114"/>
      <c r="AC152" s="114"/>
      <c r="AD152" s="114"/>
      <c r="AE152" s="114"/>
    </row>
    <row r="153" spans="1:31" x14ac:dyDescent="0.25">
      <c r="A153" s="140" t="s">
        <v>19</v>
      </c>
      <c r="B153" s="140" t="s">
        <v>58</v>
      </c>
      <c r="C153" s="140" t="s">
        <v>66</v>
      </c>
      <c r="D153" s="149" t="s">
        <v>607</v>
      </c>
      <c r="E153" s="139" t="s">
        <v>81</v>
      </c>
      <c r="F153" s="105"/>
      <c r="G153" s="113"/>
      <c r="H153" s="114"/>
      <c r="I153" s="114"/>
      <c r="J153" s="114"/>
      <c r="K153" s="114"/>
      <c r="L153" s="114"/>
      <c r="M153" s="114"/>
      <c r="N153" s="114"/>
      <c r="O153" s="114"/>
      <c r="P153" s="114"/>
      <c r="Q153" s="114"/>
      <c r="R153" s="114"/>
      <c r="S153" s="59"/>
      <c r="T153" s="114"/>
      <c r="U153" s="114"/>
      <c r="V153" s="114"/>
      <c r="W153" s="114"/>
      <c r="X153" s="114"/>
      <c r="Y153" s="114"/>
      <c r="Z153" s="114"/>
      <c r="AA153" s="114"/>
      <c r="AB153" s="114"/>
      <c r="AC153" s="114"/>
      <c r="AD153" s="114"/>
      <c r="AE153" s="114"/>
    </row>
    <row r="154" spans="1:31" x14ac:dyDescent="0.25">
      <c r="A154" s="140" t="s">
        <v>19</v>
      </c>
      <c r="B154" s="140" t="s">
        <v>58</v>
      </c>
      <c r="C154" s="140" t="s">
        <v>66</v>
      </c>
      <c r="D154" s="149" t="s">
        <v>609</v>
      </c>
      <c r="E154" s="139" t="s">
        <v>671</v>
      </c>
      <c r="F154" s="105"/>
      <c r="G154" s="113"/>
      <c r="H154" s="114"/>
      <c r="I154" s="114"/>
      <c r="J154" s="114"/>
      <c r="K154" s="114"/>
      <c r="L154" s="114"/>
      <c r="M154" s="114"/>
      <c r="N154" s="114"/>
      <c r="O154" s="114"/>
      <c r="P154" s="114"/>
      <c r="Q154" s="114"/>
      <c r="R154" s="114"/>
      <c r="S154" s="59"/>
      <c r="T154" s="114"/>
      <c r="U154" s="114"/>
      <c r="V154" s="114"/>
      <c r="W154" s="114"/>
      <c r="X154" s="114"/>
      <c r="Y154" s="114"/>
      <c r="Z154" s="114"/>
      <c r="AA154" s="114"/>
      <c r="AB154" s="114"/>
      <c r="AC154" s="114"/>
      <c r="AD154" s="114"/>
      <c r="AE154" s="114"/>
    </row>
    <row r="155" spans="1:31" x14ac:dyDescent="0.25">
      <c r="A155" s="140" t="s">
        <v>19</v>
      </c>
      <c r="B155" s="140" t="s">
        <v>58</v>
      </c>
      <c r="C155" s="140" t="s">
        <v>66</v>
      </c>
      <c r="D155" s="149" t="s">
        <v>875</v>
      </c>
      <c r="E155" s="139" t="s">
        <v>173</v>
      </c>
      <c r="F155" s="105"/>
      <c r="G155" s="113"/>
      <c r="H155" s="114"/>
      <c r="I155" s="114"/>
      <c r="J155" s="114"/>
      <c r="K155" s="114"/>
      <c r="L155" s="114"/>
      <c r="M155" s="114"/>
      <c r="N155" s="114"/>
      <c r="O155" s="114"/>
      <c r="P155" s="114"/>
      <c r="Q155" s="114"/>
      <c r="R155" s="114"/>
      <c r="S155" s="59"/>
      <c r="T155" s="114"/>
      <c r="U155" s="114"/>
      <c r="V155" s="114"/>
      <c r="W155" s="114"/>
      <c r="X155" s="114"/>
      <c r="Y155" s="114"/>
      <c r="Z155" s="114"/>
      <c r="AA155" s="114"/>
      <c r="AB155" s="114"/>
      <c r="AC155" s="114"/>
      <c r="AD155" s="114"/>
      <c r="AE155" s="114"/>
    </row>
    <row r="156" spans="1:31" x14ac:dyDescent="0.25">
      <c r="A156" s="140" t="s">
        <v>19</v>
      </c>
      <c r="B156" s="140" t="s">
        <v>58</v>
      </c>
      <c r="C156" s="140" t="s">
        <v>66</v>
      </c>
      <c r="D156" s="149" t="s">
        <v>876</v>
      </c>
      <c r="E156" s="139" t="s">
        <v>672</v>
      </c>
      <c r="F156" s="105"/>
      <c r="G156" s="113"/>
      <c r="H156" s="114"/>
      <c r="I156" s="114"/>
      <c r="J156" s="114"/>
      <c r="K156" s="114"/>
      <c r="L156" s="114"/>
      <c r="M156" s="114"/>
      <c r="N156" s="114"/>
      <c r="O156" s="114"/>
      <c r="P156" s="114"/>
      <c r="Q156" s="114"/>
      <c r="R156" s="114"/>
      <c r="S156" s="59"/>
      <c r="T156" s="114"/>
      <c r="U156" s="114"/>
      <c r="V156" s="114"/>
      <c r="W156" s="114"/>
      <c r="X156" s="114"/>
      <c r="Y156" s="114"/>
      <c r="Z156" s="114"/>
      <c r="AA156" s="114"/>
      <c r="AB156" s="114"/>
      <c r="AC156" s="114"/>
      <c r="AD156" s="114"/>
      <c r="AE156" s="114"/>
    </row>
    <row r="157" spans="1:31" x14ac:dyDescent="0.25">
      <c r="A157" s="140" t="s">
        <v>19</v>
      </c>
      <c r="B157" s="140" t="s">
        <v>58</v>
      </c>
      <c r="C157" s="140" t="s">
        <v>66</v>
      </c>
      <c r="D157" s="149" t="s">
        <v>136</v>
      </c>
      <c r="E157" s="139" t="s">
        <v>137</v>
      </c>
      <c r="F157" s="105"/>
      <c r="G157" s="113"/>
      <c r="H157" s="114"/>
      <c r="I157" s="114"/>
      <c r="J157" s="114"/>
      <c r="K157" s="114"/>
      <c r="L157" s="114"/>
      <c r="M157" s="114"/>
      <c r="N157" s="114"/>
      <c r="O157" s="114"/>
      <c r="P157" s="114"/>
      <c r="Q157" s="114"/>
      <c r="R157" s="114"/>
      <c r="S157" s="59"/>
      <c r="T157" s="114"/>
      <c r="U157" s="114"/>
      <c r="V157" s="114"/>
      <c r="W157" s="114"/>
      <c r="X157" s="114"/>
      <c r="Y157" s="114"/>
      <c r="Z157" s="114"/>
      <c r="AA157" s="114"/>
      <c r="AB157" s="114"/>
      <c r="AC157" s="114"/>
      <c r="AD157" s="114"/>
      <c r="AE157" s="114"/>
    </row>
    <row r="158" spans="1:31" x14ac:dyDescent="0.25">
      <c r="A158" s="140" t="s">
        <v>19</v>
      </c>
      <c r="B158" s="140" t="s">
        <v>58</v>
      </c>
      <c r="C158" s="140" t="s">
        <v>66</v>
      </c>
      <c r="D158" s="149" t="s">
        <v>615</v>
      </c>
      <c r="E158" s="139" t="s">
        <v>675</v>
      </c>
      <c r="F158" s="105"/>
      <c r="G158" s="113"/>
      <c r="H158" s="114"/>
      <c r="I158" s="114"/>
      <c r="J158" s="114"/>
      <c r="K158" s="114"/>
      <c r="L158" s="114"/>
      <c r="M158" s="114"/>
      <c r="N158" s="114"/>
      <c r="O158" s="114"/>
      <c r="P158" s="114"/>
      <c r="Q158" s="114"/>
      <c r="R158" s="114"/>
      <c r="S158" s="59"/>
      <c r="T158" s="114"/>
      <c r="U158" s="114"/>
      <c r="V158" s="114"/>
      <c r="W158" s="114"/>
      <c r="X158" s="114"/>
      <c r="Y158" s="114"/>
      <c r="Z158" s="114"/>
      <c r="AA158" s="114"/>
      <c r="AB158" s="114"/>
      <c r="AC158" s="114"/>
      <c r="AD158" s="114"/>
      <c r="AE158" s="114"/>
    </row>
    <row r="159" spans="1:31" x14ac:dyDescent="0.25">
      <c r="A159" s="140" t="s">
        <v>19</v>
      </c>
      <c r="B159" s="140" t="s">
        <v>58</v>
      </c>
      <c r="C159" s="140" t="s">
        <v>66</v>
      </c>
      <c r="D159" s="149" t="s">
        <v>877</v>
      </c>
      <c r="E159" s="139" t="s">
        <v>181</v>
      </c>
      <c r="F159" s="105"/>
      <c r="G159" s="113"/>
      <c r="H159" s="114"/>
      <c r="I159" s="114"/>
      <c r="J159" s="114"/>
      <c r="K159" s="114"/>
      <c r="L159" s="114"/>
      <c r="M159" s="114"/>
      <c r="N159" s="114"/>
      <c r="O159" s="114"/>
      <c r="P159" s="114"/>
      <c r="Q159" s="114"/>
      <c r="R159" s="114"/>
      <c r="S159" s="59"/>
      <c r="T159" s="114"/>
      <c r="U159" s="114"/>
      <c r="V159" s="114"/>
      <c r="W159" s="114"/>
      <c r="X159" s="114"/>
      <c r="Y159" s="114"/>
      <c r="Z159" s="114"/>
      <c r="AA159" s="114"/>
      <c r="AB159" s="114"/>
      <c r="AC159" s="114"/>
      <c r="AD159" s="114"/>
      <c r="AE159" s="114"/>
    </row>
    <row r="160" spans="1:31" x14ac:dyDescent="0.25">
      <c r="A160" s="140" t="s">
        <v>19</v>
      </c>
      <c r="B160" s="140" t="s">
        <v>58</v>
      </c>
      <c r="C160" s="140" t="s">
        <v>66</v>
      </c>
      <c r="D160" s="149" t="s">
        <v>612</v>
      </c>
      <c r="E160" s="139" t="s">
        <v>673</v>
      </c>
      <c r="F160" s="105"/>
      <c r="G160" s="113"/>
      <c r="H160" s="114"/>
      <c r="I160" s="114"/>
      <c r="J160" s="114"/>
      <c r="K160" s="114"/>
      <c r="L160" s="114"/>
      <c r="M160" s="114"/>
      <c r="N160" s="114"/>
      <c r="O160" s="114"/>
      <c r="P160" s="114"/>
      <c r="Q160" s="114"/>
      <c r="R160" s="114"/>
      <c r="S160" s="59"/>
      <c r="T160" s="114"/>
      <c r="U160" s="114"/>
      <c r="V160" s="114"/>
      <c r="W160" s="114"/>
      <c r="X160" s="114"/>
      <c r="Y160" s="114"/>
      <c r="Z160" s="114"/>
      <c r="AA160" s="114"/>
      <c r="AB160" s="114"/>
      <c r="AC160" s="114"/>
      <c r="AD160" s="114"/>
      <c r="AE160" s="114"/>
    </row>
    <row r="161" spans="1:31" x14ac:dyDescent="0.25">
      <c r="A161" s="140" t="s">
        <v>19</v>
      </c>
      <c r="B161" s="140" t="s">
        <v>58</v>
      </c>
      <c r="C161" s="140" t="s">
        <v>59</v>
      </c>
      <c r="D161" s="149" t="s">
        <v>60</v>
      </c>
      <c r="E161" s="139" t="s">
        <v>61</v>
      </c>
      <c r="F161" s="105"/>
      <c r="G161" s="113"/>
      <c r="H161" s="114"/>
      <c r="I161" s="114"/>
      <c r="J161" s="114"/>
      <c r="K161" s="114"/>
      <c r="L161" s="114"/>
      <c r="M161" s="114"/>
      <c r="N161" s="114"/>
      <c r="O161" s="114"/>
      <c r="P161" s="114"/>
      <c r="Q161" s="114"/>
      <c r="R161" s="114"/>
      <c r="S161" s="59"/>
      <c r="T161" s="114"/>
      <c r="U161" s="114"/>
      <c r="V161" s="114"/>
      <c r="W161" s="114"/>
      <c r="X161" s="114"/>
      <c r="Y161" s="114"/>
      <c r="Z161" s="114"/>
      <c r="AA161" s="114"/>
      <c r="AB161" s="114"/>
      <c r="AC161" s="114"/>
      <c r="AD161" s="114"/>
      <c r="AE161" s="114"/>
    </row>
    <row r="162" spans="1:31" x14ac:dyDescent="0.25">
      <c r="A162" s="140" t="s">
        <v>19</v>
      </c>
      <c r="B162" s="140" t="s">
        <v>58</v>
      </c>
      <c r="C162" s="140" t="s">
        <v>59</v>
      </c>
      <c r="D162" s="149" t="s">
        <v>826</v>
      </c>
      <c r="E162" s="139" t="s">
        <v>716</v>
      </c>
      <c r="F162" s="105"/>
      <c r="G162" s="113"/>
      <c r="H162" s="114"/>
      <c r="I162" s="114"/>
      <c r="J162" s="114"/>
      <c r="K162" s="114"/>
      <c r="L162" s="114"/>
      <c r="M162" s="114"/>
      <c r="N162" s="114"/>
      <c r="O162" s="114"/>
      <c r="P162" s="114"/>
      <c r="Q162" s="114"/>
      <c r="R162" s="114"/>
      <c r="S162" s="59"/>
      <c r="T162" s="114"/>
      <c r="U162" s="114"/>
      <c r="V162" s="114"/>
      <c r="W162" s="114"/>
      <c r="X162" s="114"/>
      <c r="Y162" s="114"/>
      <c r="Z162" s="114"/>
      <c r="AA162" s="114"/>
      <c r="AB162" s="114"/>
      <c r="AC162" s="114"/>
      <c r="AD162" s="114"/>
      <c r="AE162" s="114"/>
    </row>
    <row r="163" spans="1:31" x14ac:dyDescent="0.25">
      <c r="A163" s="140" t="s">
        <v>19</v>
      </c>
      <c r="B163" s="140" t="s">
        <v>58</v>
      </c>
      <c r="C163" s="140" t="s">
        <v>59</v>
      </c>
      <c r="D163" s="149" t="s">
        <v>59</v>
      </c>
      <c r="E163" s="139" t="s">
        <v>717</v>
      </c>
      <c r="F163" s="105"/>
      <c r="G163" s="113"/>
      <c r="H163" s="114"/>
      <c r="I163" s="114"/>
      <c r="J163" s="114"/>
      <c r="K163" s="114"/>
      <c r="L163" s="114"/>
      <c r="M163" s="114"/>
      <c r="N163" s="114"/>
      <c r="O163" s="114"/>
      <c r="P163" s="114"/>
      <c r="Q163" s="114"/>
      <c r="R163" s="114"/>
      <c r="S163" s="59"/>
      <c r="T163" s="114"/>
      <c r="U163" s="114"/>
      <c r="V163" s="114"/>
      <c r="W163" s="114"/>
      <c r="X163" s="114"/>
      <c r="Y163" s="114"/>
      <c r="Z163" s="114"/>
      <c r="AA163" s="114"/>
      <c r="AB163" s="114"/>
      <c r="AC163" s="114"/>
      <c r="AD163" s="114"/>
      <c r="AE163" s="114"/>
    </row>
    <row r="164" spans="1:31" x14ac:dyDescent="0.25">
      <c r="A164" s="140" t="s">
        <v>19</v>
      </c>
      <c r="B164" s="140" t="s">
        <v>58</v>
      </c>
      <c r="C164" s="140" t="s">
        <v>59</v>
      </c>
      <c r="D164" s="149" t="s">
        <v>228</v>
      </c>
      <c r="E164" s="139" t="s">
        <v>131</v>
      </c>
      <c r="F164" s="105"/>
      <c r="G164" s="113"/>
      <c r="H164" s="114"/>
      <c r="I164" s="114"/>
      <c r="J164" s="114"/>
      <c r="K164" s="114"/>
      <c r="L164" s="114"/>
      <c r="M164" s="114"/>
      <c r="N164" s="114"/>
      <c r="O164" s="114"/>
      <c r="P164" s="114"/>
      <c r="Q164" s="114"/>
      <c r="R164" s="114"/>
      <c r="S164" s="59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</row>
    <row r="165" spans="1:31" x14ac:dyDescent="0.25">
      <c r="A165" s="140" t="s">
        <v>19</v>
      </c>
      <c r="B165" s="140" t="s">
        <v>23</v>
      </c>
      <c r="C165" s="140" t="s">
        <v>24</v>
      </c>
      <c r="D165" s="149" t="s">
        <v>25</v>
      </c>
      <c r="E165" s="139" t="s">
        <v>26</v>
      </c>
      <c r="F165" s="105"/>
      <c r="G165" s="113"/>
      <c r="H165" s="114"/>
      <c r="I165" s="114"/>
      <c r="J165" s="114"/>
      <c r="K165" s="114"/>
      <c r="L165" s="114"/>
      <c r="M165" s="114"/>
      <c r="N165" s="114"/>
      <c r="O165" s="114"/>
      <c r="P165" s="114"/>
      <c r="Q165" s="114"/>
      <c r="R165" s="114"/>
      <c r="S165" s="59"/>
      <c r="T165" s="114"/>
      <c r="U165" s="114"/>
      <c r="V165" s="114"/>
      <c r="W165" s="114"/>
      <c r="X165" s="114"/>
      <c r="Y165" s="114"/>
      <c r="Z165" s="114"/>
      <c r="AA165" s="114"/>
      <c r="AB165" s="114"/>
      <c r="AC165" s="114"/>
      <c r="AD165" s="114"/>
      <c r="AE165" s="114"/>
    </row>
    <row r="166" spans="1:31" x14ac:dyDescent="0.25">
      <c r="A166" s="140" t="s">
        <v>19</v>
      </c>
      <c r="B166" s="140" t="s">
        <v>23</v>
      </c>
      <c r="C166" s="140" t="s">
        <v>24</v>
      </c>
      <c r="D166" s="149" t="s">
        <v>47</v>
      </c>
      <c r="E166" s="139" t="s">
        <v>48</v>
      </c>
      <c r="F166" s="105"/>
      <c r="G166" s="113"/>
      <c r="H166" s="114"/>
      <c r="I166" s="114"/>
      <c r="J166" s="114"/>
      <c r="K166" s="114"/>
      <c r="L166" s="114"/>
      <c r="M166" s="114"/>
      <c r="N166" s="114"/>
      <c r="O166" s="114"/>
      <c r="P166" s="114"/>
      <c r="Q166" s="114"/>
      <c r="R166" s="114"/>
      <c r="S166" s="59"/>
      <c r="T166" s="114"/>
      <c r="U166" s="114"/>
      <c r="V166" s="114"/>
      <c r="W166" s="114"/>
      <c r="X166" s="114"/>
      <c r="Y166" s="114"/>
      <c r="Z166" s="114"/>
      <c r="AA166" s="114"/>
      <c r="AB166" s="114"/>
      <c r="AC166" s="114"/>
      <c r="AD166" s="114"/>
      <c r="AE166" s="114"/>
    </row>
    <row r="167" spans="1:31" x14ac:dyDescent="0.25">
      <c r="A167" s="140" t="s">
        <v>19</v>
      </c>
      <c r="B167" s="140" t="s">
        <v>23</v>
      </c>
      <c r="C167" s="140" t="s">
        <v>24</v>
      </c>
      <c r="D167" s="149" t="s">
        <v>51</v>
      </c>
      <c r="E167" s="139" t="s">
        <v>52</v>
      </c>
      <c r="F167" s="105"/>
      <c r="G167" s="113"/>
      <c r="H167" s="114"/>
      <c r="I167" s="114"/>
      <c r="J167" s="114"/>
      <c r="K167" s="114"/>
      <c r="L167" s="114"/>
      <c r="M167" s="114"/>
      <c r="N167" s="114"/>
      <c r="O167" s="114"/>
      <c r="P167" s="114"/>
      <c r="Q167" s="114"/>
      <c r="R167" s="114"/>
      <c r="S167" s="59"/>
      <c r="T167" s="114"/>
      <c r="U167" s="114"/>
      <c r="V167" s="114"/>
      <c r="W167" s="114"/>
      <c r="X167" s="114"/>
      <c r="Y167" s="114"/>
      <c r="Z167" s="114"/>
      <c r="AA167" s="114"/>
      <c r="AB167" s="114"/>
      <c r="AC167" s="114"/>
      <c r="AD167" s="114"/>
      <c r="AE167" s="114"/>
    </row>
    <row r="168" spans="1:31" x14ac:dyDescent="0.25">
      <c r="A168" s="140" t="s">
        <v>19</v>
      </c>
      <c r="B168" s="140" t="s">
        <v>23</v>
      </c>
      <c r="C168" s="140" t="s">
        <v>24</v>
      </c>
      <c r="D168" s="149" t="s">
        <v>168</v>
      </c>
      <c r="E168" s="139" t="s">
        <v>169</v>
      </c>
      <c r="F168" s="105"/>
      <c r="G168" s="113"/>
      <c r="H168" s="114"/>
      <c r="I168" s="114"/>
      <c r="J168" s="114"/>
      <c r="K168" s="114"/>
      <c r="L168" s="114"/>
      <c r="M168" s="114"/>
      <c r="N168" s="114"/>
      <c r="O168" s="114"/>
      <c r="P168" s="114"/>
      <c r="Q168" s="114"/>
      <c r="R168" s="114"/>
      <c r="S168" s="59"/>
      <c r="T168" s="114"/>
      <c r="U168" s="114"/>
      <c r="V168" s="114"/>
      <c r="W168" s="114"/>
      <c r="X168" s="114"/>
      <c r="Y168" s="114"/>
      <c r="Z168" s="114"/>
      <c r="AA168" s="114"/>
      <c r="AB168" s="114"/>
      <c r="AC168" s="114"/>
      <c r="AD168" s="114"/>
      <c r="AE168" s="114"/>
    </row>
    <row r="169" spans="1:31" x14ac:dyDescent="0.25">
      <c r="A169" s="140" t="s">
        <v>19</v>
      </c>
      <c r="B169" s="140" t="s">
        <v>23</v>
      </c>
      <c r="C169" s="140" t="s">
        <v>24</v>
      </c>
      <c r="D169" s="149" t="s">
        <v>170</v>
      </c>
      <c r="E169" s="139" t="s">
        <v>171</v>
      </c>
      <c r="F169" s="105"/>
      <c r="G169" s="113"/>
      <c r="H169" s="114"/>
      <c r="I169" s="114"/>
      <c r="J169" s="114"/>
      <c r="K169" s="114"/>
      <c r="L169" s="114"/>
      <c r="M169" s="114"/>
      <c r="N169" s="114"/>
      <c r="O169" s="114"/>
      <c r="P169" s="114"/>
      <c r="Q169" s="114"/>
      <c r="R169" s="114"/>
      <c r="S169" s="59"/>
      <c r="T169" s="114"/>
      <c r="U169" s="114"/>
      <c r="V169" s="114"/>
      <c r="W169" s="114"/>
      <c r="X169" s="114"/>
      <c r="Y169" s="114"/>
      <c r="Z169" s="114"/>
      <c r="AA169" s="114"/>
      <c r="AB169" s="114"/>
      <c r="AC169" s="114"/>
      <c r="AD169" s="114"/>
      <c r="AE169" s="114"/>
    </row>
    <row r="170" spans="1:31" x14ac:dyDescent="0.25">
      <c r="A170" s="140" t="s">
        <v>19</v>
      </c>
      <c r="B170" s="140" t="s">
        <v>23</v>
      </c>
      <c r="C170" s="140" t="s">
        <v>24</v>
      </c>
      <c r="D170" s="149" t="s">
        <v>413</v>
      </c>
      <c r="E170" s="139" t="s">
        <v>732</v>
      </c>
      <c r="F170" s="105"/>
      <c r="G170" s="113"/>
      <c r="H170" s="114"/>
      <c r="I170" s="114"/>
      <c r="J170" s="114"/>
      <c r="K170" s="114"/>
      <c r="L170" s="114"/>
      <c r="M170" s="114"/>
      <c r="N170" s="114"/>
      <c r="O170" s="114"/>
      <c r="P170" s="114"/>
      <c r="Q170" s="114"/>
      <c r="R170" s="114"/>
      <c r="S170" s="59"/>
      <c r="T170" s="114"/>
      <c r="U170" s="114"/>
      <c r="V170" s="114"/>
      <c r="W170" s="114"/>
      <c r="X170" s="114"/>
      <c r="Y170" s="114"/>
      <c r="Z170" s="114"/>
      <c r="AA170" s="114"/>
      <c r="AB170" s="114"/>
      <c r="AC170" s="114"/>
      <c r="AD170" s="114"/>
      <c r="AE170" s="114"/>
    </row>
    <row r="171" spans="1:31" x14ac:dyDescent="0.25">
      <c r="A171" s="140" t="s">
        <v>19</v>
      </c>
      <c r="B171" s="140" t="s">
        <v>23</v>
      </c>
      <c r="C171" s="140" t="s">
        <v>24</v>
      </c>
      <c r="D171" s="149" t="s">
        <v>82</v>
      </c>
      <c r="E171" s="139" t="s">
        <v>83</v>
      </c>
      <c r="F171" s="105"/>
      <c r="G171" s="113"/>
      <c r="H171" s="114"/>
      <c r="I171" s="114"/>
      <c r="J171" s="114"/>
      <c r="K171" s="114"/>
      <c r="L171" s="114"/>
      <c r="M171" s="114"/>
      <c r="N171" s="114"/>
      <c r="O171" s="114"/>
      <c r="P171" s="114"/>
      <c r="Q171" s="114"/>
      <c r="R171" s="114"/>
      <c r="S171" s="59"/>
      <c r="T171" s="114"/>
      <c r="U171" s="114"/>
      <c r="V171" s="114"/>
      <c r="W171" s="114"/>
      <c r="X171" s="114"/>
      <c r="Y171" s="114"/>
      <c r="Z171" s="114"/>
      <c r="AA171" s="114"/>
      <c r="AB171" s="114"/>
      <c r="AC171" s="114"/>
      <c r="AD171" s="114"/>
      <c r="AE171" s="114"/>
    </row>
    <row r="172" spans="1:31" x14ac:dyDescent="0.25">
      <c r="A172" s="140" t="s">
        <v>19</v>
      </c>
      <c r="B172" s="140" t="s">
        <v>23</v>
      </c>
      <c r="C172" s="140" t="s">
        <v>24</v>
      </c>
      <c r="D172" s="149" t="s">
        <v>84</v>
      </c>
      <c r="E172" s="139" t="s">
        <v>85</v>
      </c>
      <c r="F172" s="105"/>
      <c r="G172" s="113"/>
      <c r="H172" s="114"/>
      <c r="I172" s="114"/>
      <c r="J172" s="114"/>
      <c r="K172" s="114"/>
      <c r="L172" s="114"/>
      <c r="M172" s="114"/>
      <c r="N172" s="114"/>
      <c r="O172" s="114"/>
      <c r="P172" s="114"/>
      <c r="Q172" s="114"/>
      <c r="R172" s="114"/>
      <c r="S172" s="59"/>
      <c r="T172" s="114"/>
      <c r="U172" s="114"/>
      <c r="V172" s="114"/>
      <c r="W172" s="114"/>
      <c r="X172" s="114"/>
      <c r="Y172" s="114"/>
      <c r="Z172" s="114"/>
      <c r="AA172" s="114"/>
      <c r="AB172" s="114"/>
      <c r="AC172" s="114"/>
      <c r="AD172" s="114"/>
      <c r="AE172" s="114"/>
    </row>
    <row r="173" spans="1:31" x14ac:dyDescent="0.25">
      <c r="A173" s="140" t="s">
        <v>19</v>
      </c>
      <c r="B173" s="140" t="s">
        <v>23</v>
      </c>
      <c r="C173" s="140" t="s">
        <v>24</v>
      </c>
      <c r="D173" s="149" t="s">
        <v>89</v>
      </c>
      <c r="E173" s="139" t="s">
        <v>90</v>
      </c>
      <c r="F173" s="105"/>
      <c r="G173" s="113"/>
      <c r="H173" s="114"/>
      <c r="I173" s="114"/>
      <c r="J173" s="114"/>
      <c r="K173" s="114"/>
      <c r="L173" s="114"/>
      <c r="M173" s="114"/>
      <c r="N173" s="114"/>
      <c r="O173" s="114"/>
      <c r="P173" s="114"/>
      <c r="Q173" s="114"/>
      <c r="R173" s="114"/>
      <c r="S173" s="59"/>
      <c r="T173" s="114"/>
      <c r="U173" s="114"/>
      <c r="V173" s="114"/>
      <c r="W173" s="114"/>
      <c r="X173" s="114"/>
      <c r="Y173" s="114"/>
      <c r="Z173" s="114"/>
      <c r="AA173" s="114"/>
      <c r="AB173" s="114"/>
      <c r="AC173" s="114"/>
      <c r="AD173" s="114"/>
      <c r="AE173" s="114"/>
    </row>
    <row r="174" spans="1:31" x14ac:dyDescent="0.25">
      <c r="A174" s="140" t="s">
        <v>19</v>
      </c>
      <c r="B174" s="140" t="s">
        <v>23</v>
      </c>
      <c r="C174" s="140" t="s">
        <v>24</v>
      </c>
      <c r="D174" s="149" t="s">
        <v>176</v>
      </c>
      <c r="E174" s="139" t="s">
        <v>177</v>
      </c>
      <c r="F174" s="105"/>
      <c r="G174" s="113"/>
      <c r="H174" s="114"/>
      <c r="I174" s="114"/>
      <c r="J174" s="114"/>
      <c r="K174" s="114"/>
      <c r="L174" s="114"/>
      <c r="M174" s="114"/>
      <c r="N174" s="114"/>
      <c r="O174" s="114"/>
      <c r="P174" s="114"/>
      <c r="Q174" s="114"/>
      <c r="R174" s="114"/>
      <c r="S174" s="59"/>
      <c r="T174" s="114"/>
      <c r="U174" s="114"/>
      <c r="V174" s="114"/>
      <c r="W174" s="114"/>
      <c r="X174" s="114"/>
      <c r="Y174" s="114"/>
      <c r="Z174" s="114"/>
      <c r="AA174" s="114"/>
      <c r="AB174" s="114"/>
      <c r="AC174" s="114"/>
      <c r="AD174" s="114"/>
      <c r="AE174" s="114"/>
    </row>
    <row r="175" spans="1:31" x14ac:dyDescent="0.25">
      <c r="A175" s="140" t="s">
        <v>19</v>
      </c>
      <c r="B175" s="140" t="s">
        <v>23</v>
      </c>
      <c r="C175" s="140" t="s">
        <v>24</v>
      </c>
      <c r="D175" s="149" t="s">
        <v>93</v>
      </c>
      <c r="E175" s="139" t="s">
        <v>94</v>
      </c>
      <c r="F175" s="105"/>
      <c r="G175" s="113"/>
      <c r="H175" s="114"/>
      <c r="I175" s="114"/>
      <c r="J175" s="114"/>
      <c r="K175" s="114"/>
      <c r="L175" s="114"/>
      <c r="M175" s="114"/>
      <c r="N175" s="114"/>
      <c r="O175" s="114"/>
      <c r="P175" s="114"/>
      <c r="Q175" s="114"/>
      <c r="R175" s="114"/>
      <c r="S175" s="59"/>
      <c r="T175" s="114"/>
      <c r="U175" s="114"/>
      <c r="V175" s="114"/>
      <c r="W175" s="114"/>
      <c r="X175" s="114"/>
      <c r="Y175" s="114"/>
      <c r="Z175" s="114"/>
      <c r="AA175" s="114"/>
      <c r="AB175" s="114"/>
      <c r="AC175" s="114"/>
      <c r="AD175" s="114"/>
      <c r="AE175" s="114"/>
    </row>
    <row r="176" spans="1:31" x14ac:dyDescent="0.25">
      <c r="A176" s="140" t="s">
        <v>19</v>
      </c>
      <c r="B176" s="140" t="s">
        <v>23</v>
      </c>
      <c r="C176" s="140" t="s">
        <v>24</v>
      </c>
      <c r="D176" s="149" t="s">
        <v>102</v>
      </c>
      <c r="E176" s="139" t="s">
        <v>103</v>
      </c>
      <c r="F176" s="105"/>
      <c r="G176" s="113"/>
      <c r="H176" s="114"/>
      <c r="I176" s="114"/>
      <c r="J176" s="114"/>
      <c r="K176" s="114"/>
      <c r="L176" s="114"/>
      <c r="M176" s="114"/>
      <c r="N176" s="114"/>
      <c r="O176" s="114"/>
      <c r="P176" s="114"/>
      <c r="Q176" s="114"/>
      <c r="R176" s="114"/>
      <c r="S176" s="59"/>
      <c r="T176" s="114"/>
      <c r="U176" s="114"/>
      <c r="V176" s="114"/>
      <c r="W176" s="114"/>
      <c r="X176" s="114"/>
      <c r="Y176" s="114"/>
      <c r="Z176" s="114"/>
      <c r="AA176" s="114"/>
      <c r="AB176" s="114"/>
      <c r="AC176" s="114"/>
      <c r="AD176" s="114"/>
      <c r="AE176" s="114"/>
    </row>
    <row r="177" spans="1:31" x14ac:dyDescent="0.25">
      <c r="A177" s="140" t="s">
        <v>19</v>
      </c>
      <c r="B177" s="140" t="s">
        <v>23</v>
      </c>
      <c r="C177" s="140" t="s">
        <v>24</v>
      </c>
      <c r="D177" s="149" t="s">
        <v>107</v>
      </c>
      <c r="E177" s="139" t="s">
        <v>108</v>
      </c>
      <c r="F177" s="105"/>
      <c r="G177" s="113"/>
      <c r="H177" s="114"/>
      <c r="I177" s="114"/>
      <c r="J177" s="114"/>
      <c r="K177" s="114"/>
      <c r="L177" s="114"/>
      <c r="M177" s="114"/>
      <c r="N177" s="114"/>
      <c r="O177" s="114"/>
      <c r="P177" s="114"/>
      <c r="Q177" s="114"/>
      <c r="R177" s="114"/>
      <c r="S177" s="59"/>
      <c r="T177" s="114"/>
      <c r="U177" s="114"/>
      <c r="V177" s="114"/>
      <c r="W177" s="114"/>
      <c r="X177" s="114"/>
      <c r="Y177" s="114"/>
      <c r="Z177" s="114"/>
      <c r="AA177" s="114"/>
      <c r="AB177" s="114"/>
      <c r="AC177" s="114"/>
      <c r="AD177" s="114"/>
      <c r="AE177" s="114"/>
    </row>
    <row r="178" spans="1:31" x14ac:dyDescent="0.25">
      <c r="A178" s="140" t="s">
        <v>19</v>
      </c>
      <c r="B178" s="140" t="s">
        <v>23</v>
      </c>
      <c r="C178" s="140" t="s">
        <v>104</v>
      </c>
      <c r="D178" s="149" t="s">
        <v>105</v>
      </c>
      <c r="E178" s="139" t="s">
        <v>106</v>
      </c>
      <c r="F178" s="105"/>
      <c r="G178" s="113"/>
      <c r="H178" s="114"/>
      <c r="I178" s="114"/>
      <c r="J178" s="114"/>
      <c r="K178" s="114"/>
      <c r="L178" s="114"/>
      <c r="M178" s="114"/>
      <c r="N178" s="114"/>
      <c r="O178" s="114"/>
      <c r="P178" s="114"/>
      <c r="Q178" s="114"/>
      <c r="R178" s="114"/>
      <c r="S178" s="59"/>
      <c r="T178" s="114"/>
      <c r="U178" s="114"/>
      <c r="V178" s="114"/>
      <c r="W178" s="114"/>
      <c r="X178" s="114"/>
      <c r="Y178" s="114"/>
      <c r="Z178" s="114"/>
      <c r="AA178" s="114"/>
      <c r="AB178" s="114"/>
      <c r="AC178" s="114"/>
      <c r="AD178" s="114"/>
      <c r="AE178" s="114"/>
    </row>
    <row r="179" spans="1:31" x14ac:dyDescent="0.25">
      <c r="A179" s="140" t="s">
        <v>19</v>
      </c>
      <c r="B179" s="140" t="s">
        <v>23</v>
      </c>
      <c r="C179" s="140" t="s">
        <v>104</v>
      </c>
      <c r="D179" s="149" t="s">
        <v>140</v>
      </c>
      <c r="E179" s="139" t="s">
        <v>141</v>
      </c>
      <c r="F179" s="105"/>
      <c r="G179" s="113"/>
      <c r="H179" s="114"/>
      <c r="I179" s="114"/>
      <c r="J179" s="114"/>
      <c r="K179" s="114"/>
      <c r="L179" s="114"/>
      <c r="M179" s="114"/>
      <c r="N179" s="114"/>
      <c r="O179" s="114"/>
      <c r="P179" s="114"/>
      <c r="Q179" s="114"/>
      <c r="R179" s="114"/>
      <c r="S179" s="59"/>
      <c r="T179" s="114"/>
      <c r="U179" s="114"/>
      <c r="V179" s="114"/>
      <c r="W179" s="114"/>
      <c r="X179" s="114"/>
      <c r="Y179" s="114"/>
      <c r="Z179" s="114"/>
      <c r="AA179" s="114"/>
      <c r="AB179" s="114"/>
      <c r="AC179" s="114"/>
      <c r="AD179" s="114"/>
      <c r="AE179" s="114"/>
    </row>
    <row r="180" spans="1:31" x14ac:dyDescent="0.25">
      <c r="A180" s="140" t="s">
        <v>19</v>
      </c>
      <c r="B180" s="140" t="s">
        <v>23</v>
      </c>
      <c r="C180" s="140" t="s">
        <v>38</v>
      </c>
      <c r="D180" s="149" t="s">
        <v>39</v>
      </c>
      <c r="E180" s="139" t="s">
        <v>40</v>
      </c>
      <c r="F180" s="105"/>
      <c r="G180" s="113"/>
      <c r="H180" s="114"/>
      <c r="I180" s="114"/>
      <c r="J180" s="114"/>
      <c r="K180" s="114"/>
      <c r="L180" s="114"/>
      <c r="M180" s="114"/>
      <c r="N180" s="114"/>
      <c r="O180" s="114"/>
      <c r="P180" s="114"/>
      <c r="Q180" s="114"/>
      <c r="R180" s="114"/>
      <c r="S180" s="59"/>
      <c r="T180" s="114"/>
      <c r="U180" s="114"/>
      <c r="V180" s="114"/>
      <c r="W180" s="114"/>
      <c r="X180" s="114"/>
      <c r="Y180" s="114"/>
      <c r="Z180" s="114"/>
      <c r="AA180" s="114"/>
      <c r="AB180" s="114"/>
      <c r="AC180" s="114"/>
      <c r="AD180" s="114"/>
      <c r="AE180" s="114"/>
    </row>
    <row r="181" spans="1:31" x14ac:dyDescent="0.25">
      <c r="A181" s="140" t="s">
        <v>19</v>
      </c>
      <c r="B181" s="140" t="s">
        <v>23</v>
      </c>
      <c r="C181" s="140" t="s">
        <v>38</v>
      </c>
      <c r="D181" s="149" t="s">
        <v>53</v>
      </c>
      <c r="E181" s="139" t="s">
        <v>54</v>
      </c>
      <c r="F181" s="105"/>
      <c r="G181" s="113"/>
      <c r="H181" s="114"/>
      <c r="I181" s="114"/>
      <c r="J181" s="114"/>
      <c r="K181" s="114"/>
      <c r="L181" s="114"/>
      <c r="M181" s="114"/>
      <c r="N181" s="114"/>
      <c r="O181" s="114"/>
      <c r="P181" s="114"/>
      <c r="Q181" s="114"/>
      <c r="R181" s="114"/>
      <c r="S181" s="59"/>
      <c r="T181" s="114"/>
      <c r="U181" s="114"/>
      <c r="V181" s="114"/>
      <c r="W181" s="114"/>
      <c r="X181" s="114"/>
      <c r="Y181" s="114"/>
      <c r="Z181" s="114"/>
      <c r="AA181" s="114"/>
      <c r="AB181" s="114"/>
      <c r="AC181" s="114"/>
      <c r="AD181" s="114"/>
      <c r="AE181" s="114"/>
    </row>
    <row r="182" spans="1:31" x14ac:dyDescent="0.25">
      <c r="A182" s="140" t="s">
        <v>19</v>
      </c>
      <c r="B182" s="140" t="s">
        <v>23</v>
      </c>
      <c r="C182" s="140" t="s">
        <v>38</v>
      </c>
      <c r="D182" s="149" t="s">
        <v>174</v>
      </c>
      <c r="E182" s="139" t="s">
        <v>175</v>
      </c>
      <c r="F182" s="105"/>
      <c r="G182" s="113"/>
      <c r="H182" s="114"/>
      <c r="I182" s="114"/>
      <c r="J182" s="114"/>
      <c r="K182" s="114"/>
      <c r="L182" s="114"/>
      <c r="M182" s="114"/>
      <c r="N182" s="114"/>
      <c r="O182" s="114"/>
      <c r="P182" s="114"/>
      <c r="Q182" s="114"/>
      <c r="R182" s="114"/>
      <c r="S182" s="59"/>
      <c r="T182" s="114"/>
      <c r="U182" s="114"/>
      <c r="V182" s="114"/>
      <c r="W182" s="114"/>
      <c r="X182" s="114"/>
      <c r="Y182" s="114"/>
      <c r="Z182" s="114"/>
      <c r="AA182" s="114"/>
      <c r="AB182" s="114"/>
      <c r="AC182" s="114"/>
      <c r="AD182" s="114"/>
      <c r="AE182" s="114"/>
    </row>
    <row r="183" spans="1:31" x14ac:dyDescent="0.25">
      <c r="A183" s="140" t="s">
        <v>19</v>
      </c>
      <c r="B183" s="140" t="s">
        <v>23</v>
      </c>
      <c r="C183" s="140" t="s">
        <v>38</v>
      </c>
      <c r="D183" s="149" t="s">
        <v>91</v>
      </c>
      <c r="E183" s="139" t="s">
        <v>92</v>
      </c>
      <c r="F183" s="105"/>
      <c r="G183" s="113"/>
      <c r="H183" s="114"/>
      <c r="I183" s="114"/>
      <c r="J183" s="114"/>
      <c r="K183" s="114"/>
      <c r="L183" s="114"/>
      <c r="M183" s="114"/>
      <c r="N183" s="114"/>
      <c r="O183" s="114"/>
      <c r="P183" s="114"/>
      <c r="Q183" s="114"/>
      <c r="R183" s="114"/>
      <c r="S183" s="59"/>
      <c r="T183" s="114"/>
      <c r="U183" s="114"/>
      <c r="V183" s="114"/>
      <c r="W183" s="114"/>
      <c r="X183" s="114"/>
      <c r="Y183" s="114"/>
      <c r="Z183" s="114"/>
      <c r="AA183" s="114"/>
      <c r="AB183" s="114"/>
      <c r="AC183" s="114"/>
      <c r="AD183" s="114"/>
      <c r="AE183" s="114"/>
    </row>
    <row r="184" spans="1:31" x14ac:dyDescent="0.25">
      <c r="A184" s="140" t="s">
        <v>19</v>
      </c>
      <c r="B184" s="140" t="s">
        <v>23</v>
      </c>
      <c r="C184" s="140" t="s">
        <v>38</v>
      </c>
      <c r="D184" s="149" t="s">
        <v>95</v>
      </c>
      <c r="E184" s="139" t="s">
        <v>96</v>
      </c>
      <c r="F184" s="105"/>
      <c r="G184" s="113"/>
      <c r="H184" s="114"/>
      <c r="I184" s="114"/>
      <c r="J184" s="114"/>
      <c r="K184" s="114"/>
      <c r="L184" s="114"/>
      <c r="M184" s="114"/>
      <c r="N184" s="114"/>
      <c r="O184" s="114"/>
      <c r="P184" s="114"/>
      <c r="Q184" s="114"/>
      <c r="R184" s="114"/>
      <c r="S184" s="59"/>
      <c r="T184" s="114"/>
      <c r="U184" s="114"/>
      <c r="V184" s="114"/>
      <c r="W184" s="114"/>
      <c r="X184" s="114"/>
      <c r="Y184" s="114"/>
      <c r="Z184" s="114"/>
      <c r="AA184" s="114"/>
      <c r="AB184" s="114"/>
      <c r="AC184" s="114"/>
      <c r="AD184" s="114"/>
      <c r="AE184" s="114"/>
    </row>
    <row r="185" spans="1:31" x14ac:dyDescent="0.25">
      <c r="A185" s="140" t="s">
        <v>19</v>
      </c>
      <c r="B185" s="140" t="s">
        <v>23</v>
      </c>
      <c r="C185" s="140" t="s">
        <v>38</v>
      </c>
      <c r="D185" s="149" t="s">
        <v>825</v>
      </c>
      <c r="E185" s="139" t="s">
        <v>179</v>
      </c>
      <c r="F185" s="105"/>
      <c r="G185" s="113"/>
      <c r="H185" s="114"/>
      <c r="I185" s="114"/>
      <c r="J185" s="114"/>
      <c r="K185" s="114"/>
      <c r="L185" s="114"/>
      <c r="M185" s="114"/>
      <c r="N185" s="114"/>
      <c r="O185" s="114"/>
      <c r="P185" s="114"/>
      <c r="Q185" s="114"/>
      <c r="R185" s="114"/>
      <c r="S185" s="59"/>
      <c r="T185" s="114"/>
      <c r="U185" s="114"/>
      <c r="V185" s="114"/>
      <c r="W185" s="114"/>
      <c r="X185" s="114"/>
      <c r="Y185" s="114"/>
      <c r="Z185" s="114"/>
      <c r="AA185" s="114"/>
      <c r="AB185" s="114"/>
      <c r="AC185" s="114"/>
      <c r="AD185" s="114"/>
      <c r="AE185" s="114"/>
    </row>
    <row r="186" spans="1:31" x14ac:dyDescent="0.25">
      <c r="A186" s="140" t="s">
        <v>19</v>
      </c>
      <c r="B186" s="140" t="s">
        <v>23</v>
      </c>
      <c r="C186" s="140" t="s">
        <v>38</v>
      </c>
      <c r="D186" s="149" t="s">
        <v>134</v>
      </c>
      <c r="E186" s="139" t="s">
        <v>135</v>
      </c>
      <c r="F186" s="105"/>
      <c r="G186" s="113"/>
      <c r="H186" s="114"/>
      <c r="I186" s="114"/>
      <c r="J186" s="114"/>
      <c r="K186" s="114"/>
      <c r="L186" s="114"/>
      <c r="M186" s="114"/>
      <c r="N186" s="114"/>
      <c r="O186" s="114"/>
      <c r="P186" s="114"/>
      <c r="Q186" s="114"/>
      <c r="R186" s="114"/>
      <c r="S186" s="59"/>
      <c r="T186" s="114"/>
      <c r="U186" s="114"/>
      <c r="V186" s="114"/>
      <c r="W186" s="114"/>
      <c r="X186" s="114"/>
      <c r="Y186" s="114"/>
      <c r="Z186" s="114"/>
      <c r="AA186" s="114"/>
      <c r="AB186" s="114"/>
      <c r="AC186" s="114"/>
      <c r="AD186" s="114"/>
      <c r="AE186" s="114"/>
    </row>
    <row r="187" spans="1:31" x14ac:dyDescent="0.25">
      <c r="A187" s="140" t="s">
        <v>19</v>
      </c>
      <c r="B187" s="140" t="s">
        <v>23</v>
      </c>
      <c r="C187" s="140" t="s">
        <v>38</v>
      </c>
      <c r="D187" s="149" t="s">
        <v>138</v>
      </c>
      <c r="E187" s="139" t="s">
        <v>139</v>
      </c>
      <c r="F187" s="105"/>
      <c r="G187" s="113"/>
      <c r="H187" s="114"/>
      <c r="I187" s="114"/>
      <c r="J187" s="114"/>
      <c r="K187" s="114"/>
      <c r="L187" s="114"/>
      <c r="M187" s="114"/>
      <c r="N187" s="114"/>
      <c r="O187" s="114"/>
      <c r="P187" s="114"/>
      <c r="Q187" s="114"/>
      <c r="R187" s="114"/>
      <c r="S187" s="114"/>
      <c r="T187" s="114"/>
      <c r="U187" s="114"/>
      <c r="V187" s="114"/>
      <c r="W187" s="114"/>
      <c r="X187" s="114"/>
      <c r="Y187" s="114"/>
      <c r="Z187" s="114"/>
      <c r="AA187" s="114"/>
      <c r="AB187" s="114"/>
      <c r="AC187" s="114"/>
      <c r="AD187" s="114"/>
      <c r="AE187" s="114"/>
    </row>
    <row r="188" spans="1:31" x14ac:dyDescent="0.25">
      <c r="A188" s="140" t="s">
        <v>19</v>
      </c>
      <c r="B188" s="140" t="s">
        <v>27</v>
      </c>
      <c r="C188" s="140" t="s">
        <v>66</v>
      </c>
      <c r="D188" s="149" t="s">
        <v>614</v>
      </c>
      <c r="E188" s="139" t="s">
        <v>674</v>
      </c>
      <c r="F188" s="105"/>
      <c r="G188" s="113"/>
      <c r="H188" s="114"/>
      <c r="I188" s="114"/>
      <c r="J188" s="114"/>
      <c r="K188" s="114"/>
      <c r="L188" s="114"/>
      <c r="M188" s="114"/>
      <c r="N188" s="114"/>
      <c r="O188" s="114"/>
      <c r="P188" s="114"/>
      <c r="Q188" s="114"/>
      <c r="R188" s="114"/>
      <c r="S188" s="59"/>
      <c r="T188" s="114"/>
      <c r="U188" s="114"/>
      <c r="V188" s="114"/>
      <c r="W188" s="114"/>
      <c r="X188" s="114"/>
      <c r="Y188" s="114"/>
      <c r="Z188" s="114"/>
      <c r="AA188" s="114"/>
      <c r="AB188" s="114"/>
      <c r="AC188" s="114"/>
      <c r="AD188" s="114"/>
      <c r="AE188" s="114"/>
    </row>
    <row r="189" spans="1:31" x14ac:dyDescent="0.25">
      <c r="A189" s="140" t="s">
        <v>19</v>
      </c>
      <c r="B189" s="140" t="s">
        <v>27</v>
      </c>
      <c r="C189" s="140" t="s">
        <v>813</v>
      </c>
      <c r="D189" s="149" t="s">
        <v>218</v>
      </c>
      <c r="E189" s="139" t="s">
        <v>219</v>
      </c>
      <c r="F189" s="105"/>
      <c r="G189" s="113"/>
      <c r="H189" s="114"/>
      <c r="I189" s="114"/>
      <c r="J189" s="114"/>
      <c r="K189" s="114"/>
      <c r="L189" s="114"/>
      <c r="M189" s="114"/>
      <c r="N189" s="114"/>
      <c r="O189" s="114"/>
      <c r="P189" s="114"/>
      <c r="Q189" s="114"/>
      <c r="R189" s="114"/>
      <c r="S189" s="59"/>
      <c r="T189" s="114"/>
      <c r="U189" s="114"/>
      <c r="V189" s="114"/>
      <c r="W189" s="114"/>
      <c r="X189" s="114"/>
      <c r="Y189" s="114"/>
      <c r="Z189" s="114"/>
      <c r="AA189" s="114"/>
      <c r="AB189" s="114"/>
      <c r="AC189" s="114"/>
      <c r="AD189" s="114"/>
      <c r="AE189" s="114"/>
    </row>
    <row r="190" spans="1:31" x14ac:dyDescent="0.25">
      <c r="A190" s="140" t="s">
        <v>19</v>
      </c>
      <c r="B190" s="140" t="s">
        <v>27</v>
      </c>
      <c r="C190" s="140" t="s">
        <v>28</v>
      </c>
      <c r="D190" s="149" t="s">
        <v>817</v>
      </c>
      <c r="E190" s="139" t="s">
        <v>734</v>
      </c>
      <c r="F190" s="105"/>
      <c r="G190" s="113"/>
      <c r="H190" s="114"/>
      <c r="I190" s="114"/>
      <c r="J190" s="114"/>
      <c r="K190" s="114"/>
      <c r="L190" s="114"/>
      <c r="M190" s="114"/>
      <c r="N190" s="114"/>
      <c r="O190" s="114"/>
      <c r="P190" s="114"/>
      <c r="Q190" s="114"/>
      <c r="R190" s="114"/>
      <c r="S190" s="59"/>
      <c r="T190" s="114"/>
      <c r="U190" s="114"/>
      <c r="V190" s="114"/>
      <c r="W190" s="114"/>
      <c r="X190" s="114"/>
      <c r="Y190" s="114"/>
      <c r="Z190" s="114"/>
      <c r="AA190" s="114"/>
      <c r="AB190" s="114"/>
      <c r="AC190" s="114"/>
      <c r="AD190" s="114"/>
      <c r="AE190" s="114"/>
    </row>
    <row r="191" spans="1:31" x14ac:dyDescent="0.25">
      <c r="A191" s="140" t="s">
        <v>19</v>
      </c>
      <c r="B191" s="140" t="s">
        <v>27</v>
      </c>
      <c r="C191" s="140" t="s">
        <v>28</v>
      </c>
      <c r="D191" s="149" t="s">
        <v>356</v>
      </c>
      <c r="E191" s="139" t="s">
        <v>735</v>
      </c>
      <c r="F191" s="105"/>
      <c r="G191" s="113"/>
      <c r="H191" s="114"/>
      <c r="I191" s="114"/>
      <c r="J191" s="114"/>
      <c r="K191" s="114"/>
      <c r="L191" s="114"/>
      <c r="M191" s="114"/>
      <c r="N191" s="114"/>
      <c r="O191" s="114"/>
      <c r="P191" s="114"/>
      <c r="Q191" s="114"/>
      <c r="R191" s="114"/>
      <c r="S191" s="114"/>
      <c r="T191" s="114"/>
      <c r="U191" s="114"/>
      <c r="V191" s="114"/>
      <c r="W191" s="114"/>
      <c r="X191" s="114"/>
      <c r="Y191" s="114"/>
      <c r="Z191" s="114"/>
      <c r="AA191" s="114"/>
      <c r="AB191" s="114"/>
      <c r="AC191" s="114"/>
      <c r="AD191" s="114"/>
      <c r="AE191" s="114"/>
    </row>
    <row r="192" spans="1:31" x14ac:dyDescent="0.25">
      <c r="A192" s="140" t="s">
        <v>19</v>
      </c>
      <c r="B192" s="140" t="s">
        <v>27</v>
      </c>
      <c r="C192" s="140" t="s">
        <v>28</v>
      </c>
      <c r="D192" s="149" t="s">
        <v>358</v>
      </c>
      <c r="E192" s="139" t="s">
        <v>736</v>
      </c>
      <c r="F192" s="105"/>
      <c r="G192" s="113"/>
      <c r="H192" s="114"/>
      <c r="I192" s="114"/>
      <c r="J192" s="114"/>
      <c r="K192" s="114"/>
      <c r="L192" s="114"/>
      <c r="M192" s="114"/>
      <c r="N192" s="114"/>
      <c r="O192" s="114"/>
      <c r="P192" s="114"/>
      <c r="Q192" s="114"/>
      <c r="R192" s="114"/>
      <c r="S192" s="114"/>
      <c r="T192" s="114"/>
      <c r="U192" s="114"/>
      <c r="V192" s="114"/>
      <c r="W192" s="114"/>
      <c r="X192" s="114"/>
      <c r="Y192" s="114"/>
      <c r="Z192" s="114"/>
      <c r="AA192" s="114"/>
      <c r="AB192" s="114"/>
      <c r="AC192" s="114"/>
      <c r="AD192" s="114"/>
      <c r="AE192" s="114"/>
    </row>
    <row r="193" spans="1:31" x14ac:dyDescent="0.25">
      <c r="A193" s="140" t="s">
        <v>19</v>
      </c>
      <c r="B193" s="140" t="s">
        <v>27</v>
      </c>
      <c r="C193" s="140" t="s">
        <v>28</v>
      </c>
      <c r="D193" s="149" t="s">
        <v>29</v>
      </c>
      <c r="E193" s="139" t="s">
        <v>30</v>
      </c>
      <c r="F193" s="105"/>
      <c r="G193" s="113"/>
      <c r="H193" s="114"/>
      <c r="I193" s="114"/>
      <c r="J193" s="114"/>
      <c r="K193" s="114"/>
      <c r="L193" s="114"/>
      <c r="M193" s="114"/>
      <c r="N193" s="114"/>
      <c r="O193" s="114"/>
      <c r="P193" s="114"/>
      <c r="Q193" s="114"/>
      <c r="R193" s="114"/>
      <c r="S193" s="114"/>
      <c r="T193" s="114"/>
      <c r="U193" s="114"/>
      <c r="V193" s="114"/>
      <c r="W193" s="114"/>
      <c r="X193" s="114"/>
      <c r="Y193" s="114"/>
      <c r="Z193" s="114"/>
      <c r="AA193" s="114"/>
      <c r="AB193" s="114"/>
      <c r="AC193" s="114"/>
      <c r="AD193" s="114"/>
      <c r="AE193" s="114"/>
    </row>
    <row r="194" spans="1:31" x14ac:dyDescent="0.25">
      <c r="A194" s="140" t="s">
        <v>19</v>
      </c>
      <c r="B194" s="140" t="s">
        <v>27</v>
      </c>
      <c r="C194" s="140" t="s">
        <v>28</v>
      </c>
      <c r="D194" s="149" t="s">
        <v>361</v>
      </c>
      <c r="E194" s="139" t="s">
        <v>737</v>
      </c>
      <c r="F194" s="105"/>
      <c r="G194" s="113"/>
      <c r="H194" s="114"/>
      <c r="I194" s="114"/>
      <c r="J194" s="114"/>
      <c r="K194" s="114"/>
      <c r="L194" s="114"/>
      <c r="M194" s="114"/>
      <c r="N194" s="114"/>
      <c r="O194" s="114"/>
      <c r="P194" s="114"/>
      <c r="Q194" s="114"/>
      <c r="R194" s="114"/>
      <c r="S194" s="114"/>
      <c r="T194" s="114"/>
      <c r="U194" s="114"/>
      <c r="V194" s="114"/>
      <c r="W194" s="114"/>
      <c r="X194" s="114"/>
      <c r="Y194" s="114"/>
      <c r="Z194" s="114"/>
      <c r="AA194" s="114"/>
      <c r="AB194" s="114"/>
      <c r="AC194" s="114"/>
      <c r="AD194" s="114"/>
      <c r="AE194" s="114"/>
    </row>
    <row r="195" spans="1:31" x14ac:dyDescent="0.25">
      <c r="A195" s="140" t="s">
        <v>19</v>
      </c>
      <c r="B195" s="140" t="s">
        <v>27</v>
      </c>
      <c r="C195" s="140" t="s">
        <v>28</v>
      </c>
      <c r="D195" s="149" t="s">
        <v>363</v>
      </c>
      <c r="E195" s="139" t="s">
        <v>738</v>
      </c>
      <c r="F195" s="105"/>
      <c r="G195" s="113"/>
      <c r="H195" s="114"/>
      <c r="I195" s="114"/>
      <c r="J195" s="114"/>
      <c r="K195" s="114"/>
      <c r="L195" s="114"/>
      <c r="M195" s="114"/>
      <c r="N195" s="114"/>
      <c r="O195" s="114"/>
      <c r="P195" s="114"/>
      <c r="Q195" s="114"/>
      <c r="R195" s="114"/>
      <c r="S195" s="114"/>
      <c r="T195" s="114"/>
      <c r="U195" s="114"/>
      <c r="V195" s="114"/>
      <c r="W195" s="114"/>
      <c r="X195" s="114"/>
      <c r="Y195" s="114"/>
      <c r="Z195" s="114"/>
      <c r="AA195" s="114"/>
      <c r="AB195" s="114"/>
      <c r="AC195" s="114"/>
      <c r="AD195" s="114"/>
      <c r="AE195" s="114"/>
    </row>
    <row r="196" spans="1:31" x14ac:dyDescent="0.25">
      <c r="A196" s="140" t="s">
        <v>19</v>
      </c>
      <c r="B196" s="140" t="s">
        <v>27</v>
      </c>
      <c r="C196" s="140" t="s">
        <v>28</v>
      </c>
      <c r="D196" s="149" t="s">
        <v>816</v>
      </c>
      <c r="E196" s="139" t="s">
        <v>739</v>
      </c>
      <c r="F196" s="105"/>
      <c r="G196" s="113"/>
      <c r="H196" s="114"/>
      <c r="I196" s="114"/>
      <c r="J196" s="114"/>
      <c r="K196" s="114"/>
      <c r="L196" s="114"/>
      <c r="M196" s="114"/>
      <c r="N196" s="114"/>
      <c r="O196" s="114"/>
      <c r="P196" s="114"/>
      <c r="Q196" s="114"/>
      <c r="R196" s="114"/>
      <c r="S196" s="114"/>
      <c r="T196" s="114"/>
      <c r="U196" s="114"/>
      <c r="V196" s="114"/>
      <c r="W196" s="114"/>
      <c r="X196" s="114"/>
      <c r="Y196" s="114"/>
      <c r="Z196" s="114"/>
      <c r="AA196" s="114"/>
      <c r="AB196" s="114"/>
      <c r="AC196" s="114"/>
      <c r="AD196" s="114"/>
      <c r="AE196" s="114"/>
    </row>
    <row r="197" spans="1:31" x14ac:dyDescent="0.25">
      <c r="A197" s="140" t="s">
        <v>19</v>
      </c>
      <c r="B197" s="140" t="s">
        <v>27</v>
      </c>
      <c r="C197" s="140" t="s">
        <v>28</v>
      </c>
      <c r="D197" s="149" t="s">
        <v>824</v>
      </c>
      <c r="E197" s="139" t="s">
        <v>740</v>
      </c>
      <c r="F197" s="105"/>
      <c r="G197" s="113"/>
      <c r="H197" s="114"/>
      <c r="I197" s="114"/>
      <c r="J197" s="114"/>
      <c r="K197" s="114"/>
      <c r="L197" s="114"/>
      <c r="M197" s="114"/>
      <c r="N197" s="114"/>
      <c r="O197" s="114"/>
      <c r="P197" s="114"/>
      <c r="Q197" s="114"/>
      <c r="R197" s="114"/>
      <c r="S197" s="114"/>
      <c r="T197" s="114"/>
      <c r="U197" s="114"/>
      <c r="V197" s="114"/>
      <c r="W197" s="114"/>
      <c r="X197" s="114"/>
      <c r="Y197" s="114"/>
      <c r="Z197" s="114"/>
      <c r="AA197" s="114"/>
      <c r="AB197" s="114"/>
      <c r="AC197" s="114"/>
      <c r="AD197" s="114"/>
      <c r="AE197" s="114"/>
    </row>
    <row r="198" spans="1:31" x14ac:dyDescent="0.25">
      <c r="A198" s="140" t="s">
        <v>19</v>
      </c>
      <c r="B198" s="140" t="s">
        <v>27</v>
      </c>
      <c r="C198" s="140" t="s">
        <v>28</v>
      </c>
      <c r="D198" s="149" t="s">
        <v>367</v>
      </c>
      <c r="E198" s="139" t="s">
        <v>741</v>
      </c>
      <c r="F198" s="105"/>
      <c r="G198" s="113"/>
      <c r="H198" s="114"/>
      <c r="I198" s="114"/>
      <c r="J198" s="114"/>
      <c r="K198" s="114"/>
      <c r="L198" s="114"/>
      <c r="M198" s="114"/>
      <c r="N198" s="114"/>
      <c r="O198" s="114"/>
      <c r="P198" s="114"/>
      <c r="Q198" s="114"/>
      <c r="R198" s="114"/>
      <c r="S198" s="114"/>
      <c r="T198" s="114"/>
      <c r="U198" s="114"/>
      <c r="V198" s="114"/>
      <c r="W198" s="114"/>
      <c r="X198" s="114"/>
      <c r="Y198" s="114"/>
      <c r="Z198" s="114"/>
      <c r="AA198" s="114"/>
      <c r="AB198" s="114"/>
      <c r="AC198" s="114"/>
      <c r="AD198" s="114"/>
      <c r="AE198" s="114"/>
    </row>
    <row r="199" spans="1:31" x14ac:dyDescent="0.25">
      <c r="A199" s="140" t="s">
        <v>19</v>
      </c>
      <c r="B199" s="140" t="s">
        <v>27</v>
      </c>
      <c r="C199" s="140" t="s">
        <v>28</v>
      </c>
      <c r="D199" s="149" t="s">
        <v>232</v>
      </c>
      <c r="E199" s="139" t="s">
        <v>233</v>
      </c>
      <c r="F199" s="105"/>
      <c r="G199" s="113"/>
      <c r="H199" s="114"/>
      <c r="I199" s="114"/>
      <c r="J199" s="114"/>
      <c r="K199" s="114"/>
      <c r="L199" s="114"/>
      <c r="M199" s="114"/>
      <c r="N199" s="114"/>
      <c r="O199" s="114"/>
      <c r="P199" s="114"/>
      <c r="Q199" s="114"/>
      <c r="R199" s="114"/>
      <c r="S199" s="114"/>
      <c r="T199" s="114"/>
      <c r="U199" s="114"/>
      <c r="V199" s="114"/>
      <c r="W199" s="114"/>
      <c r="X199" s="114"/>
      <c r="Y199" s="114"/>
      <c r="Z199" s="114"/>
      <c r="AA199" s="114"/>
      <c r="AB199" s="114"/>
      <c r="AC199" s="114"/>
      <c r="AD199" s="114"/>
      <c r="AE199" s="114"/>
    </row>
    <row r="200" spans="1:31" x14ac:dyDescent="0.25">
      <c r="A200" s="140" t="s">
        <v>19</v>
      </c>
      <c r="B200" s="140" t="s">
        <v>27</v>
      </c>
      <c r="C200" s="140" t="s">
        <v>28</v>
      </c>
      <c r="D200" s="149" t="s">
        <v>818</v>
      </c>
      <c r="E200" s="139" t="s">
        <v>742</v>
      </c>
      <c r="F200" s="105"/>
      <c r="G200" s="113"/>
      <c r="H200" s="114"/>
      <c r="I200" s="114"/>
      <c r="J200" s="114"/>
      <c r="K200" s="114"/>
      <c r="L200" s="114"/>
      <c r="M200" s="114"/>
      <c r="N200" s="114"/>
      <c r="O200" s="114"/>
      <c r="P200" s="114"/>
      <c r="Q200" s="114"/>
      <c r="R200" s="114"/>
      <c r="S200" s="114"/>
      <c r="T200" s="114"/>
      <c r="U200" s="114"/>
      <c r="V200" s="114"/>
      <c r="W200" s="114"/>
      <c r="X200" s="114"/>
      <c r="Y200" s="114"/>
      <c r="Z200" s="114"/>
      <c r="AA200" s="114"/>
      <c r="AB200" s="114"/>
      <c r="AC200" s="114"/>
      <c r="AD200" s="114"/>
      <c r="AE200" s="114"/>
    </row>
    <row r="201" spans="1:31" x14ac:dyDescent="0.25">
      <c r="A201" s="140" t="s">
        <v>19</v>
      </c>
      <c r="B201" s="140" t="s">
        <v>27</v>
      </c>
      <c r="C201" s="140" t="s">
        <v>28</v>
      </c>
      <c r="D201" s="149" t="s">
        <v>819</v>
      </c>
      <c r="E201" s="139" t="s">
        <v>743</v>
      </c>
      <c r="F201" s="105"/>
      <c r="G201" s="113"/>
      <c r="H201" s="114"/>
      <c r="I201" s="114"/>
      <c r="J201" s="114"/>
      <c r="K201" s="114"/>
      <c r="L201" s="114"/>
      <c r="M201" s="114"/>
      <c r="N201" s="114"/>
      <c r="O201" s="114"/>
      <c r="P201" s="114"/>
      <c r="Q201" s="114"/>
      <c r="R201" s="114"/>
      <c r="S201" s="114"/>
      <c r="T201" s="114"/>
      <c r="U201" s="114"/>
      <c r="V201" s="114"/>
      <c r="W201" s="114"/>
      <c r="X201" s="114"/>
      <c r="Y201" s="114"/>
      <c r="Z201" s="114"/>
      <c r="AA201" s="114"/>
      <c r="AB201" s="114"/>
      <c r="AC201" s="114"/>
      <c r="AD201" s="114"/>
      <c r="AE201" s="114"/>
    </row>
    <row r="202" spans="1:31" x14ac:dyDescent="0.25">
      <c r="A202" s="140" t="s">
        <v>19</v>
      </c>
      <c r="B202" s="140" t="s">
        <v>27</v>
      </c>
      <c r="C202" s="140" t="s">
        <v>28</v>
      </c>
      <c r="D202" s="149" t="s">
        <v>820</v>
      </c>
      <c r="E202" s="139" t="s">
        <v>744</v>
      </c>
      <c r="F202" s="105"/>
      <c r="G202" s="113"/>
      <c r="H202" s="114"/>
      <c r="I202" s="114"/>
      <c r="J202" s="114"/>
      <c r="K202" s="114"/>
      <c r="L202" s="114"/>
      <c r="M202" s="114"/>
      <c r="N202" s="114"/>
      <c r="O202" s="114"/>
      <c r="P202" s="114"/>
      <c r="Q202" s="114"/>
      <c r="R202" s="114"/>
      <c r="S202" s="114"/>
      <c r="T202" s="114"/>
      <c r="U202" s="114"/>
      <c r="V202" s="114"/>
      <c r="W202" s="114"/>
      <c r="X202" s="114"/>
      <c r="Y202" s="114"/>
      <c r="Z202" s="114"/>
      <c r="AA202" s="114"/>
      <c r="AB202" s="114"/>
      <c r="AC202" s="114"/>
      <c r="AD202" s="114"/>
      <c r="AE202" s="114"/>
    </row>
    <row r="203" spans="1:31" x14ac:dyDescent="0.25">
      <c r="A203" s="140" t="s">
        <v>19</v>
      </c>
      <c r="B203" s="140" t="s">
        <v>27</v>
      </c>
      <c r="C203" s="140" t="s">
        <v>28</v>
      </c>
      <c r="D203" s="149" t="s">
        <v>378</v>
      </c>
      <c r="E203" s="139" t="s">
        <v>745</v>
      </c>
      <c r="F203" s="105"/>
      <c r="G203" s="113"/>
      <c r="H203" s="114"/>
      <c r="I203" s="114"/>
      <c r="J203" s="114"/>
      <c r="K203" s="114"/>
      <c r="L203" s="114"/>
      <c r="M203" s="114"/>
      <c r="N203" s="114"/>
      <c r="O203" s="114"/>
      <c r="P203" s="114"/>
      <c r="Q203" s="114"/>
      <c r="R203" s="114"/>
      <c r="S203" s="114"/>
      <c r="T203" s="114"/>
      <c r="U203" s="114"/>
      <c r="V203" s="114"/>
      <c r="W203" s="114"/>
      <c r="X203" s="114"/>
      <c r="Y203" s="114"/>
      <c r="Z203" s="114"/>
      <c r="AA203" s="114"/>
      <c r="AB203" s="114"/>
      <c r="AC203" s="114"/>
      <c r="AD203" s="114"/>
      <c r="AE203" s="114"/>
    </row>
    <row r="204" spans="1:31" x14ac:dyDescent="0.25">
      <c r="A204" s="140" t="s">
        <v>19</v>
      </c>
      <c r="B204" s="140" t="s">
        <v>27</v>
      </c>
      <c r="C204" s="140" t="s">
        <v>28</v>
      </c>
      <c r="D204" s="149" t="s">
        <v>381</v>
      </c>
      <c r="E204" s="139" t="s">
        <v>97</v>
      </c>
      <c r="F204" s="105"/>
      <c r="G204" s="113"/>
      <c r="H204" s="114"/>
      <c r="I204" s="114"/>
      <c r="J204" s="114"/>
      <c r="K204" s="114"/>
      <c r="L204" s="114"/>
      <c r="M204" s="114"/>
      <c r="N204" s="114"/>
      <c r="O204" s="114"/>
      <c r="P204" s="114"/>
      <c r="Q204" s="114"/>
      <c r="R204" s="114"/>
      <c r="S204" s="114"/>
      <c r="T204" s="114"/>
      <c r="U204" s="114"/>
      <c r="V204" s="114"/>
      <c r="W204" s="114"/>
      <c r="X204" s="114"/>
      <c r="Y204" s="114"/>
      <c r="Z204" s="114"/>
      <c r="AA204" s="114"/>
      <c r="AB204" s="114"/>
      <c r="AC204" s="114"/>
      <c r="AD204" s="114"/>
      <c r="AE204" s="114"/>
    </row>
    <row r="205" spans="1:31" x14ac:dyDescent="0.25">
      <c r="A205" s="140" t="s">
        <v>19</v>
      </c>
      <c r="B205" s="140" t="s">
        <v>27</v>
      </c>
      <c r="C205" s="140" t="s">
        <v>28</v>
      </c>
      <c r="D205" s="149" t="s">
        <v>109</v>
      </c>
      <c r="E205" s="139" t="s">
        <v>110</v>
      </c>
      <c r="F205" s="105"/>
      <c r="G205" s="113"/>
      <c r="H205" s="114"/>
      <c r="I205" s="114"/>
      <c r="J205" s="114"/>
      <c r="K205" s="114"/>
      <c r="L205" s="114"/>
      <c r="M205" s="114"/>
      <c r="N205" s="114"/>
      <c r="O205" s="114"/>
      <c r="P205" s="114"/>
      <c r="Q205" s="114"/>
      <c r="R205" s="114"/>
      <c r="S205" s="114"/>
      <c r="T205" s="114"/>
      <c r="U205" s="114"/>
      <c r="V205" s="114"/>
      <c r="W205" s="114"/>
      <c r="X205" s="114"/>
      <c r="Y205" s="114"/>
      <c r="Z205" s="114"/>
      <c r="AA205" s="114"/>
      <c r="AB205" s="114"/>
      <c r="AC205" s="114"/>
      <c r="AD205" s="114"/>
      <c r="AE205" s="114"/>
    </row>
    <row r="206" spans="1:31" x14ac:dyDescent="0.25">
      <c r="A206" s="140" t="s">
        <v>19</v>
      </c>
      <c r="B206" s="140" t="s">
        <v>27</v>
      </c>
      <c r="C206" s="140" t="s">
        <v>28</v>
      </c>
      <c r="D206" s="149" t="s">
        <v>386</v>
      </c>
      <c r="E206" s="139" t="s">
        <v>746</v>
      </c>
      <c r="F206" s="105"/>
      <c r="G206" s="113"/>
      <c r="H206" s="114"/>
      <c r="I206" s="114"/>
      <c r="J206" s="114"/>
      <c r="K206" s="114"/>
      <c r="L206" s="114"/>
      <c r="M206" s="114"/>
      <c r="N206" s="114"/>
      <c r="O206" s="114"/>
      <c r="P206" s="114"/>
      <c r="Q206" s="114"/>
      <c r="R206" s="114"/>
      <c r="S206" s="114"/>
      <c r="T206" s="114"/>
      <c r="U206" s="114"/>
      <c r="V206" s="114"/>
      <c r="W206" s="114"/>
      <c r="X206" s="114"/>
      <c r="Y206" s="114"/>
      <c r="Z206" s="114"/>
      <c r="AA206" s="114"/>
      <c r="AB206" s="114"/>
      <c r="AC206" s="114"/>
      <c r="AD206" s="114"/>
      <c r="AE206" s="114"/>
    </row>
    <row r="207" spans="1:31" x14ac:dyDescent="0.25">
      <c r="A207" s="140" t="s">
        <v>19</v>
      </c>
      <c r="B207" s="140" t="s">
        <v>27</v>
      </c>
      <c r="C207" s="140" t="s">
        <v>28</v>
      </c>
      <c r="D207" s="149" t="s">
        <v>821</v>
      </c>
      <c r="E207" s="139" t="s">
        <v>747</v>
      </c>
      <c r="F207" s="105"/>
      <c r="G207" s="113"/>
      <c r="H207" s="114"/>
      <c r="I207" s="114"/>
      <c r="J207" s="114"/>
      <c r="K207" s="114"/>
      <c r="L207" s="114"/>
      <c r="M207" s="114"/>
      <c r="N207" s="114"/>
      <c r="O207" s="114"/>
      <c r="P207" s="114"/>
      <c r="Q207" s="114"/>
      <c r="R207" s="114"/>
      <c r="S207" s="114"/>
      <c r="T207" s="114"/>
      <c r="U207" s="114"/>
      <c r="V207" s="114"/>
      <c r="W207" s="114"/>
      <c r="X207" s="114"/>
      <c r="Y207" s="114"/>
      <c r="Z207" s="114"/>
      <c r="AA207" s="114"/>
      <c r="AB207" s="114"/>
      <c r="AC207" s="114"/>
      <c r="AD207" s="114"/>
      <c r="AE207" s="114"/>
    </row>
    <row r="208" spans="1:31" x14ac:dyDescent="0.25">
      <c r="A208" s="140" t="s">
        <v>19</v>
      </c>
      <c r="B208" s="140" t="s">
        <v>27</v>
      </c>
      <c r="C208" s="140" t="s">
        <v>28</v>
      </c>
      <c r="D208" s="149" t="s">
        <v>391</v>
      </c>
      <c r="E208" s="139" t="s">
        <v>748</v>
      </c>
      <c r="F208" s="105"/>
      <c r="G208" s="113"/>
      <c r="H208" s="114"/>
      <c r="I208" s="114"/>
      <c r="J208" s="114"/>
      <c r="K208" s="114"/>
      <c r="L208" s="114"/>
      <c r="M208" s="114"/>
      <c r="N208" s="114"/>
      <c r="O208" s="114"/>
      <c r="P208" s="114"/>
      <c r="Q208" s="114"/>
      <c r="R208" s="114"/>
      <c r="S208" s="114"/>
      <c r="T208" s="114"/>
      <c r="U208" s="114"/>
      <c r="V208" s="114"/>
      <c r="W208" s="114"/>
      <c r="X208" s="114"/>
      <c r="Y208" s="114"/>
      <c r="Z208" s="114"/>
      <c r="AA208" s="114"/>
      <c r="AB208" s="114"/>
      <c r="AC208" s="114"/>
      <c r="AD208" s="114"/>
      <c r="AE208" s="114"/>
    </row>
    <row r="209" spans="1:31" x14ac:dyDescent="0.25">
      <c r="A209" s="140" t="s">
        <v>19</v>
      </c>
      <c r="B209" s="140" t="s">
        <v>27</v>
      </c>
      <c r="C209" s="140" t="s">
        <v>28</v>
      </c>
      <c r="D209" s="149" t="s">
        <v>822</v>
      </c>
      <c r="E209" s="139" t="s">
        <v>749</v>
      </c>
      <c r="F209" s="105"/>
      <c r="G209" s="113"/>
      <c r="H209" s="114"/>
      <c r="I209" s="114"/>
      <c r="J209" s="114"/>
      <c r="K209" s="114"/>
      <c r="L209" s="114"/>
      <c r="M209" s="114"/>
      <c r="N209" s="114"/>
      <c r="O209" s="114"/>
      <c r="P209" s="114"/>
      <c r="Q209" s="114"/>
      <c r="R209" s="114"/>
      <c r="S209" s="114"/>
      <c r="T209" s="114"/>
      <c r="U209" s="114"/>
      <c r="V209" s="114"/>
      <c r="W209" s="114"/>
      <c r="X209" s="114"/>
      <c r="Y209" s="114"/>
      <c r="Z209" s="114"/>
      <c r="AA209" s="114"/>
      <c r="AB209" s="114"/>
      <c r="AC209" s="114"/>
      <c r="AD209" s="114"/>
      <c r="AE209" s="114"/>
    </row>
    <row r="210" spans="1:31" x14ac:dyDescent="0.25">
      <c r="A210" s="140" t="s">
        <v>19</v>
      </c>
      <c r="B210" s="140" t="s">
        <v>27</v>
      </c>
      <c r="C210" s="140" t="s">
        <v>28</v>
      </c>
      <c r="D210" s="149" t="s">
        <v>28</v>
      </c>
      <c r="E210" s="139" t="s">
        <v>130</v>
      </c>
      <c r="F210" s="105"/>
      <c r="G210" s="113"/>
      <c r="H210" s="114"/>
      <c r="I210" s="114"/>
      <c r="J210" s="114"/>
      <c r="K210" s="114"/>
      <c r="L210" s="114"/>
      <c r="M210" s="114"/>
      <c r="N210" s="114"/>
      <c r="O210" s="114"/>
      <c r="P210" s="114"/>
      <c r="Q210" s="114"/>
      <c r="R210" s="114"/>
      <c r="S210" s="114"/>
      <c r="T210" s="114"/>
      <c r="U210" s="114"/>
      <c r="V210" s="114"/>
      <c r="W210" s="114"/>
      <c r="X210" s="114"/>
      <c r="Y210" s="114"/>
      <c r="Z210" s="114"/>
      <c r="AA210" s="114"/>
      <c r="AB210" s="114"/>
      <c r="AC210" s="114"/>
      <c r="AD210" s="114"/>
      <c r="AE210" s="114"/>
    </row>
    <row r="211" spans="1:31" x14ac:dyDescent="0.25">
      <c r="A211" s="140" t="s">
        <v>19</v>
      </c>
      <c r="B211" s="140" t="s">
        <v>27</v>
      </c>
      <c r="C211" s="140" t="s">
        <v>28</v>
      </c>
      <c r="D211" s="149" t="s">
        <v>397</v>
      </c>
      <c r="E211" s="139" t="s">
        <v>750</v>
      </c>
      <c r="F211" s="105"/>
      <c r="G211" s="113"/>
      <c r="H211" s="114"/>
      <c r="I211" s="114"/>
      <c r="J211" s="114"/>
      <c r="K211" s="114"/>
      <c r="L211" s="114"/>
      <c r="M211" s="114"/>
      <c r="N211" s="114"/>
      <c r="O211" s="114"/>
      <c r="P211" s="114"/>
      <c r="Q211" s="114"/>
      <c r="R211" s="114"/>
      <c r="S211" s="114"/>
      <c r="T211" s="114"/>
      <c r="U211" s="114"/>
      <c r="V211" s="114"/>
      <c r="W211" s="114"/>
      <c r="X211" s="114"/>
      <c r="Y211" s="114"/>
      <c r="Z211" s="114"/>
      <c r="AA211" s="114"/>
      <c r="AB211" s="114"/>
      <c r="AC211" s="114"/>
      <c r="AD211" s="114"/>
      <c r="AE211" s="114"/>
    </row>
    <row r="212" spans="1:31" x14ac:dyDescent="0.25">
      <c r="A212" s="140" t="s">
        <v>19</v>
      </c>
      <c r="B212" s="140" t="s">
        <v>27</v>
      </c>
      <c r="C212" s="140" t="s">
        <v>28</v>
      </c>
      <c r="D212" s="149" t="s">
        <v>400</v>
      </c>
      <c r="E212" s="139" t="s">
        <v>751</v>
      </c>
      <c r="F212" s="105"/>
      <c r="G212" s="113"/>
      <c r="H212" s="114"/>
      <c r="I212" s="114"/>
      <c r="J212" s="114"/>
      <c r="K212" s="114"/>
      <c r="L212" s="114"/>
      <c r="M212" s="114"/>
      <c r="N212" s="114"/>
      <c r="O212" s="114"/>
      <c r="P212" s="114"/>
      <c r="Q212" s="114"/>
      <c r="R212" s="114"/>
      <c r="S212" s="114"/>
      <c r="T212" s="114"/>
      <c r="U212" s="114"/>
      <c r="V212" s="114"/>
      <c r="W212" s="114"/>
      <c r="X212" s="114"/>
      <c r="Y212" s="114"/>
      <c r="Z212" s="114"/>
      <c r="AA212" s="114"/>
      <c r="AB212" s="114"/>
      <c r="AC212" s="114"/>
      <c r="AD212" s="114"/>
      <c r="AE212" s="114"/>
    </row>
    <row r="213" spans="1:31" x14ac:dyDescent="0.25">
      <c r="A213" s="140" t="s">
        <v>19</v>
      </c>
      <c r="B213" s="140" t="s">
        <v>27</v>
      </c>
      <c r="C213" s="140" t="s">
        <v>28</v>
      </c>
      <c r="D213" s="149" t="s">
        <v>142</v>
      </c>
      <c r="E213" s="139" t="s">
        <v>143</v>
      </c>
      <c r="F213" s="105"/>
      <c r="G213" s="113"/>
      <c r="H213" s="114"/>
      <c r="I213" s="114"/>
      <c r="J213" s="114"/>
      <c r="K213" s="114"/>
      <c r="L213" s="114"/>
      <c r="M213" s="114"/>
      <c r="N213" s="114"/>
      <c r="O213" s="114"/>
      <c r="P213" s="114"/>
      <c r="Q213" s="114"/>
      <c r="R213" s="114"/>
      <c r="S213" s="114"/>
      <c r="T213" s="114"/>
      <c r="U213" s="114"/>
      <c r="V213" s="114"/>
      <c r="W213" s="114"/>
      <c r="X213" s="114"/>
      <c r="Y213" s="114"/>
      <c r="Z213" s="114"/>
      <c r="AA213" s="114"/>
      <c r="AB213" s="114"/>
      <c r="AC213" s="114"/>
      <c r="AD213" s="114"/>
      <c r="AE213" s="114"/>
    </row>
    <row r="214" spans="1:31" x14ac:dyDescent="0.25">
      <c r="A214" s="140" t="s">
        <v>19</v>
      </c>
      <c r="B214" s="140" t="s">
        <v>27</v>
      </c>
      <c r="C214" s="140" t="s">
        <v>28</v>
      </c>
      <c r="D214" s="149" t="s">
        <v>823</v>
      </c>
      <c r="E214" s="139" t="s">
        <v>752</v>
      </c>
      <c r="F214" s="105"/>
      <c r="G214" s="113"/>
      <c r="H214" s="114"/>
      <c r="I214" s="114"/>
      <c r="J214" s="114"/>
      <c r="K214" s="114"/>
      <c r="L214" s="114"/>
      <c r="M214" s="114"/>
      <c r="N214" s="114"/>
      <c r="O214" s="114"/>
      <c r="P214" s="114"/>
      <c r="Q214" s="114"/>
      <c r="R214" s="114"/>
      <c r="S214" s="114"/>
      <c r="T214" s="114"/>
      <c r="U214" s="114"/>
      <c r="V214" s="114"/>
      <c r="W214" s="114"/>
      <c r="X214" s="114"/>
      <c r="Y214" s="114"/>
      <c r="Z214" s="114"/>
      <c r="AA214" s="114"/>
      <c r="AB214" s="114"/>
      <c r="AC214" s="114"/>
      <c r="AD214" s="114"/>
      <c r="AE214" s="114"/>
    </row>
    <row r="215" spans="1:31" x14ac:dyDescent="0.25">
      <c r="A215" s="109" t="s">
        <v>801</v>
      </c>
      <c r="B215" s="110" t="s">
        <v>155</v>
      </c>
      <c r="C215" s="111" t="s">
        <v>66</v>
      </c>
      <c r="D215" s="112" t="s">
        <v>156</v>
      </c>
      <c r="E215" s="105" t="s">
        <v>157</v>
      </c>
      <c r="F215" s="105"/>
      <c r="G215" s="113"/>
      <c r="H215" s="114"/>
      <c r="I215" s="114"/>
      <c r="J215" s="114"/>
      <c r="K215" s="114"/>
      <c r="L215" s="114"/>
      <c r="M215" s="114"/>
      <c r="N215" s="114"/>
      <c r="O215" s="114"/>
      <c r="P215" s="114"/>
      <c r="Q215" s="114"/>
      <c r="R215" s="114"/>
      <c r="S215" s="114"/>
      <c r="T215" s="114"/>
      <c r="U215" s="114"/>
      <c r="V215" s="114"/>
      <c r="W215" s="114"/>
      <c r="X215" s="114"/>
      <c r="Y215" s="114"/>
      <c r="Z215" s="114"/>
      <c r="AA215" s="114"/>
      <c r="AB215" s="114"/>
      <c r="AC215" s="114"/>
      <c r="AD215" s="114"/>
      <c r="AE215" s="114"/>
    </row>
    <row r="216" spans="1:31" x14ac:dyDescent="0.25">
      <c r="A216" s="109" t="s">
        <v>158</v>
      </c>
      <c r="B216" s="110" t="s">
        <v>155</v>
      </c>
      <c r="C216" s="111" t="s">
        <v>66</v>
      </c>
      <c r="D216" s="112" t="s">
        <v>159</v>
      </c>
      <c r="E216" s="105" t="s">
        <v>160</v>
      </c>
      <c r="F216" s="105"/>
      <c r="G216" s="113"/>
      <c r="H216" s="114"/>
      <c r="I216" s="114"/>
      <c r="J216" s="114"/>
      <c r="K216" s="114"/>
      <c r="L216" s="114"/>
      <c r="M216" s="114"/>
      <c r="N216" s="114"/>
      <c r="O216" s="114"/>
      <c r="P216" s="114"/>
      <c r="Q216" s="114"/>
      <c r="R216" s="114"/>
      <c r="S216" s="114"/>
      <c r="T216" s="114"/>
      <c r="U216" s="114"/>
      <c r="V216" s="114"/>
      <c r="W216" s="114"/>
      <c r="X216" s="114"/>
      <c r="Y216" s="114"/>
      <c r="Z216" s="114"/>
      <c r="AA216" s="114"/>
      <c r="AB216" s="114"/>
      <c r="AC216" s="114"/>
      <c r="AD216" s="114"/>
      <c r="AE216" s="114"/>
    </row>
    <row r="217" spans="1:31" x14ac:dyDescent="0.25">
      <c r="A217" s="109" t="s">
        <v>161</v>
      </c>
      <c r="B217" s="110" t="s">
        <v>155</v>
      </c>
      <c r="C217" s="111" t="s">
        <v>66</v>
      </c>
      <c r="D217" s="115" t="s">
        <v>21</v>
      </c>
      <c r="E217" s="105" t="s">
        <v>22</v>
      </c>
      <c r="G217" s="113"/>
      <c r="H217" s="114"/>
      <c r="I217" s="114"/>
      <c r="J217" s="114"/>
      <c r="K217" s="114"/>
      <c r="L217" s="114"/>
      <c r="M217" s="114"/>
      <c r="N217" s="114"/>
      <c r="O217" s="114"/>
      <c r="P217" s="114"/>
      <c r="Q217" s="114"/>
      <c r="R217" s="114"/>
      <c r="S217" s="59"/>
      <c r="T217" s="114"/>
      <c r="U217" s="114"/>
      <c r="V217" s="114"/>
      <c r="W217" s="114"/>
      <c r="X217" s="114"/>
      <c r="Y217" s="114"/>
      <c r="Z217" s="114"/>
      <c r="AA217" s="114"/>
      <c r="AB217" s="114"/>
      <c r="AC217" s="114"/>
      <c r="AD217" s="114"/>
      <c r="AE217" s="114"/>
    </row>
    <row r="218" spans="1:31" x14ac:dyDescent="0.25">
      <c r="A218" s="109" t="s">
        <v>161</v>
      </c>
      <c r="B218" s="110" t="s">
        <v>155</v>
      </c>
      <c r="C218" s="111" t="s">
        <v>66</v>
      </c>
      <c r="D218" s="112" t="s">
        <v>166</v>
      </c>
      <c r="E218" s="105" t="s">
        <v>167</v>
      </c>
      <c r="G218" s="113"/>
      <c r="H218" s="114"/>
      <c r="I218" s="114"/>
      <c r="J218" s="114"/>
      <c r="K218" s="114"/>
      <c r="L218" s="114"/>
      <c r="M218" s="114"/>
      <c r="N218" s="114"/>
      <c r="O218" s="114"/>
      <c r="P218" s="114"/>
      <c r="Q218" s="114"/>
      <c r="R218" s="114"/>
      <c r="S218" s="59"/>
      <c r="T218" s="114"/>
      <c r="U218" s="114"/>
      <c r="V218" s="114"/>
      <c r="W218" s="114"/>
      <c r="X218" s="114"/>
      <c r="Y218" s="114"/>
      <c r="Z218" s="114"/>
      <c r="AA218" s="114"/>
      <c r="AB218" s="114"/>
      <c r="AC218" s="114"/>
      <c r="AD218" s="114"/>
      <c r="AE218" s="114"/>
    </row>
    <row r="219" spans="1:31" x14ac:dyDescent="0.25">
      <c r="A219" s="109" t="s">
        <v>161</v>
      </c>
      <c r="B219" s="110" t="s">
        <v>155</v>
      </c>
      <c r="C219" s="111" t="s">
        <v>66</v>
      </c>
      <c r="D219" s="115" t="s">
        <v>172</v>
      </c>
      <c r="E219" s="105" t="s">
        <v>173</v>
      </c>
      <c r="G219" s="113"/>
      <c r="H219" s="114"/>
      <c r="I219" s="114"/>
      <c r="J219" s="114"/>
      <c r="K219" s="114"/>
      <c r="L219" s="114"/>
      <c r="M219" s="114"/>
      <c r="N219" s="114"/>
      <c r="O219" s="114"/>
      <c r="P219" s="114"/>
      <c r="Q219" s="114"/>
      <c r="R219" s="114"/>
      <c r="S219" s="59"/>
      <c r="T219" s="114"/>
      <c r="U219" s="114"/>
      <c r="V219" s="114"/>
      <c r="W219" s="114"/>
      <c r="X219" s="114"/>
      <c r="Y219" s="114"/>
      <c r="Z219" s="114"/>
      <c r="AA219" s="114"/>
      <c r="AB219" s="114"/>
      <c r="AC219" s="114"/>
      <c r="AD219" s="114"/>
      <c r="AE219" s="114"/>
    </row>
    <row r="220" spans="1:31" x14ac:dyDescent="0.25">
      <c r="A220" s="109" t="s">
        <v>161</v>
      </c>
      <c r="B220" s="110" t="s">
        <v>155</v>
      </c>
      <c r="C220" s="111" t="s">
        <v>66</v>
      </c>
      <c r="D220" s="112" t="s">
        <v>180</v>
      </c>
      <c r="E220" s="105" t="s">
        <v>181</v>
      </c>
      <c r="G220" s="113"/>
      <c r="H220" s="114"/>
      <c r="I220" s="114"/>
      <c r="J220" s="114"/>
      <c r="K220" s="114"/>
      <c r="L220" s="114"/>
      <c r="M220" s="114"/>
      <c r="N220" s="114"/>
      <c r="O220" s="114"/>
      <c r="P220" s="114"/>
      <c r="Q220" s="114"/>
      <c r="R220" s="114"/>
      <c r="S220" s="59"/>
      <c r="T220" s="114"/>
      <c r="U220" s="114"/>
      <c r="V220" s="114"/>
      <c r="W220" s="114"/>
      <c r="X220" s="114"/>
      <c r="Y220" s="114"/>
      <c r="Z220" s="114"/>
      <c r="AA220" s="114"/>
      <c r="AB220" s="114"/>
      <c r="AC220" s="114"/>
      <c r="AD220" s="114"/>
      <c r="AE220" s="114"/>
    </row>
    <row r="221" spans="1:31" x14ac:dyDescent="0.25">
      <c r="A221" s="109" t="s">
        <v>161</v>
      </c>
      <c r="B221" s="110" t="s">
        <v>23</v>
      </c>
      <c r="C221" s="111" t="s">
        <v>38</v>
      </c>
      <c r="D221" s="112" t="s">
        <v>39</v>
      </c>
      <c r="E221" s="105" t="s">
        <v>40</v>
      </c>
      <c r="G221" s="113"/>
      <c r="H221" s="114"/>
      <c r="I221" s="114"/>
      <c r="J221" s="114"/>
      <c r="K221" s="114"/>
      <c r="L221" s="114"/>
      <c r="M221" s="114"/>
      <c r="N221" s="114"/>
      <c r="O221" s="114"/>
      <c r="P221" s="114"/>
      <c r="Q221" s="114"/>
      <c r="R221" s="114"/>
      <c r="S221" s="59"/>
      <c r="T221" s="114"/>
      <c r="U221" s="114"/>
      <c r="V221" s="114"/>
      <c r="W221" s="114"/>
      <c r="X221" s="114"/>
      <c r="Y221" s="114"/>
      <c r="Z221" s="114"/>
      <c r="AA221" s="114"/>
      <c r="AB221" s="114"/>
      <c r="AC221" s="114"/>
      <c r="AD221" s="114"/>
      <c r="AE221" s="114"/>
    </row>
    <row r="222" spans="1:31" x14ac:dyDescent="0.25">
      <c r="A222" s="109" t="s">
        <v>161</v>
      </c>
      <c r="B222" s="110" t="s">
        <v>23</v>
      </c>
      <c r="C222" s="111" t="s">
        <v>38</v>
      </c>
      <c r="D222" s="115" t="s">
        <v>53</v>
      </c>
      <c r="E222" s="105" t="s">
        <v>54</v>
      </c>
      <c r="G222" s="113"/>
      <c r="H222" s="114"/>
      <c r="I222" s="114"/>
      <c r="J222" s="114"/>
      <c r="K222" s="114"/>
      <c r="L222" s="114"/>
      <c r="M222" s="114"/>
      <c r="N222" s="114"/>
      <c r="O222" s="114"/>
      <c r="P222" s="114"/>
      <c r="Q222" s="114"/>
      <c r="R222" s="114"/>
      <c r="S222" s="59"/>
      <c r="T222" s="114"/>
      <c r="U222" s="114"/>
      <c r="V222" s="114"/>
      <c r="W222" s="114"/>
      <c r="X222" s="114"/>
      <c r="Y222" s="114"/>
      <c r="Z222" s="114"/>
      <c r="AA222" s="114"/>
      <c r="AB222" s="114"/>
      <c r="AC222" s="114"/>
      <c r="AD222" s="114"/>
      <c r="AE222" s="114"/>
    </row>
    <row r="223" spans="1:31" x14ac:dyDescent="0.25">
      <c r="A223" s="109" t="s">
        <v>161</v>
      </c>
      <c r="B223" s="110" t="s">
        <v>23</v>
      </c>
      <c r="C223" s="111" t="s">
        <v>38</v>
      </c>
      <c r="D223" s="112" t="s">
        <v>174</v>
      </c>
      <c r="E223" s="105" t="s">
        <v>175</v>
      </c>
      <c r="G223" s="113"/>
      <c r="H223" s="114"/>
      <c r="I223" s="114"/>
      <c r="J223" s="114"/>
      <c r="K223" s="114"/>
      <c r="L223" s="114"/>
      <c r="M223" s="114"/>
      <c r="N223" s="114"/>
      <c r="O223" s="114"/>
      <c r="P223" s="114"/>
      <c r="Q223" s="114"/>
      <c r="R223" s="114"/>
      <c r="S223" s="59"/>
      <c r="T223" s="114"/>
      <c r="U223" s="114"/>
      <c r="V223" s="114"/>
      <c r="W223" s="114"/>
      <c r="X223" s="114"/>
      <c r="Y223" s="114"/>
      <c r="Z223" s="114"/>
      <c r="AA223" s="114"/>
      <c r="AB223" s="114"/>
      <c r="AC223" s="114"/>
      <c r="AD223" s="114"/>
      <c r="AE223" s="114"/>
    </row>
    <row r="224" spans="1:31" x14ac:dyDescent="0.25">
      <c r="A224" s="109" t="s">
        <v>161</v>
      </c>
      <c r="B224" s="110" t="s">
        <v>23</v>
      </c>
      <c r="C224" s="168" t="s">
        <v>38</v>
      </c>
      <c r="D224" s="112" t="s">
        <v>91</v>
      </c>
      <c r="E224" s="105" t="s">
        <v>92</v>
      </c>
      <c r="G224" s="113"/>
      <c r="H224" s="114"/>
      <c r="I224" s="114"/>
      <c r="J224" s="114"/>
      <c r="K224" s="114"/>
      <c r="L224" s="114"/>
      <c r="M224" s="114"/>
      <c r="N224" s="114"/>
      <c r="O224" s="114"/>
      <c r="P224" s="114"/>
      <c r="Q224" s="114"/>
      <c r="R224" s="114"/>
      <c r="S224" s="59"/>
      <c r="T224" s="114"/>
      <c r="U224" s="114"/>
      <c r="V224" s="114"/>
      <c r="W224" s="114"/>
      <c r="X224" s="114"/>
      <c r="Y224" s="114"/>
      <c r="Z224" s="114"/>
      <c r="AA224" s="114"/>
      <c r="AB224" s="114"/>
      <c r="AC224" s="114"/>
      <c r="AD224" s="114"/>
      <c r="AE224" s="114"/>
    </row>
    <row r="225" spans="1:31" x14ac:dyDescent="0.25">
      <c r="A225" s="109" t="s">
        <v>161</v>
      </c>
      <c r="B225" s="110" t="s">
        <v>23</v>
      </c>
      <c r="C225" s="168" t="s">
        <v>38</v>
      </c>
      <c r="D225" s="115" t="s">
        <v>95</v>
      </c>
      <c r="E225" s="105" t="s">
        <v>96</v>
      </c>
      <c r="G225" s="113"/>
      <c r="H225" s="114"/>
      <c r="I225" s="114"/>
      <c r="J225" s="114"/>
      <c r="K225" s="114"/>
      <c r="L225" s="114"/>
      <c r="M225" s="114"/>
      <c r="N225" s="114"/>
      <c r="O225" s="114"/>
      <c r="P225" s="114"/>
      <c r="Q225" s="114"/>
      <c r="R225" s="114"/>
      <c r="S225" s="59"/>
      <c r="T225" s="114"/>
      <c r="U225" s="114"/>
      <c r="V225" s="114"/>
      <c r="W225" s="114"/>
      <c r="X225" s="114"/>
      <c r="Y225" s="114"/>
      <c r="Z225" s="114"/>
      <c r="AA225" s="114"/>
      <c r="AB225" s="114"/>
      <c r="AC225" s="114"/>
      <c r="AD225" s="114"/>
      <c r="AE225" s="114"/>
    </row>
    <row r="226" spans="1:31" x14ac:dyDescent="0.25">
      <c r="A226" s="109" t="s">
        <v>161</v>
      </c>
      <c r="B226" s="110" t="s">
        <v>23</v>
      </c>
      <c r="C226" s="168" t="s">
        <v>38</v>
      </c>
      <c r="D226" s="112" t="s">
        <v>178</v>
      </c>
      <c r="E226" s="105" t="s">
        <v>179</v>
      </c>
      <c r="G226" s="113"/>
      <c r="H226" s="114"/>
      <c r="I226" s="114"/>
      <c r="J226" s="114"/>
      <c r="K226" s="114"/>
      <c r="L226" s="114"/>
      <c r="M226" s="114"/>
      <c r="N226" s="114"/>
      <c r="O226" s="114"/>
      <c r="P226" s="114"/>
      <c r="Q226" s="114"/>
      <c r="R226" s="114"/>
      <c r="S226" s="59"/>
      <c r="T226" s="114"/>
      <c r="U226" s="114"/>
      <c r="V226" s="114"/>
      <c r="W226" s="114"/>
      <c r="X226" s="114"/>
      <c r="Y226" s="114"/>
      <c r="Z226" s="114"/>
      <c r="AA226" s="114"/>
      <c r="AB226" s="114"/>
      <c r="AC226" s="114"/>
      <c r="AD226" s="114"/>
      <c r="AE226" s="114"/>
    </row>
    <row r="227" spans="1:31" x14ac:dyDescent="0.25">
      <c r="A227" s="109" t="s">
        <v>161</v>
      </c>
      <c r="B227" s="110" t="s">
        <v>23</v>
      </c>
      <c r="C227" s="168" t="s">
        <v>38</v>
      </c>
      <c r="D227" s="115" t="s">
        <v>134</v>
      </c>
      <c r="E227" s="105" t="s">
        <v>135</v>
      </c>
      <c r="G227" s="113"/>
      <c r="H227" s="114"/>
      <c r="I227" s="114"/>
      <c r="J227" s="114"/>
      <c r="K227" s="114"/>
      <c r="L227" s="114"/>
      <c r="M227" s="114"/>
      <c r="N227" s="114"/>
      <c r="O227" s="114"/>
      <c r="P227" s="114"/>
      <c r="Q227" s="114"/>
      <c r="R227" s="114"/>
      <c r="S227" s="59"/>
      <c r="T227" s="114"/>
      <c r="U227" s="114"/>
      <c r="V227" s="114"/>
      <c r="W227" s="114"/>
      <c r="X227" s="114"/>
      <c r="Y227" s="114"/>
      <c r="Z227" s="114"/>
      <c r="AA227" s="114"/>
      <c r="AB227" s="114"/>
      <c r="AC227" s="114"/>
      <c r="AD227" s="114"/>
      <c r="AE227" s="114"/>
    </row>
    <row r="228" spans="1:31" x14ac:dyDescent="0.25">
      <c r="A228" s="109" t="s">
        <v>161</v>
      </c>
      <c r="B228" s="110" t="s">
        <v>23</v>
      </c>
      <c r="C228" s="168" t="s">
        <v>38</v>
      </c>
      <c r="D228" s="115" t="s">
        <v>138</v>
      </c>
      <c r="E228" s="105" t="s">
        <v>139</v>
      </c>
      <c r="G228" s="113"/>
      <c r="H228" s="114"/>
      <c r="I228" s="114"/>
      <c r="J228" s="114"/>
      <c r="K228" s="114"/>
      <c r="L228" s="114"/>
      <c r="M228" s="114"/>
      <c r="N228" s="114"/>
      <c r="O228" s="114"/>
      <c r="P228" s="114"/>
      <c r="Q228" s="114"/>
      <c r="R228" s="114"/>
      <c r="S228" s="59"/>
      <c r="T228" s="114"/>
      <c r="U228" s="114"/>
      <c r="V228" s="114"/>
      <c r="W228" s="114"/>
      <c r="X228" s="114"/>
      <c r="Y228" s="114"/>
      <c r="Z228" s="114"/>
      <c r="AA228" s="114"/>
      <c r="AB228" s="114"/>
      <c r="AC228" s="114"/>
      <c r="AD228" s="114"/>
      <c r="AE228" s="114"/>
    </row>
    <row r="229" spans="1:31" x14ac:dyDescent="0.25">
      <c r="A229" s="109" t="s">
        <v>161</v>
      </c>
      <c r="B229" s="110" t="s">
        <v>20</v>
      </c>
      <c r="C229" s="168" t="s">
        <v>37</v>
      </c>
      <c r="D229" s="115" t="s">
        <v>162</v>
      </c>
      <c r="E229" s="105" t="s">
        <v>163</v>
      </c>
      <c r="G229" s="113"/>
      <c r="H229" s="114"/>
      <c r="I229" s="114"/>
      <c r="J229" s="114"/>
      <c r="K229" s="114"/>
      <c r="L229" s="114"/>
      <c r="M229" s="114"/>
      <c r="N229" s="114"/>
      <c r="O229" s="114"/>
      <c r="P229" s="114"/>
      <c r="Q229" s="114"/>
      <c r="R229" s="114"/>
      <c r="S229" s="59"/>
      <c r="T229" s="114"/>
      <c r="U229" s="114"/>
      <c r="V229" s="114"/>
      <c r="W229" s="114"/>
      <c r="X229" s="114"/>
      <c r="Y229" s="114"/>
      <c r="Z229" s="114"/>
      <c r="AA229" s="114"/>
      <c r="AB229" s="114"/>
      <c r="AC229" s="114"/>
      <c r="AD229" s="114"/>
      <c r="AE229" s="114"/>
    </row>
    <row r="230" spans="1:31" x14ac:dyDescent="0.25">
      <c r="A230" s="109" t="s">
        <v>161</v>
      </c>
      <c r="B230" s="110" t="s">
        <v>20</v>
      </c>
      <c r="C230" s="168" t="s">
        <v>37</v>
      </c>
      <c r="D230" s="115" t="s">
        <v>37</v>
      </c>
      <c r="E230" s="105" t="s">
        <v>77</v>
      </c>
      <c r="G230" s="113"/>
      <c r="H230" s="114"/>
      <c r="I230" s="114"/>
      <c r="J230" s="114"/>
      <c r="K230" s="114"/>
      <c r="L230" s="114"/>
      <c r="M230" s="114"/>
      <c r="N230" s="114"/>
      <c r="O230" s="114"/>
      <c r="P230" s="114"/>
      <c r="Q230" s="114"/>
      <c r="R230" s="114"/>
      <c r="S230" s="59"/>
      <c r="T230" s="114"/>
      <c r="U230" s="114"/>
      <c r="V230" s="114"/>
      <c r="W230" s="114"/>
      <c r="X230" s="114"/>
      <c r="Y230" s="114"/>
      <c r="Z230" s="114"/>
      <c r="AA230" s="114"/>
      <c r="AB230" s="114"/>
      <c r="AC230" s="114"/>
      <c r="AD230" s="114"/>
      <c r="AE230" s="114"/>
    </row>
    <row r="231" spans="1:31" x14ac:dyDescent="0.25">
      <c r="A231" s="109" t="s">
        <v>161</v>
      </c>
      <c r="B231" s="110" t="s">
        <v>20</v>
      </c>
      <c r="C231" s="168" t="s">
        <v>37</v>
      </c>
      <c r="D231" s="112" t="s">
        <v>121</v>
      </c>
      <c r="E231" s="105" t="s">
        <v>122</v>
      </c>
      <c r="G231" s="113"/>
      <c r="H231" s="114"/>
      <c r="I231" s="114"/>
      <c r="J231" s="114"/>
      <c r="K231" s="114"/>
      <c r="L231" s="114"/>
      <c r="M231" s="114"/>
      <c r="N231" s="114"/>
      <c r="O231" s="114"/>
      <c r="P231" s="114"/>
      <c r="Q231" s="114"/>
      <c r="R231" s="114"/>
      <c r="S231" s="59"/>
      <c r="T231" s="114"/>
      <c r="U231" s="114"/>
      <c r="V231" s="114"/>
      <c r="W231" s="114"/>
      <c r="X231" s="114"/>
      <c r="Y231" s="114"/>
      <c r="Z231" s="114"/>
      <c r="AA231" s="114"/>
      <c r="AB231" s="114"/>
      <c r="AC231" s="114"/>
      <c r="AD231" s="114"/>
      <c r="AE231" s="114"/>
    </row>
    <row r="232" spans="1:31" x14ac:dyDescent="0.25">
      <c r="A232" s="109" t="s">
        <v>161</v>
      </c>
      <c r="B232" s="110" t="s">
        <v>20</v>
      </c>
      <c r="C232" s="168" t="s">
        <v>37</v>
      </c>
      <c r="D232" s="115" t="s">
        <v>152</v>
      </c>
      <c r="E232" s="105" t="s">
        <v>153</v>
      </c>
      <c r="G232" s="113"/>
      <c r="H232" s="114"/>
      <c r="I232" s="114"/>
      <c r="J232" s="114"/>
      <c r="K232" s="114"/>
      <c r="L232" s="114"/>
      <c r="M232" s="114"/>
      <c r="N232" s="114"/>
      <c r="O232" s="114"/>
      <c r="P232" s="114"/>
      <c r="Q232" s="114"/>
      <c r="R232" s="114"/>
      <c r="S232" s="59"/>
      <c r="T232" s="114"/>
      <c r="U232" s="114"/>
      <c r="V232" s="114"/>
      <c r="W232" s="114"/>
      <c r="X232" s="114"/>
      <c r="Y232" s="114"/>
      <c r="Z232" s="114"/>
      <c r="AA232" s="114"/>
      <c r="AB232" s="114"/>
      <c r="AC232" s="114"/>
      <c r="AD232" s="114"/>
      <c r="AE232" s="114"/>
    </row>
    <row r="233" spans="1:31" x14ac:dyDescent="0.25">
      <c r="A233" s="109" t="s">
        <v>161</v>
      </c>
      <c r="B233" s="110" t="s">
        <v>20</v>
      </c>
      <c r="C233" s="111" t="s">
        <v>34</v>
      </c>
      <c r="D233" s="115" t="s">
        <v>35</v>
      </c>
      <c r="E233" s="105" t="s">
        <v>36</v>
      </c>
      <c r="G233" s="113"/>
      <c r="H233" s="114"/>
      <c r="I233" s="114"/>
      <c r="J233" s="114"/>
      <c r="K233" s="114"/>
      <c r="L233" s="114"/>
      <c r="M233" s="114"/>
      <c r="N233" s="114"/>
      <c r="O233" s="114"/>
      <c r="P233" s="114"/>
      <c r="Q233" s="114"/>
      <c r="R233" s="114"/>
      <c r="S233" s="59"/>
      <c r="T233" s="114"/>
      <c r="U233" s="114"/>
      <c r="V233" s="114"/>
      <c r="W233" s="114"/>
      <c r="X233" s="114"/>
      <c r="Y233" s="114"/>
      <c r="Z233" s="114"/>
      <c r="AA233" s="114"/>
      <c r="AB233" s="114"/>
      <c r="AC233" s="114"/>
      <c r="AD233" s="114"/>
      <c r="AE233" s="114"/>
    </row>
    <row r="234" spans="1:31" x14ac:dyDescent="0.25">
      <c r="A234" s="109" t="s">
        <v>161</v>
      </c>
      <c r="B234" s="110" t="s">
        <v>20</v>
      </c>
      <c r="C234" s="111" t="s">
        <v>34</v>
      </c>
      <c r="D234" s="115" t="s">
        <v>164</v>
      </c>
      <c r="E234" s="105" t="s">
        <v>165</v>
      </c>
      <c r="G234" s="113"/>
      <c r="H234" s="114"/>
      <c r="I234" s="114"/>
      <c r="J234" s="114"/>
      <c r="K234" s="114"/>
      <c r="L234" s="114"/>
      <c r="M234" s="114"/>
      <c r="N234" s="114"/>
      <c r="O234" s="114"/>
      <c r="P234" s="114"/>
      <c r="Q234" s="114"/>
      <c r="R234" s="114"/>
      <c r="S234" s="59"/>
      <c r="T234" s="114"/>
      <c r="U234" s="114"/>
      <c r="V234" s="114"/>
      <c r="W234" s="114"/>
      <c r="X234" s="114"/>
      <c r="Y234" s="114"/>
      <c r="Z234" s="114"/>
      <c r="AA234" s="114"/>
      <c r="AB234" s="114"/>
      <c r="AC234" s="114"/>
      <c r="AD234" s="114"/>
      <c r="AE234" s="114"/>
    </row>
    <row r="235" spans="1:31" x14ac:dyDescent="0.25">
      <c r="A235" s="109" t="s">
        <v>161</v>
      </c>
      <c r="B235" s="110" t="s">
        <v>20</v>
      </c>
      <c r="C235" s="111" t="s">
        <v>34</v>
      </c>
      <c r="D235" s="112" t="s">
        <v>49</v>
      </c>
      <c r="E235" s="105" t="s">
        <v>50</v>
      </c>
      <c r="G235" s="113"/>
      <c r="H235" s="114"/>
      <c r="I235" s="114"/>
      <c r="J235" s="114"/>
      <c r="K235" s="114"/>
      <c r="L235" s="114"/>
      <c r="M235" s="114"/>
      <c r="N235" s="114"/>
      <c r="O235" s="114"/>
      <c r="P235" s="114"/>
      <c r="Q235" s="114"/>
      <c r="R235" s="114"/>
      <c r="S235" s="59"/>
      <c r="T235" s="114"/>
      <c r="U235" s="114"/>
      <c r="V235" s="114"/>
      <c r="W235" s="114"/>
      <c r="X235" s="114"/>
      <c r="Y235" s="114"/>
      <c r="Z235" s="114"/>
      <c r="AA235" s="114"/>
      <c r="AB235" s="114"/>
      <c r="AC235" s="114"/>
      <c r="AD235" s="114"/>
      <c r="AE235" s="114"/>
    </row>
    <row r="236" spans="1:31" x14ac:dyDescent="0.25">
      <c r="A236" s="109" t="s">
        <v>161</v>
      </c>
      <c r="B236" s="110" t="s">
        <v>20</v>
      </c>
      <c r="C236" s="111" t="s">
        <v>34</v>
      </c>
      <c r="D236" s="112" t="s">
        <v>62</v>
      </c>
      <c r="E236" s="105" t="s">
        <v>63</v>
      </c>
      <c r="G236" s="113"/>
      <c r="H236" s="114"/>
      <c r="I236" s="114"/>
      <c r="J236" s="114"/>
      <c r="K236" s="114"/>
      <c r="L236" s="114"/>
      <c r="M236" s="114"/>
      <c r="N236" s="114"/>
      <c r="O236" s="114"/>
      <c r="P236" s="114"/>
      <c r="Q236" s="114"/>
      <c r="R236" s="114"/>
      <c r="S236" s="59"/>
      <c r="T236" s="114"/>
      <c r="U236" s="114"/>
      <c r="V236" s="114"/>
      <c r="W236" s="114"/>
      <c r="X236" s="114"/>
      <c r="Y236" s="114"/>
      <c r="Z236" s="114"/>
      <c r="AA236" s="114"/>
      <c r="AB236" s="114"/>
      <c r="AC236" s="114"/>
      <c r="AD236" s="114"/>
      <c r="AE236" s="114"/>
    </row>
    <row r="237" spans="1:31" x14ac:dyDescent="0.25">
      <c r="A237" s="109" t="s">
        <v>161</v>
      </c>
      <c r="B237" s="110" t="s">
        <v>20</v>
      </c>
      <c r="C237" s="111" t="s">
        <v>34</v>
      </c>
      <c r="D237" s="169" t="s">
        <v>113</v>
      </c>
      <c r="E237" s="105" t="s">
        <v>114</v>
      </c>
      <c r="G237" s="113"/>
      <c r="H237" s="114"/>
      <c r="I237" s="114"/>
      <c r="J237" s="114"/>
      <c r="K237" s="114"/>
      <c r="L237" s="114"/>
      <c r="M237" s="114"/>
      <c r="N237" s="114"/>
      <c r="O237" s="114"/>
      <c r="P237" s="114"/>
      <c r="Q237" s="114"/>
      <c r="R237" s="114"/>
      <c r="S237" s="59"/>
      <c r="T237" s="114"/>
      <c r="U237" s="114"/>
      <c r="V237" s="114"/>
      <c r="W237" s="114"/>
      <c r="X237" s="114"/>
      <c r="Y237" s="114"/>
      <c r="Z237" s="114"/>
      <c r="AA237" s="114"/>
      <c r="AB237" s="114"/>
      <c r="AC237" s="114"/>
      <c r="AD237" s="114"/>
      <c r="AE237" s="114"/>
    </row>
    <row r="238" spans="1:31" x14ac:dyDescent="0.25">
      <c r="A238" s="109" t="s">
        <v>161</v>
      </c>
      <c r="B238" s="110" t="s">
        <v>20</v>
      </c>
      <c r="C238" s="111" t="s">
        <v>34</v>
      </c>
      <c r="D238" s="112" t="s">
        <v>144</v>
      </c>
      <c r="E238" s="105" t="s">
        <v>145</v>
      </c>
      <c r="G238" s="113"/>
      <c r="H238" s="114"/>
      <c r="I238" s="114"/>
      <c r="J238" s="114"/>
      <c r="K238" s="114"/>
      <c r="L238" s="114"/>
      <c r="M238" s="114"/>
      <c r="N238" s="114"/>
      <c r="O238" s="114"/>
      <c r="P238" s="114"/>
      <c r="Q238" s="114"/>
      <c r="R238" s="114"/>
      <c r="S238" s="59"/>
      <c r="T238" s="114"/>
      <c r="U238" s="114"/>
      <c r="V238" s="114"/>
      <c r="W238" s="114"/>
      <c r="X238" s="114"/>
      <c r="Y238" s="114"/>
      <c r="Z238" s="114"/>
      <c r="AA238" s="114"/>
      <c r="AB238" s="114"/>
      <c r="AC238" s="114"/>
      <c r="AD238" s="114"/>
      <c r="AE238" s="114"/>
    </row>
    <row r="239" spans="1:31" x14ac:dyDescent="0.25">
      <c r="A239" s="109" t="s">
        <v>161</v>
      </c>
      <c r="B239" s="110" t="s">
        <v>20</v>
      </c>
      <c r="C239" s="111" t="s">
        <v>34</v>
      </c>
      <c r="D239" s="115" t="s">
        <v>150</v>
      </c>
      <c r="E239" s="105" t="s">
        <v>151</v>
      </c>
      <c r="G239" s="113"/>
      <c r="H239" s="114"/>
      <c r="I239" s="114"/>
      <c r="J239" s="114"/>
      <c r="K239" s="114"/>
      <c r="L239" s="114"/>
      <c r="M239" s="114"/>
      <c r="N239" s="114"/>
      <c r="O239" s="114"/>
      <c r="P239" s="114"/>
      <c r="Q239" s="114"/>
      <c r="R239" s="114"/>
      <c r="S239" s="59"/>
      <c r="T239" s="114"/>
      <c r="U239" s="114"/>
      <c r="V239" s="114"/>
      <c r="W239" s="114"/>
      <c r="X239" s="114"/>
      <c r="Y239" s="114"/>
      <c r="Z239" s="114"/>
      <c r="AA239" s="114"/>
      <c r="AB239" s="114"/>
      <c r="AC239" s="114"/>
      <c r="AD239" s="114"/>
      <c r="AE239" s="114"/>
    </row>
    <row r="240" spans="1:31" x14ac:dyDescent="0.25">
      <c r="A240" s="109" t="s">
        <v>161</v>
      </c>
      <c r="B240" s="110" t="s">
        <v>23</v>
      </c>
      <c r="C240" s="111" t="s">
        <v>24</v>
      </c>
      <c r="D240" s="112" t="s">
        <v>25</v>
      </c>
      <c r="E240" s="105" t="s">
        <v>26</v>
      </c>
      <c r="G240" s="113"/>
      <c r="H240" s="114"/>
      <c r="I240" s="114"/>
      <c r="J240" s="114"/>
      <c r="K240" s="114"/>
      <c r="L240" s="114"/>
      <c r="M240" s="114"/>
      <c r="N240" s="114"/>
      <c r="O240" s="114"/>
      <c r="P240" s="114"/>
      <c r="Q240" s="114"/>
      <c r="R240" s="114"/>
      <c r="S240" s="59"/>
      <c r="T240" s="114"/>
      <c r="U240" s="114"/>
      <c r="V240" s="114"/>
      <c r="W240" s="114"/>
      <c r="X240" s="114"/>
      <c r="Y240" s="114"/>
      <c r="Z240" s="114"/>
      <c r="AA240" s="114"/>
      <c r="AB240" s="114"/>
      <c r="AC240" s="114"/>
      <c r="AD240" s="114"/>
      <c r="AE240" s="114"/>
    </row>
    <row r="241" spans="1:31" x14ac:dyDescent="0.25">
      <c r="A241" s="109" t="s">
        <v>161</v>
      </c>
      <c r="B241" s="110" t="s">
        <v>23</v>
      </c>
      <c r="C241" s="111" t="s">
        <v>24</v>
      </c>
      <c r="D241" s="115" t="s">
        <v>47</v>
      </c>
      <c r="E241" s="105" t="s">
        <v>48</v>
      </c>
      <c r="G241" s="113"/>
      <c r="H241" s="114"/>
      <c r="I241" s="114"/>
      <c r="J241" s="114"/>
      <c r="K241" s="114"/>
      <c r="L241" s="114"/>
      <c r="M241" s="114"/>
      <c r="N241" s="114"/>
      <c r="O241" s="114"/>
      <c r="P241" s="114"/>
      <c r="Q241" s="114"/>
      <c r="R241" s="114"/>
      <c r="S241" s="59"/>
      <c r="T241" s="114"/>
      <c r="U241" s="114"/>
      <c r="V241" s="114"/>
      <c r="W241" s="114"/>
      <c r="X241" s="114"/>
      <c r="Y241" s="114"/>
      <c r="Z241" s="114"/>
      <c r="AA241" s="114"/>
      <c r="AB241" s="114"/>
      <c r="AC241" s="114"/>
      <c r="AD241" s="114"/>
      <c r="AE241" s="114"/>
    </row>
    <row r="242" spans="1:31" x14ac:dyDescent="0.25">
      <c r="A242" s="109" t="s">
        <v>161</v>
      </c>
      <c r="B242" s="110" t="s">
        <v>23</v>
      </c>
      <c r="C242" s="111" t="s">
        <v>24</v>
      </c>
      <c r="D242" s="115" t="s">
        <v>51</v>
      </c>
      <c r="E242" s="105" t="s">
        <v>52</v>
      </c>
      <c r="G242" s="113"/>
      <c r="H242" s="114"/>
      <c r="I242" s="114"/>
      <c r="J242" s="114"/>
      <c r="K242" s="114"/>
      <c r="L242" s="114"/>
      <c r="M242" s="114"/>
      <c r="N242" s="114"/>
      <c r="O242" s="114"/>
      <c r="P242" s="114"/>
      <c r="Q242" s="114"/>
      <c r="R242" s="114"/>
      <c r="S242" s="59"/>
      <c r="T242" s="114"/>
      <c r="U242" s="114"/>
      <c r="V242" s="114"/>
      <c r="W242" s="114"/>
      <c r="X242" s="114"/>
      <c r="Y242" s="114"/>
      <c r="Z242" s="114"/>
      <c r="AA242" s="114"/>
      <c r="AB242" s="114"/>
      <c r="AC242" s="114"/>
      <c r="AD242" s="114"/>
      <c r="AE242" s="114"/>
    </row>
    <row r="243" spans="1:31" x14ac:dyDescent="0.25">
      <c r="A243" s="109" t="s">
        <v>161</v>
      </c>
      <c r="B243" s="110" t="s">
        <v>23</v>
      </c>
      <c r="C243" s="111" t="s">
        <v>24</v>
      </c>
      <c r="D243" s="112" t="s">
        <v>168</v>
      </c>
      <c r="E243" s="105" t="s">
        <v>169</v>
      </c>
      <c r="G243" s="113"/>
      <c r="H243" s="114"/>
      <c r="I243" s="114"/>
      <c r="J243" s="114"/>
      <c r="K243" s="114"/>
      <c r="L243" s="114"/>
      <c r="M243" s="114"/>
      <c r="N243" s="114"/>
      <c r="O243" s="114"/>
      <c r="P243" s="114"/>
      <c r="Q243" s="114"/>
      <c r="R243" s="114"/>
      <c r="S243" s="59"/>
      <c r="T243" s="114"/>
      <c r="U243" s="114"/>
      <c r="V243" s="114"/>
      <c r="W243" s="114"/>
      <c r="X243" s="114"/>
      <c r="Y243" s="114"/>
      <c r="Z243" s="114"/>
      <c r="AA243" s="114"/>
      <c r="AB243" s="114"/>
      <c r="AC243" s="114"/>
      <c r="AD243" s="114"/>
      <c r="AE243" s="114"/>
    </row>
    <row r="244" spans="1:31" x14ac:dyDescent="0.25">
      <c r="A244" s="109" t="s">
        <v>161</v>
      </c>
      <c r="B244" s="110" t="s">
        <v>23</v>
      </c>
      <c r="C244" s="111" t="s">
        <v>24</v>
      </c>
      <c r="D244" s="112" t="s">
        <v>170</v>
      </c>
      <c r="E244" s="105" t="s">
        <v>171</v>
      </c>
      <c r="G244" s="113"/>
      <c r="H244" s="114"/>
      <c r="I244" s="114"/>
      <c r="J244" s="114"/>
      <c r="K244" s="114"/>
      <c r="L244" s="114"/>
      <c r="M244" s="114"/>
      <c r="N244" s="114"/>
      <c r="O244" s="114"/>
      <c r="P244" s="114"/>
      <c r="Q244" s="114"/>
      <c r="R244" s="114"/>
      <c r="S244" s="59"/>
      <c r="T244" s="114"/>
      <c r="U244" s="114"/>
      <c r="V244" s="114"/>
      <c r="W244" s="114"/>
      <c r="X244" s="114"/>
      <c r="Y244" s="114"/>
      <c r="Z244" s="114"/>
      <c r="AA244" s="114"/>
      <c r="AB244" s="114"/>
      <c r="AC244" s="114"/>
      <c r="AD244" s="114"/>
      <c r="AE244" s="114"/>
    </row>
    <row r="245" spans="1:31" x14ac:dyDescent="0.25">
      <c r="A245" s="109" t="s">
        <v>161</v>
      </c>
      <c r="B245" s="110" t="s">
        <v>23</v>
      </c>
      <c r="C245" s="111" t="s">
        <v>24</v>
      </c>
      <c r="D245" s="112" t="s">
        <v>82</v>
      </c>
      <c r="E245" s="105" t="s">
        <v>83</v>
      </c>
      <c r="G245" s="113"/>
      <c r="H245" s="114"/>
      <c r="I245" s="114"/>
      <c r="J245" s="114"/>
      <c r="K245" s="114"/>
      <c r="L245" s="114"/>
      <c r="M245" s="114"/>
      <c r="N245" s="114"/>
      <c r="O245" s="114"/>
      <c r="P245" s="114"/>
      <c r="Q245" s="114"/>
      <c r="R245" s="114"/>
      <c r="S245" s="59"/>
      <c r="T245" s="114"/>
      <c r="U245" s="114"/>
      <c r="V245" s="114"/>
      <c r="W245" s="114"/>
      <c r="X245" s="114"/>
      <c r="Y245" s="114"/>
      <c r="Z245" s="114"/>
      <c r="AA245" s="114"/>
      <c r="AB245" s="114"/>
      <c r="AC245" s="114"/>
      <c r="AD245" s="114"/>
      <c r="AE245" s="114"/>
    </row>
    <row r="246" spans="1:31" x14ac:dyDescent="0.25">
      <c r="A246" s="109" t="s">
        <v>161</v>
      </c>
      <c r="B246" s="110" t="s">
        <v>23</v>
      </c>
      <c r="C246" s="111" t="s">
        <v>24</v>
      </c>
      <c r="D246" s="112" t="s">
        <v>84</v>
      </c>
      <c r="E246" s="105" t="s">
        <v>85</v>
      </c>
      <c r="G246" s="113"/>
      <c r="H246" s="114"/>
      <c r="I246" s="114"/>
      <c r="J246" s="114"/>
      <c r="K246" s="114"/>
      <c r="L246" s="114"/>
      <c r="M246" s="114"/>
      <c r="N246" s="114"/>
      <c r="O246" s="114"/>
      <c r="P246" s="114"/>
      <c r="Q246" s="114"/>
      <c r="R246" s="114"/>
      <c r="S246" s="59"/>
      <c r="T246" s="114"/>
      <c r="U246" s="114"/>
      <c r="V246" s="114"/>
      <c r="W246" s="114"/>
      <c r="X246" s="114"/>
      <c r="Y246" s="114"/>
      <c r="Z246" s="114"/>
      <c r="AA246" s="114"/>
      <c r="AB246" s="114"/>
      <c r="AC246" s="114"/>
      <c r="AD246" s="114"/>
      <c r="AE246" s="114"/>
    </row>
    <row r="247" spans="1:31" x14ac:dyDescent="0.25">
      <c r="A247" s="109" t="s">
        <v>161</v>
      </c>
      <c r="B247" s="110" t="s">
        <v>23</v>
      </c>
      <c r="C247" s="111" t="s">
        <v>24</v>
      </c>
      <c r="D247" s="112" t="s">
        <v>89</v>
      </c>
      <c r="E247" s="105" t="s">
        <v>90</v>
      </c>
      <c r="G247" s="113"/>
      <c r="H247" s="114"/>
      <c r="I247" s="114"/>
      <c r="J247" s="114"/>
      <c r="K247" s="114"/>
      <c r="L247" s="114"/>
      <c r="M247" s="114"/>
      <c r="N247" s="114"/>
      <c r="O247" s="114"/>
      <c r="P247" s="114"/>
      <c r="Q247" s="114"/>
      <c r="R247" s="114"/>
      <c r="S247" s="59"/>
      <c r="T247" s="114"/>
      <c r="U247" s="114"/>
      <c r="V247" s="114"/>
      <c r="W247" s="114"/>
      <c r="X247" s="114"/>
      <c r="Y247" s="114"/>
      <c r="Z247" s="114"/>
      <c r="AA247" s="114"/>
      <c r="AB247" s="114"/>
      <c r="AC247" s="114"/>
      <c r="AD247" s="114"/>
      <c r="AE247" s="114"/>
    </row>
    <row r="248" spans="1:31" x14ac:dyDescent="0.25">
      <c r="A248" s="109" t="s">
        <v>161</v>
      </c>
      <c r="B248" s="110" t="s">
        <v>23</v>
      </c>
      <c r="C248" s="111" t="s">
        <v>24</v>
      </c>
      <c r="D248" s="112" t="s">
        <v>176</v>
      </c>
      <c r="E248" s="105" t="s">
        <v>177</v>
      </c>
      <c r="G248" s="113"/>
      <c r="H248" s="114"/>
      <c r="I248" s="114"/>
      <c r="J248" s="114"/>
      <c r="K248" s="114"/>
      <c r="L248" s="114"/>
      <c r="M248" s="114"/>
      <c r="N248" s="114"/>
      <c r="O248" s="114"/>
      <c r="P248" s="114"/>
      <c r="Q248" s="114"/>
      <c r="R248" s="114"/>
      <c r="S248" s="59"/>
      <c r="T248" s="114"/>
      <c r="U248" s="114"/>
      <c r="V248" s="114"/>
      <c r="W248" s="114"/>
      <c r="X248" s="114"/>
      <c r="Y248" s="114"/>
      <c r="Z248" s="114"/>
      <c r="AA248" s="114"/>
      <c r="AB248" s="114"/>
      <c r="AC248" s="114"/>
      <c r="AD248" s="114"/>
      <c r="AE248" s="114"/>
    </row>
    <row r="249" spans="1:31" x14ac:dyDescent="0.25">
      <c r="A249" s="109" t="s">
        <v>161</v>
      </c>
      <c r="B249" s="110" t="s">
        <v>23</v>
      </c>
      <c r="C249" s="111" t="s">
        <v>24</v>
      </c>
      <c r="D249" s="112" t="s">
        <v>93</v>
      </c>
      <c r="E249" s="105" t="s">
        <v>94</v>
      </c>
      <c r="G249" s="113"/>
      <c r="H249" s="114"/>
      <c r="I249" s="114"/>
      <c r="J249" s="114"/>
      <c r="K249" s="114"/>
      <c r="L249" s="114"/>
      <c r="M249" s="114"/>
      <c r="N249" s="114"/>
      <c r="O249" s="114"/>
      <c r="P249" s="114"/>
      <c r="Q249" s="114"/>
      <c r="R249" s="114"/>
      <c r="S249" s="59"/>
      <c r="T249" s="114"/>
      <c r="U249" s="114"/>
      <c r="V249" s="114"/>
      <c r="W249" s="114"/>
      <c r="X249" s="114"/>
      <c r="Y249" s="114"/>
      <c r="Z249" s="114"/>
      <c r="AA249" s="114"/>
      <c r="AB249" s="114"/>
      <c r="AC249" s="114"/>
      <c r="AD249" s="114"/>
      <c r="AE249" s="114"/>
    </row>
    <row r="250" spans="1:31" x14ac:dyDescent="0.25">
      <c r="A250" s="109" t="s">
        <v>161</v>
      </c>
      <c r="B250" s="110" t="s">
        <v>23</v>
      </c>
      <c r="C250" s="111" t="s">
        <v>24</v>
      </c>
      <c r="D250" s="112" t="s">
        <v>102</v>
      </c>
      <c r="E250" s="105" t="s">
        <v>103</v>
      </c>
      <c r="G250" s="113"/>
      <c r="H250" s="114"/>
      <c r="I250" s="114"/>
      <c r="J250" s="114"/>
      <c r="K250" s="114"/>
      <c r="L250" s="114"/>
      <c r="M250" s="114"/>
      <c r="N250" s="114"/>
      <c r="O250" s="114"/>
      <c r="P250" s="114"/>
      <c r="Q250" s="114"/>
      <c r="R250" s="114"/>
      <c r="S250" s="59"/>
      <c r="T250" s="114"/>
      <c r="U250" s="114"/>
      <c r="V250" s="114"/>
      <c r="W250" s="114"/>
      <c r="X250" s="114"/>
      <c r="Y250" s="114"/>
      <c r="Z250" s="114"/>
      <c r="AA250" s="114"/>
      <c r="AB250" s="114"/>
      <c r="AC250" s="114"/>
      <c r="AD250" s="114"/>
      <c r="AE250" s="114"/>
    </row>
    <row r="251" spans="1:31" x14ac:dyDescent="0.25">
      <c r="A251" s="109" t="s">
        <v>161</v>
      </c>
      <c r="B251" s="110" t="s">
        <v>23</v>
      </c>
      <c r="C251" s="111" t="s">
        <v>24</v>
      </c>
      <c r="D251" s="115" t="s">
        <v>107</v>
      </c>
      <c r="E251" s="105" t="s">
        <v>108</v>
      </c>
      <c r="G251" s="113"/>
      <c r="H251" s="114"/>
      <c r="I251" s="114"/>
      <c r="J251" s="114"/>
      <c r="K251" s="114"/>
      <c r="L251" s="114"/>
      <c r="M251" s="114"/>
      <c r="N251" s="114"/>
      <c r="O251" s="114"/>
      <c r="P251" s="114"/>
      <c r="Q251" s="114"/>
      <c r="R251" s="114"/>
      <c r="S251" s="59"/>
      <c r="T251" s="114"/>
      <c r="U251" s="114"/>
      <c r="V251" s="114"/>
      <c r="W251" s="114"/>
      <c r="X251" s="114"/>
      <c r="Y251" s="114"/>
      <c r="Z251" s="114"/>
      <c r="AA251" s="114"/>
      <c r="AB251" s="114"/>
      <c r="AC251" s="114"/>
      <c r="AD251" s="114"/>
      <c r="AE251" s="114"/>
    </row>
    <row r="252" spans="1:31" x14ac:dyDescent="0.25">
      <c r="A252" s="109" t="s">
        <v>161</v>
      </c>
      <c r="B252" s="110" t="s">
        <v>23</v>
      </c>
      <c r="C252" s="111" t="s">
        <v>104</v>
      </c>
      <c r="D252" s="112" t="s">
        <v>105</v>
      </c>
      <c r="E252" s="105" t="s">
        <v>106</v>
      </c>
      <c r="G252" s="113"/>
      <c r="H252" s="114"/>
      <c r="I252" s="114"/>
      <c r="J252" s="114"/>
      <c r="K252" s="114"/>
      <c r="L252" s="114"/>
      <c r="M252" s="114"/>
      <c r="N252" s="114"/>
      <c r="O252" s="114"/>
      <c r="P252" s="114"/>
      <c r="Q252" s="114"/>
      <c r="R252" s="114"/>
      <c r="S252" s="59"/>
      <c r="T252" s="114"/>
      <c r="U252" s="114"/>
      <c r="V252" s="114"/>
      <c r="W252" s="114"/>
      <c r="X252" s="114"/>
      <c r="Y252" s="114"/>
      <c r="Z252" s="114"/>
      <c r="AA252" s="114"/>
      <c r="AB252" s="114"/>
      <c r="AC252" s="114"/>
      <c r="AD252" s="114"/>
      <c r="AE252" s="114"/>
    </row>
    <row r="253" spans="1:31" x14ac:dyDescent="0.25">
      <c r="A253" s="109" t="s">
        <v>161</v>
      </c>
      <c r="B253" s="110" t="s">
        <v>23</v>
      </c>
      <c r="C253" s="111" t="s">
        <v>104</v>
      </c>
      <c r="D253" s="112" t="s">
        <v>140</v>
      </c>
      <c r="E253" s="105" t="s">
        <v>141</v>
      </c>
      <c r="G253" s="113"/>
      <c r="H253" s="114"/>
      <c r="I253" s="114"/>
      <c r="J253" s="114"/>
      <c r="K253" s="114"/>
      <c r="L253" s="114"/>
      <c r="M253" s="114"/>
      <c r="N253" s="114"/>
      <c r="O253" s="114"/>
      <c r="P253" s="114"/>
      <c r="Q253" s="114"/>
      <c r="R253" s="114"/>
      <c r="S253" s="59"/>
      <c r="T253" s="114"/>
      <c r="U253" s="114"/>
      <c r="V253" s="114"/>
      <c r="W253" s="114"/>
      <c r="X253" s="114"/>
      <c r="Y253" s="114"/>
      <c r="Z253" s="114"/>
      <c r="AA253" s="114"/>
      <c r="AB253" s="114"/>
      <c r="AC253" s="114"/>
      <c r="AD253" s="114"/>
      <c r="AE253" s="114"/>
    </row>
    <row r="254" spans="1:31" x14ac:dyDescent="0.25">
      <c r="A254" s="140" t="s">
        <v>182</v>
      </c>
      <c r="B254" s="140" t="s">
        <v>71</v>
      </c>
      <c r="C254" s="140" t="s">
        <v>66</v>
      </c>
      <c r="D254" s="149" t="s">
        <v>564</v>
      </c>
      <c r="E254" s="139" t="s">
        <v>653</v>
      </c>
      <c r="F254" s="105"/>
      <c r="G254" s="113"/>
      <c r="H254" s="114"/>
      <c r="I254" s="114"/>
      <c r="J254" s="114"/>
      <c r="K254" s="114"/>
      <c r="L254" s="114"/>
      <c r="M254" s="114"/>
      <c r="N254" s="114"/>
      <c r="O254" s="114"/>
      <c r="P254" s="114"/>
      <c r="Q254" s="114"/>
      <c r="R254" s="114"/>
      <c r="S254" s="114"/>
      <c r="T254" s="114"/>
      <c r="U254" s="114"/>
      <c r="V254" s="114"/>
      <c r="W254" s="114"/>
      <c r="X254" s="114"/>
      <c r="Y254" s="114"/>
      <c r="Z254" s="114"/>
      <c r="AA254" s="114"/>
      <c r="AB254" s="114"/>
      <c r="AC254" s="114"/>
      <c r="AD254" s="114"/>
      <c r="AE254" s="114"/>
    </row>
    <row r="255" spans="1:31" x14ac:dyDescent="0.25">
      <c r="A255" s="140" t="s">
        <v>182</v>
      </c>
      <c r="B255" s="140" t="s">
        <v>71</v>
      </c>
      <c r="C255" s="140" t="s">
        <v>66</v>
      </c>
      <c r="D255" s="149" t="s">
        <v>568</v>
      </c>
      <c r="E255" s="139" t="s">
        <v>654</v>
      </c>
      <c r="F255" s="105"/>
      <c r="G255" s="113"/>
      <c r="H255" s="114"/>
      <c r="I255" s="114"/>
      <c r="J255" s="114"/>
      <c r="K255" s="114"/>
      <c r="L255" s="114"/>
      <c r="M255" s="114"/>
      <c r="N255" s="114"/>
      <c r="O255" s="114"/>
      <c r="P255" s="114"/>
      <c r="Q255" s="114"/>
      <c r="R255" s="114"/>
      <c r="S255" s="114"/>
      <c r="T255" s="114"/>
      <c r="U255" s="114"/>
      <c r="V255" s="114"/>
      <c r="W255" s="114"/>
      <c r="X255" s="114"/>
      <c r="Y255" s="114"/>
      <c r="Z255" s="114"/>
      <c r="AA255" s="114"/>
      <c r="AB255" s="114"/>
      <c r="AC255" s="114"/>
      <c r="AD255" s="114"/>
      <c r="AE255" s="114"/>
    </row>
    <row r="256" spans="1:31" x14ac:dyDescent="0.25">
      <c r="A256" s="140" t="s">
        <v>182</v>
      </c>
      <c r="B256" s="140" t="s">
        <v>71</v>
      </c>
      <c r="C256" s="140" t="s">
        <v>66</v>
      </c>
      <c r="D256" s="149" t="s">
        <v>183</v>
      </c>
      <c r="E256" s="139" t="s">
        <v>184</v>
      </c>
      <c r="F256" s="105"/>
      <c r="G256" s="113"/>
      <c r="H256" s="114"/>
      <c r="I256" s="114"/>
      <c r="J256" s="114"/>
      <c r="K256" s="114"/>
      <c r="L256" s="114"/>
      <c r="M256" s="114"/>
      <c r="N256" s="114"/>
      <c r="O256" s="114"/>
      <c r="P256" s="114"/>
      <c r="Q256" s="114"/>
      <c r="R256" s="114"/>
      <c r="S256" s="114"/>
      <c r="T256" s="114"/>
      <c r="U256" s="114"/>
      <c r="V256" s="114"/>
      <c r="W256" s="114"/>
      <c r="X256" s="114"/>
      <c r="Y256" s="114"/>
      <c r="Z256" s="114"/>
      <c r="AA256" s="114"/>
      <c r="AB256" s="114"/>
      <c r="AC256" s="114"/>
      <c r="AD256" s="114"/>
      <c r="AE256" s="114"/>
    </row>
    <row r="257" spans="1:31" x14ac:dyDescent="0.25">
      <c r="A257" s="140" t="s">
        <v>182</v>
      </c>
      <c r="B257" s="140" t="s">
        <v>71</v>
      </c>
      <c r="C257" s="140" t="s">
        <v>66</v>
      </c>
      <c r="D257" s="149" t="s">
        <v>185</v>
      </c>
      <c r="E257" s="139" t="s">
        <v>72</v>
      </c>
      <c r="F257" s="105"/>
      <c r="G257" s="113"/>
      <c r="H257" s="114"/>
      <c r="I257" s="114"/>
      <c r="J257" s="114"/>
      <c r="K257" s="114"/>
      <c r="L257" s="114"/>
      <c r="M257" s="114"/>
      <c r="N257" s="114"/>
      <c r="O257" s="114"/>
      <c r="P257" s="114"/>
      <c r="Q257" s="114"/>
      <c r="R257" s="114"/>
      <c r="S257" s="114"/>
      <c r="T257" s="114"/>
      <c r="U257" s="114"/>
      <c r="V257" s="114"/>
      <c r="W257" s="114"/>
      <c r="X257" s="114"/>
      <c r="Y257" s="114"/>
      <c r="Z257" s="114"/>
      <c r="AA257" s="114"/>
      <c r="AB257" s="114"/>
      <c r="AC257" s="114"/>
      <c r="AD257" s="114"/>
      <c r="AE257" s="114"/>
    </row>
    <row r="258" spans="1:31" x14ac:dyDescent="0.25">
      <c r="A258" s="140" t="s">
        <v>182</v>
      </c>
      <c r="B258" s="140" t="s">
        <v>71</v>
      </c>
      <c r="C258" s="140" t="s">
        <v>66</v>
      </c>
      <c r="D258" s="149" t="s">
        <v>572</v>
      </c>
      <c r="E258" s="139" t="s">
        <v>655</v>
      </c>
      <c r="F258" s="105"/>
      <c r="G258" s="113"/>
      <c r="H258" s="114"/>
      <c r="I258" s="114"/>
      <c r="J258" s="114"/>
      <c r="K258" s="114"/>
      <c r="L258" s="114"/>
      <c r="M258" s="114"/>
      <c r="N258" s="114"/>
      <c r="O258" s="114"/>
      <c r="P258" s="114"/>
      <c r="Q258" s="114"/>
      <c r="R258" s="114"/>
      <c r="S258" s="114"/>
      <c r="T258" s="114"/>
      <c r="U258" s="114"/>
      <c r="V258" s="114"/>
      <c r="W258" s="114"/>
      <c r="X258" s="114"/>
      <c r="Y258" s="114"/>
      <c r="Z258" s="114"/>
      <c r="AA258" s="114"/>
      <c r="AB258" s="114"/>
      <c r="AC258" s="114"/>
      <c r="AD258" s="114"/>
      <c r="AE258" s="114"/>
    </row>
    <row r="259" spans="1:31" x14ac:dyDescent="0.25">
      <c r="A259" s="140" t="s">
        <v>182</v>
      </c>
      <c r="B259" s="140" t="s">
        <v>71</v>
      </c>
      <c r="C259" s="140" t="s">
        <v>66</v>
      </c>
      <c r="D259" s="149" t="s">
        <v>230</v>
      </c>
      <c r="E259" s="139" t="s">
        <v>231</v>
      </c>
      <c r="F259" s="105"/>
      <c r="G259" s="113"/>
      <c r="H259" s="114"/>
      <c r="I259" s="114"/>
      <c r="J259" s="114"/>
      <c r="K259" s="114"/>
      <c r="L259" s="114"/>
      <c r="M259" s="114"/>
      <c r="N259" s="114"/>
      <c r="O259" s="114"/>
      <c r="P259" s="114"/>
      <c r="Q259" s="114"/>
      <c r="R259" s="114"/>
      <c r="S259" s="114"/>
      <c r="T259" s="114"/>
      <c r="U259" s="114"/>
      <c r="V259" s="114"/>
      <c r="W259" s="114"/>
      <c r="X259" s="114"/>
      <c r="Y259" s="114"/>
      <c r="Z259" s="114"/>
      <c r="AA259" s="114"/>
      <c r="AB259" s="114"/>
      <c r="AC259" s="114"/>
      <c r="AD259" s="114"/>
      <c r="AE259" s="114"/>
    </row>
    <row r="260" spans="1:31" x14ac:dyDescent="0.25">
      <c r="A260" s="140" t="s">
        <v>182</v>
      </c>
      <c r="B260" s="140" t="s">
        <v>71</v>
      </c>
      <c r="C260" s="140" t="s">
        <v>66</v>
      </c>
      <c r="D260" s="149" t="s">
        <v>575</v>
      </c>
      <c r="E260" s="139" t="s">
        <v>656</v>
      </c>
      <c r="F260" s="105"/>
      <c r="G260" s="113"/>
      <c r="H260" s="114"/>
      <c r="I260" s="114"/>
      <c r="J260" s="114"/>
      <c r="K260" s="114"/>
      <c r="L260" s="114"/>
      <c r="M260" s="114"/>
      <c r="N260" s="114"/>
      <c r="O260" s="114"/>
      <c r="P260" s="114"/>
      <c r="Q260" s="114"/>
      <c r="R260" s="114"/>
      <c r="S260" s="114"/>
      <c r="T260" s="114"/>
      <c r="U260" s="114"/>
      <c r="V260" s="114"/>
      <c r="W260" s="114"/>
      <c r="X260" s="114"/>
      <c r="Y260" s="114"/>
      <c r="Z260" s="114"/>
      <c r="AA260" s="114"/>
      <c r="AB260" s="114"/>
      <c r="AC260" s="114"/>
      <c r="AD260" s="114"/>
      <c r="AE260" s="114"/>
    </row>
    <row r="261" spans="1:31" x14ac:dyDescent="0.25">
      <c r="A261" s="140" t="s">
        <v>182</v>
      </c>
      <c r="B261" s="140" t="s">
        <v>71</v>
      </c>
      <c r="C261" s="140" t="s">
        <v>66</v>
      </c>
      <c r="D261" s="149" t="s">
        <v>577</v>
      </c>
      <c r="E261" s="139" t="s">
        <v>657</v>
      </c>
      <c r="F261" s="105"/>
      <c r="G261" s="113"/>
      <c r="H261" s="114"/>
      <c r="I261" s="114"/>
      <c r="J261" s="114"/>
      <c r="K261" s="114"/>
      <c r="L261" s="114"/>
      <c r="M261" s="114"/>
      <c r="N261" s="114"/>
      <c r="O261" s="114"/>
      <c r="P261" s="114"/>
      <c r="Q261" s="114"/>
      <c r="R261" s="114"/>
      <c r="S261" s="114"/>
      <c r="T261" s="114"/>
      <c r="U261" s="114"/>
      <c r="V261" s="114"/>
      <c r="W261" s="114"/>
      <c r="X261" s="114"/>
      <c r="Y261" s="114"/>
      <c r="Z261" s="114"/>
      <c r="AA261" s="114"/>
      <c r="AB261" s="114"/>
      <c r="AC261" s="114"/>
      <c r="AD261" s="114"/>
      <c r="AE261" s="114"/>
    </row>
    <row r="262" spans="1:31" x14ac:dyDescent="0.25">
      <c r="A262" s="140" t="s">
        <v>182</v>
      </c>
      <c r="B262" s="140" t="s">
        <v>71</v>
      </c>
      <c r="C262" s="140" t="s">
        <v>66</v>
      </c>
      <c r="D262" s="149" t="s">
        <v>579</v>
      </c>
      <c r="E262" s="139" t="s">
        <v>658</v>
      </c>
      <c r="F262" s="105"/>
      <c r="G262" s="113"/>
      <c r="H262" s="114"/>
      <c r="I262" s="114"/>
      <c r="J262" s="114"/>
      <c r="K262" s="114"/>
      <c r="L262" s="114"/>
      <c r="M262" s="114"/>
      <c r="N262" s="114"/>
      <c r="O262" s="114"/>
      <c r="P262" s="114"/>
      <c r="Q262" s="114"/>
      <c r="R262" s="114"/>
      <c r="S262" s="114"/>
      <c r="T262" s="114"/>
      <c r="U262" s="114"/>
      <c r="V262" s="114"/>
      <c r="W262" s="114"/>
      <c r="X262" s="114"/>
      <c r="Y262" s="114"/>
      <c r="Z262" s="114"/>
      <c r="AA262" s="114"/>
      <c r="AB262" s="114"/>
      <c r="AC262" s="114"/>
      <c r="AD262" s="114"/>
      <c r="AE262" s="114"/>
    </row>
    <row r="263" spans="1:31" x14ac:dyDescent="0.25">
      <c r="A263" s="140" t="s">
        <v>182</v>
      </c>
      <c r="B263" s="140" t="s">
        <v>71</v>
      </c>
      <c r="C263" s="140" t="s">
        <v>66</v>
      </c>
      <c r="D263" s="149" t="s">
        <v>581</v>
      </c>
      <c r="E263" s="139" t="s">
        <v>659</v>
      </c>
      <c r="F263" s="105"/>
      <c r="G263" s="113"/>
      <c r="H263" s="114"/>
      <c r="I263" s="114"/>
      <c r="J263" s="114"/>
      <c r="K263" s="114"/>
      <c r="L263" s="114"/>
      <c r="M263" s="114"/>
      <c r="N263" s="114"/>
      <c r="O263" s="114"/>
      <c r="P263" s="114"/>
      <c r="Q263" s="114"/>
      <c r="R263" s="114"/>
      <c r="S263" s="114"/>
      <c r="T263" s="114"/>
      <c r="U263" s="114"/>
      <c r="V263" s="114"/>
      <c r="W263" s="114"/>
      <c r="X263" s="114"/>
      <c r="Y263" s="114"/>
      <c r="Z263" s="114"/>
      <c r="AA263" s="114"/>
      <c r="AB263" s="114"/>
      <c r="AC263" s="114"/>
      <c r="AD263" s="114"/>
      <c r="AE263" s="114"/>
    </row>
    <row r="264" spans="1:31" x14ac:dyDescent="0.25">
      <c r="A264" s="140" t="s">
        <v>182</v>
      </c>
      <c r="B264" s="140" t="s">
        <v>20</v>
      </c>
      <c r="C264" s="140" t="s">
        <v>66</v>
      </c>
      <c r="D264" s="149" t="s">
        <v>21</v>
      </c>
      <c r="E264" s="139" t="s">
        <v>22</v>
      </c>
      <c r="F264" s="105"/>
      <c r="G264" s="113"/>
      <c r="H264" s="114"/>
      <c r="I264" s="114"/>
      <c r="J264" s="114"/>
      <c r="K264" s="114"/>
      <c r="L264" s="114"/>
      <c r="M264" s="114"/>
      <c r="N264" s="114"/>
      <c r="O264" s="114"/>
      <c r="P264" s="114"/>
      <c r="Q264" s="114"/>
      <c r="R264" s="114"/>
      <c r="S264" s="114"/>
      <c r="T264" s="114"/>
      <c r="U264" s="114"/>
      <c r="V264" s="114"/>
      <c r="W264" s="114"/>
      <c r="X264" s="114"/>
      <c r="Y264" s="114"/>
      <c r="Z264" s="114"/>
      <c r="AA264" s="114"/>
      <c r="AB264" s="114"/>
      <c r="AC264" s="114"/>
      <c r="AD264" s="114"/>
      <c r="AE264" s="114"/>
    </row>
    <row r="265" spans="1:31" x14ac:dyDescent="0.25">
      <c r="A265" s="140" t="s">
        <v>182</v>
      </c>
      <c r="B265" s="140" t="s">
        <v>20</v>
      </c>
      <c r="C265" s="140" t="s">
        <v>34</v>
      </c>
      <c r="D265" s="149" t="s">
        <v>35</v>
      </c>
      <c r="E265" s="139" t="s">
        <v>36</v>
      </c>
      <c r="F265" s="105"/>
      <c r="G265" s="113"/>
      <c r="H265" s="114"/>
      <c r="I265" s="114"/>
      <c r="J265" s="114"/>
      <c r="K265" s="114"/>
      <c r="L265" s="114"/>
      <c r="M265" s="114"/>
      <c r="N265" s="114"/>
      <c r="O265" s="114"/>
      <c r="P265" s="114"/>
      <c r="Q265" s="114"/>
      <c r="R265" s="114"/>
      <c r="S265" s="114"/>
      <c r="T265" s="114"/>
      <c r="U265" s="114"/>
      <c r="V265" s="114"/>
      <c r="W265" s="114"/>
      <c r="X265" s="114"/>
      <c r="Y265" s="114"/>
      <c r="Z265" s="114"/>
      <c r="AA265" s="114"/>
      <c r="AB265" s="114"/>
      <c r="AC265" s="114"/>
      <c r="AD265" s="114"/>
      <c r="AE265" s="114"/>
    </row>
    <row r="266" spans="1:31" x14ac:dyDescent="0.25">
      <c r="A266" s="140" t="s">
        <v>182</v>
      </c>
      <c r="B266" s="140" t="s">
        <v>20</v>
      </c>
      <c r="C266" s="140" t="s">
        <v>34</v>
      </c>
      <c r="D266" s="149" t="s">
        <v>164</v>
      </c>
      <c r="E266" s="139" t="s">
        <v>165</v>
      </c>
      <c r="F266" s="105"/>
      <c r="G266" s="113"/>
      <c r="H266" s="114"/>
      <c r="I266" s="114"/>
      <c r="J266" s="114"/>
      <c r="K266" s="114"/>
      <c r="L266" s="114"/>
      <c r="M266" s="114"/>
      <c r="N266" s="114"/>
      <c r="O266" s="114"/>
      <c r="P266" s="114"/>
      <c r="Q266" s="114"/>
      <c r="R266" s="114"/>
      <c r="S266" s="114"/>
      <c r="T266" s="114"/>
      <c r="U266" s="114"/>
      <c r="V266" s="114"/>
      <c r="W266" s="114"/>
      <c r="X266" s="114"/>
      <c r="Y266" s="114"/>
      <c r="Z266" s="114"/>
      <c r="AA266" s="114"/>
      <c r="AB266" s="114"/>
      <c r="AC266" s="114"/>
      <c r="AD266" s="114"/>
      <c r="AE266" s="114"/>
    </row>
    <row r="267" spans="1:31" x14ac:dyDescent="0.25">
      <c r="A267" s="140" t="s">
        <v>182</v>
      </c>
      <c r="B267" s="140" t="s">
        <v>20</v>
      </c>
      <c r="C267" s="140" t="s">
        <v>34</v>
      </c>
      <c r="D267" s="149" t="s">
        <v>49</v>
      </c>
      <c r="E267" s="139" t="s">
        <v>50</v>
      </c>
      <c r="F267" s="105"/>
      <c r="G267" s="113"/>
      <c r="H267" s="114"/>
      <c r="I267" s="114"/>
      <c r="J267" s="114"/>
      <c r="K267" s="114"/>
      <c r="L267" s="114"/>
      <c r="M267" s="114"/>
      <c r="N267" s="114"/>
      <c r="O267" s="114"/>
      <c r="P267" s="114"/>
      <c r="Q267" s="114"/>
      <c r="R267" s="114"/>
      <c r="S267" s="114"/>
      <c r="T267" s="114"/>
      <c r="U267" s="114"/>
      <c r="V267" s="114"/>
      <c r="W267" s="114"/>
      <c r="X267" s="114"/>
      <c r="Y267" s="114"/>
      <c r="Z267" s="114"/>
      <c r="AA267" s="114"/>
      <c r="AB267" s="114"/>
      <c r="AC267" s="114"/>
      <c r="AD267" s="114"/>
      <c r="AE267" s="114"/>
    </row>
    <row r="268" spans="1:31" x14ac:dyDescent="0.25">
      <c r="A268" s="140" t="s">
        <v>182</v>
      </c>
      <c r="B268" s="140" t="s">
        <v>20</v>
      </c>
      <c r="C268" s="140" t="s">
        <v>34</v>
      </c>
      <c r="D268" s="149" t="s">
        <v>62</v>
      </c>
      <c r="E268" s="139" t="s">
        <v>63</v>
      </c>
      <c r="F268" s="105"/>
      <c r="G268" s="113"/>
      <c r="H268" s="114"/>
      <c r="I268" s="114"/>
      <c r="J268" s="114"/>
      <c r="K268" s="114"/>
      <c r="L268" s="114"/>
      <c r="M268" s="114"/>
      <c r="N268" s="114"/>
      <c r="O268" s="114"/>
      <c r="P268" s="114"/>
      <c r="Q268" s="114"/>
      <c r="R268" s="114"/>
      <c r="S268" s="114"/>
      <c r="T268" s="114"/>
      <c r="U268" s="114"/>
      <c r="V268" s="114"/>
      <c r="W268" s="114"/>
      <c r="X268" s="114"/>
      <c r="Y268" s="114"/>
      <c r="Z268" s="114"/>
      <c r="AA268" s="114"/>
      <c r="AB268" s="114"/>
      <c r="AC268" s="114"/>
      <c r="AD268" s="114"/>
      <c r="AE268" s="114"/>
    </row>
    <row r="269" spans="1:31" x14ac:dyDescent="0.25">
      <c r="A269" s="140" t="s">
        <v>182</v>
      </c>
      <c r="B269" s="140" t="s">
        <v>20</v>
      </c>
      <c r="C269" s="140" t="s">
        <v>34</v>
      </c>
      <c r="D269" s="149" t="s">
        <v>441</v>
      </c>
      <c r="E269" s="139" t="s">
        <v>729</v>
      </c>
      <c r="F269" s="105"/>
      <c r="G269" s="113"/>
      <c r="H269" s="114"/>
      <c r="I269" s="114"/>
      <c r="J269" s="114"/>
      <c r="K269" s="114"/>
      <c r="L269" s="114"/>
      <c r="M269" s="114"/>
      <c r="N269" s="114"/>
      <c r="O269" s="114"/>
      <c r="P269" s="114"/>
      <c r="Q269" s="114"/>
      <c r="R269" s="114"/>
      <c r="S269" s="114"/>
      <c r="T269" s="114"/>
      <c r="U269" s="114"/>
      <c r="V269" s="114"/>
      <c r="W269" s="114"/>
      <c r="X269" s="114"/>
      <c r="Y269" s="114"/>
      <c r="Z269" s="114"/>
      <c r="AA269" s="114"/>
      <c r="AB269" s="114"/>
      <c r="AC269" s="114"/>
      <c r="AD269" s="114"/>
      <c r="AE269" s="114"/>
    </row>
    <row r="270" spans="1:31" x14ac:dyDescent="0.25">
      <c r="A270" s="140" t="s">
        <v>182</v>
      </c>
      <c r="B270" s="140" t="s">
        <v>20</v>
      </c>
      <c r="C270" s="140" t="s">
        <v>34</v>
      </c>
      <c r="D270" s="149" t="s">
        <v>113</v>
      </c>
      <c r="E270" s="139" t="s">
        <v>114</v>
      </c>
      <c r="F270" s="105"/>
      <c r="G270" s="113"/>
      <c r="H270" s="114"/>
      <c r="I270" s="114"/>
      <c r="J270" s="114"/>
      <c r="K270" s="114"/>
      <c r="L270" s="114"/>
      <c r="M270" s="114"/>
      <c r="N270" s="114"/>
      <c r="O270" s="114"/>
      <c r="P270" s="114"/>
      <c r="Q270" s="114"/>
      <c r="R270" s="114"/>
      <c r="S270" s="114"/>
      <c r="T270" s="114"/>
      <c r="U270" s="114"/>
      <c r="V270" s="114"/>
      <c r="W270" s="114"/>
      <c r="X270" s="114"/>
      <c r="Y270" s="114"/>
      <c r="Z270" s="114"/>
      <c r="AA270" s="114"/>
      <c r="AB270" s="114"/>
      <c r="AC270" s="114"/>
      <c r="AD270" s="114"/>
      <c r="AE270" s="114"/>
    </row>
    <row r="271" spans="1:31" x14ac:dyDescent="0.25">
      <c r="A271" s="140" t="s">
        <v>182</v>
      </c>
      <c r="B271" s="140" t="s">
        <v>20</v>
      </c>
      <c r="C271" s="140" t="s">
        <v>34</v>
      </c>
      <c r="D271" s="149" t="s">
        <v>144</v>
      </c>
      <c r="E271" s="139" t="s">
        <v>145</v>
      </c>
      <c r="F271" s="105"/>
      <c r="G271" s="113"/>
      <c r="H271" s="114"/>
      <c r="I271" s="114"/>
      <c r="J271" s="114"/>
      <c r="K271" s="114"/>
      <c r="L271" s="114"/>
      <c r="M271" s="114"/>
      <c r="N271" s="114"/>
      <c r="O271" s="114"/>
      <c r="P271" s="114"/>
      <c r="Q271" s="114"/>
      <c r="R271" s="114"/>
      <c r="S271" s="114"/>
      <c r="T271" s="114"/>
      <c r="U271" s="114"/>
      <c r="V271" s="114"/>
      <c r="W271" s="114"/>
      <c r="X271" s="114"/>
      <c r="Y271" s="114"/>
      <c r="Z271" s="114"/>
      <c r="AA271" s="114"/>
      <c r="AB271" s="114"/>
      <c r="AC271" s="114"/>
      <c r="AD271" s="114"/>
      <c r="AE271" s="114"/>
    </row>
    <row r="272" spans="1:31" x14ac:dyDescent="0.25">
      <c r="A272" s="140" t="s">
        <v>182</v>
      </c>
      <c r="B272" s="140" t="s">
        <v>20</v>
      </c>
      <c r="C272" s="140" t="s">
        <v>34</v>
      </c>
      <c r="D272" s="149" t="s">
        <v>827</v>
      </c>
      <c r="E272" s="139" t="s">
        <v>151</v>
      </c>
      <c r="F272" s="105"/>
      <c r="G272" s="113"/>
      <c r="H272" s="114"/>
      <c r="I272" s="114"/>
      <c r="J272" s="114"/>
      <c r="K272" s="114"/>
      <c r="L272" s="114"/>
      <c r="M272" s="114"/>
      <c r="N272" s="114"/>
      <c r="O272" s="114"/>
      <c r="P272" s="114"/>
      <c r="Q272" s="114"/>
      <c r="R272" s="114"/>
      <c r="S272" s="114"/>
      <c r="T272" s="114"/>
      <c r="U272" s="114"/>
      <c r="V272" s="114"/>
      <c r="W272" s="114"/>
      <c r="X272" s="114"/>
      <c r="Y272" s="114"/>
      <c r="Z272" s="114"/>
      <c r="AA272" s="114"/>
      <c r="AB272" s="114"/>
      <c r="AC272" s="114"/>
      <c r="AD272" s="114"/>
      <c r="AE272" s="114"/>
    </row>
    <row r="273" spans="1:31" x14ac:dyDescent="0.25">
      <c r="A273" s="140" t="s">
        <v>182</v>
      </c>
      <c r="B273" s="140" t="s">
        <v>20</v>
      </c>
      <c r="C273" s="140" t="s">
        <v>37</v>
      </c>
      <c r="D273" s="149" t="s">
        <v>828</v>
      </c>
      <c r="E273" s="139" t="s">
        <v>163</v>
      </c>
      <c r="F273" s="105"/>
      <c r="G273" s="113"/>
      <c r="H273" s="114"/>
      <c r="I273" s="114"/>
      <c r="J273" s="114"/>
      <c r="K273" s="114"/>
      <c r="L273" s="114"/>
      <c r="M273" s="114"/>
      <c r="N273" s="114"/>
      <c r="O273" s="114"/>
      <c r="P273" s="114"/>
      <c r="Q273" s="114"/>
      <c r="R273" s="114"/>
      <c r="S273" s="114"/>
      <c r="T273" s="114"/>
      <c r="U273" s="114"/>
      <c r="V273" s="114"/>
      <c r="W273" s="114"/>
      <c r="X273" s="114"/>
      <c r="Y273" s="114"/>
      <c r="Z273" s="114"/>
      <c r="AA273" s="114"/>
      <c r="AB273" s="114"/>
      <c r="AC273" s="114"/>
      <c r="AD273" s="114"/>
      <c r="AE273" s="114"/>
    </row>
    <row r="274" spans="1:31" x14ac:dyDescent="0.25">
      <c r="A274" s="140" t="s">
        <v>182</v>
      </c>
      <c r="B274" s="140" t="s">
        <v>20</v>
      </c>
      <c r="C274" s="140" t="s">
        <v>37</v>
      </c>
      <c r="D274" s="149" t="s">
        <v>37</v>
      </c>
      <c r="E274" s="139" t="s">
        <v>77</v>
      </c>
      <c r="F274" s="105"/>
      <c r="G274" s="113"/>
      <c r="H274" s="114"/>
      <c r="I274" s="114"/>
      <c r="J274" s="114"/>
      <c r="K274" s="114"/>
      <c r="L274" s="114"/>
      <c r="M274" s="114"/>
      <c r="N274" s="114"/>
      <c r="O274" s="114"/>
      <c r="P274" s="114"/>
      <c r="Q274" s="114"/>
      <c r="R274" s="114"/>
      <c r="S274" s="114"/>
      <c r="T274" s="114"/>
      <c r="U274" s="114"/>
      <c r="V274" s="114"/>
      <c r="W274" s="114"/>
      <c r="X274" s="114"/>
      <c r="Y274" s="114"/>
      <c r="Z274" s="114"/>
      <c r="AA274" s="114"/>
      <c r="AB274" s="114"/>
      <c r="AC274" s="114"/>
      <c r="AD274" s="114"/>
      <c r="AE274" s="114"/>
    </row>
    <row r="275" spans="1:31" x14ac:dyDescent="0.25">
      <c r="A275" s="140" t="s">
        <v>182</v>
      </c>
      <c r="B275" s="140" t="s">
        <v>20</v>
      </c>
      <c r="C275" s="140" t="s">
        <v>37</v>
      </c>
      <c r="D275" s="149" t="s">
        <v>76</v>
      </c>
      <c r="E275" s="139" t="s">
        <v>77</v>
      </c>
      <c r="F275" s="105"/>
      <c r="G275" s="113"/>
      <c r="H275" s="114"/>
      <c r="I275" s="114"/>
      <c r="J275" s="114"/>
      <c r="K275" s="114"/>
      <c r="L275" s="114"/>
      <c r="M275" s="114"/>
      <c r="N275" s="114"/>
      <c r="O275" s="114"/>
      <c r="P275" s="114"/>
      <c r="Q275" s="114"/>
      <c r="R275" s="114"/>
      <c r="S275" s="114"/>
      <c r="T275" s="114"/>
      <c r="U275" s="114"/>
      <c r="V275" s="114"/>
      <c r="W275" s="114"/>
      <c r="X275" s="114"/>
      <c r="Y275" s="114"/>
      <c r="Z275" s="114"/>
      <c r="AA275" s="114"/>
      <c r="AB275" s="114"/>
      <c r="AC275" s="114"/>
      <c r="AD275" s="114"/>
      <c r="AE275" s="114"/>
    </row>
    <row r="276" spans="1:31" x14ac:dyDescent="0.25">
      <c r="A276" s="140" t="s">
        <v>182</v>
      </c>
      <c r="B276" s="140" t="s">
        <v>20</v>
      </c>
      <c r="C276" s="140" t="s">
        <v>37</v>
      </c>
      <c r="D276" s="149" t="s">
        <v>829</v>
      </c>
      <c r="E276" s="139" t="s">
        <v>122</v>
      </c>
      <c r="F276" s="105"/>
      <c r="G276" s="113"/>
      <c r="H276" s="114"/>
      <c r="I276" s="114"/>
      <c r="J276" s="114"/>
      <c r="K276" s="114"/>
      <c r="L276" s="114"/>
      <c r="M276" s="114"/>
      <c r="N276" s="114"/>
      <c r="O276" s="114"/>
      <c r="P276" s="114"/>
      <c r="Q276" s="114"/>
      <c r="R276" s="114"/>
      <c r="S276" s="114"/>
      <c r="T276" s="114"/>
      <c r="U276" s="114"/>
      <c r="V276" s="114"/>
      <c r="W276" s="114"/>
      <c r="X276" s="114"/>
      <c r="Y276" s="114"/>
      <c r="Z276" s="114"/>
      <c r="AA276" s="114"/>
      <c r="AB276" s="114"/>
      <c r="AC276" s="114"/>
      <c r="AD276" s="114"/>
      <c r="AE276" s="114"/>
    </row>
    <row r="277" spans="1:31" x14ac:dyDescent="0.25">
      <c r="A277" s="140" t="s">
        <v>182</v>
      </c>
      <c r="B277" s="140" t="s">
        <v>20</v>
      </c>
      <c r="C277" s="140" t="s">
        <v>37</v>
      </c>
      <c r="D277" s="149" t="s">
        <v>152</v>
      </c>
      <c r="E277" s="139" t="s">
        <v>153</v>
      </c>
      <c r="F277" s="105"/>
      <c r="G277" s="113"/>
      <c r="H277" s="114"/>
      <c r="I277" s="114"/>
      <c r="J277" s="114"/>
      <c r="K277" s="114"/>
      <c r="L277" s="114"/>
      <c r="M277" s="114"/>
      <c r="N277" s="114"/>
      <c r="O277" s="114"/>
      <c r="P277" s="114"/>
      <c r="Q277" s="114"/>
      <c r="R277" s="114"/>
      <c r="S277" s="114"/>
      <c r="T277" s="114"/>
      <c r="U277" s="114"/>
      <c r="V277" s="114"/>
      <c r="W277" s="114"/>
      <c r="X277" s="114"/>
      <c r="Y277" s="114"/>
      <c r="Z277" s="114"/>
      <c r="AA277" s="114"/>
      <c r="AB277" s="114"/>
      <c r="AC277" s="114"/>
      <c r="AD277" s="114"/>
      <c r="AE277" s="114"/>
    </row>
    <row r="278" spans="1:31" x14ac:dyDescent="0.25">
      <c r="A278" s="140" t="s">
        <v>182</v>
      </c>
      <c r="B278" s="140" t="s">
        <v>155</v>
      </c>
      <c r="C278" s="140" t="s">
        <v>66</v>
      </c>
      <c r="D278" s="149" t="s">
        <v>186</v>
      </c>
      <c r="E278" s="139" t="s">
        <v>187</v>
      </c>
      <c r="F278" s="105"/>
      <c r="G278" s="113"/>
      <c r="H278" s="114"/>
      <c r="I278" s="114"/>
      <c r="J278" s="114"/>
      <c r="K278" s="114"/>
      <c r="L278" s="114"/>
      <c r="M278" s="114"/>
      <c r="N278" s="114"/>
      <c r="O278" s="114"/>
      <c r="P278" s="114"/>
      <c r="Q278" s="114"/>
      <c r="R278" s="114"/>
      <c r="S278" s="114"/>
      <c r="T278" s="114"/>
      <c r="U278" s="114"/>
      <c r="V278" s="114"/>
      <c r="W278" s="114"/>
      <c r="X278" s="114"/>
      <c r="Y278" s="114"/>
      <c r="Z278" s="114"/>
      <c r="AA278" s="114"/>
      <c r="AB278" s="114"/>
      <c r="AC278" s="114"/>
      <c r="AD278" s="114"/>
      <c r="AE278" s="114"/>
    </row>
    <row r="279" spans="1:31" x14ac:dyDescent="0.25">
      <c r="A279" s="140" t="s">
        <v>182</v>
      </c>
      <c r="B279" s="140" t="s">
        <v>155</v>
      </c>
      <c r="C279" s="140" t="s">
        <v>66</v>
      </c>
      <c r="D279" s="149" t="s">
        <v>159</v>
      </c>
      <c r="E279" s="139" t="s">
        <v>160</v>
      </c>
      <c r="F279" s="105"/>
      <c r="G279" s="113"/>
      <c r="H279" s="114"/>
      <c r="I279" s="114"/>
      <c r="J279" s="114"/>
      <c r="K279" s="114"/>
      <c r="L279" s="114"/>
      <c r="M279" s="114"/>
      <c r="N279" s="114"/>
      <c r="O279" s="114"/>
      <c r="P279" s="114"/>
      <c r="Q279" s="114"/>
      <c r="R279" s="114"/>
      <c r="S279" s="114"/>
      <c r="T279" s="114"/>
      <c r="U279" s="114"/>
      <c r="V279" s="114"/>
      <c r="W279" s="114"/>
      <c r="X279" s="114"/>
      <c r="Y279" s="114"/>
      <c r="Z279" s="114"/>
      <c r="AA279" s="114"/>
      <c r="AB279" s="114"/>
      <c r="AC279" s="114"/>
      <c r="AD279" s="114"/>
      <c r="AE279" s="114"/>
    </row>
    <row r="280" spans="1:31" x14ac:dyDescent="0.25">
      <c r="A280" s="140" t="s">
        <v>182</v>
      </c>
      <c r="B280" s="140" t="s">
        <v>155</v>
      </c>
      <c r="C280" s="140" t="s">
        <v>66</v>
      </c>
      <c r="D280" s="149" t="s">
        <v>188</v>
      </c>
      <c r="E280" s="139" t="s">
        <v>189</v>
      </c>
      <c r="F280" s="105"/>
      <c r="G280" s="113"/>
      <c r="H280" s="114"/>
      <c r="I280" s="114"/>
      <c r="J280" s="114"/>
      <c r="K280" s="114"/>
      <c r="L280" s="114"/>
      <c r="M280" s="114"/>
      <c r="N280" s="114"/>
      <c r="O280" s="114"/>
      <c r="P280" s="114"/>
      <c r="Q280" s="114"/>
      <c r="R280" s="114"/>
      <c r="S280" s="114"/>
      <c r="T280" s="114"/>
      <c r="U280" s="114"/>
      <c r="V280" s="114"/>
      <c r="W280" s="114"/>
      <c r="X280" s="114"/>
      <c r="Y280" s="114"/>
      <c r="Z280" s="114"/>
      <c r="AA280" s="114"/>
      <c r="AB280" s="114"/>
      <c r="AC280" s="114"/>
      <c r="AD280" s="114"/>
      <c r="AE280" s="114"/>
    </row>
    <row r="281" spans="1:31" x14ac:dyDescent="0.25">
      <c r="A281" s="140" t="s">
        <v>182</v>
      </c>
      <c r="B281" s="140" t="s">
        <v>155</v>
      </c>
      <c r="C281" s="140" t="s">
        <v>66</v>
      </c>
      <c r="D281" s="149" t="s">
        <v>190</v>
      </c>
      <c r="E281" s="139" t="s">
        <v>191</v>
      </c>
      <c r="F281" s="105"/>
      <c r="G281" s="113"/>
      <c r="H281" s="114"/>
      <c r="I281" s="114"/>
      <c r="J281" s="114"/>
      <c r="K281" s="114"/>
      <c r="L281" s="114"/>
      <c r="M281" s="114"/>
      <c r="N281" s="114"/>
      <c r="O281" s="114"/>
      <c r="P281" s="114"/>
      <c r="Q281" s="114"/>
      <c r="R281" s="114"/>
      <c r="S281" s="114"/>
      <c r="T281" s="114"/>
      <c r="U281" s="114"/>
      <c r="V281" s="114"/>
      <c r="W281" s="114"/>
      <c r="X281" s="114"/>
      <c r="Y281" s="114"/>
      <c r="Z281" s="114"/>
      <c r="AA281" s="114"/>
      <c r="AB281" s="114"/>
      <c r="AC281" s="114"/>
      <c r="AD281" s="114"/>
      <c r="AE281" s="114"/>
    </row>
    <row r="282" spans="1:31" x14ac:dyDescent="0.25">
      <c r="A282" s="140" t="s">
        <v>182</v>
      </c>
      <c r="B282" s="140" t="s">
        <v>155</v>
      </c>
      <c r="C282" s="140" t="s">
        <v>66</v>
      </c>
      <c r="D282" s="149" t="s">
        <v>192</v>
      </c>
      <c r="E282" s="139" t="s">
        <v>193</v>
      </c>
      <c r="F282" s="105"/>
      <c r="G282" s="113"/>
      <c r="H282" s="114"/>
      <c r="I282" s="114"/>
      <c r="J282" s="114"/>
      <c r="K282" s="114"/>
      <c r="L282" s="114"/>
      <c r="M282" s="114"/>
      <c r="N282" s="114"/>
      <c r="O282" s="114"/>
      <c r="P282" s="114"/>
      <c r="Q282" s="114"/>
      <c r="R282" s="114"/>
      <c r="S282" s="114"/>
      <c r="T282" s="114"/>
      <c r="U282" s="114"/>
      <c r="V282" s="114"/>
      <c r="W282" s="114"/>
      <c r="X282" s="114"/>
      <c r="Y282" s="114"/>
      <c r="Z282" s="114"/>
      <c r="AA282" s="114"/>
      <c r="AB282" s="114"/>
      <c r="AC282" s="114"/>
      <c r="AD282" s="114"/>
      <c r="AE282" s="114"/>
    </row>
    <row r="283" spans="1:31" x14ac:dyDescent="0.25">
      <c r="A283" s="140" t="s">
        <v>182</v>
      </c>
      <c r="B283" s="140" t="s">
        <v>155</v>
      </c>
      <c r="C283" s="140" t="s">
        <v>66</v>
      </c>
      <c r="D283" s="149" t="s">
        <v>194</v>
      </c>
      <c r="E283" s="139" t="s">
        <v>195</v>
      </c>
      <c r="F283" s="105"/>
      <c r="G283" s="113"/>
      <c r="H283" s="114"/>
      <c r="I283" s="114"/>
      <c r="J283" s="114"/>
      <c r="K283" s="114"/>
      <c r="L283" s="114"/>
      <c r="M283" s="114"/>
      <c r="N283" s="114"/>
      <c r="O283" s="114"/>
      <c r="P283" s="114"/>
      <c r="Q283" s="114"/>
      <c r="R283" s="114"/>
      <c r="S283" s="114"/>
      <c r="T283" s="114"/>
      <c r="U283" s="114"/>
      <c r="V283" s="114"/>
      <c r="W283" s="114"/>
      <c r="X283" s="114"/>
      <c r="Y283" s="114"/>
      <c r="Z283" s="114"/>
      <c r="AA283" s="114"/>
      <c r="AB283" s="114"/>
      <c r="AC283" s="114"/>
      <c r="AD283" s="114"/>
      <c r="AE283" s="114"/>
    </row>
    <row r="284" spans="1:31" x14ac:dyDescent="0.25">
      <c r="A284" s="140" t="s">
        <v>182</v>
      </c>
      <c r="B284" s="140" t="s">
        <v>155</v>
      </c>
      <c r="C284" s="140" t="s">
        <v>66</v>
      </c>
      <c r="D284" s="149" t="s">
        <v>156</v>
      </c>
      <c r="E284" s="139" t="s">
        <v>157</v>
      </c>
      <c r="F284" s="105"/>
      <c r="G284" s="113"/>
      <c r="H284" s="114"/>
      <c r="I284" s="114"/>
      <c r="J284" s="114"/>
      <c r="K284" s="114"/>
      <c r="L284" s="114"/>
      <c r="M284" s="114"/>
      <c r="N284" s="114"/>
      <c r="O284" s="114"/>
      <c r="P284" s="114"/>
      <c r="Q284" s="114"/>
      <c r="R284" s="114"/>
      <c r="S284" s="114"/>
      <c r="T284" s="114"/>
      <c r="U284" s="114"/>
      <c r="V284" s="114"/>
      <c r="W284" s="114"/>
      <c r="X284" s="114"/>
      <c r="Y284" s="114"/>
      <c r="Z284" s="114"/>
      <c r="AA284" s="114"/>
      <c r="AB284" s="114"/>
      <c r="AC284" s="114"/>
      <c r="AD284" s="114"/>
      <c r="AE284" s="114"/>
    </row>
    <row r="285" spans="1:31" x14ac:dyDescent="0.25">
      <c r="A285" s="140" t="s">
        <v>182</v>
      </c>
      <c r="B285" s="140" t="s">
        <v>155</v>
      </c>
      <c r="C285" s="140" t="s">
        <v>66</v>
      </c>
      <c r="D285" s="149" t="s">
        <v>196</v>
      </c>
      <c r="E285" s="139" t="s">
        <v>197</v>
      </c>
      <c r="F285" s="105"/>
      <c r="G285" s="113"/>
      <c r="H285" s="114"/>
      <c r="I285" s="114"/>
      <c r="J285" s="114"/>
      <c r="K285" s="114"/>
      <c r="L285" s="114"/>
      <c r="M285" s="114"/>
      <c r="N285" s="114"/>
      <c r="O285" s="114"/>
      <c r="P285" s="114"/>
      <c r="Q285" s="114"/>
      <c r="R285" s="114"/>
      <c r="S285" s="114"/>
      <c r="T285" s="114"/>
      <c r="U285" s="114"/>
      <c r="V285" s="114"/>
      <c r="W285" s="114"/>
      <c r="X285" s="114"/>
      <c r="Y285" s="114"/>
      <c r="Z285" s="114"/>
      <c r="AA285" s="114"/>
      <c r="AB285" s="114"/>
      <c r="AC285" s="114"/>
      <c r="AD285" s="114"/>
      <c r="AE285" s="114"/>
    </row>
    <row r="286" spans="1:31" x14ac:dyDescent="0.25">
      <c r="A286" s="140" t="s">
        <v>182</v>
      </c>
      <c r="B286" s="140" t="s">
        <v>44</v>
      </c>
      <c r="C286" s="140" t="s">
        <v>812</v>
      </c>
      <c r="D286" s="149" t="s">
        <v>517</v>
      </c>
      <c r="E286" s="139" t="s">
        <v>676</v>
      </c>
      <c r="F286" s="105"/>
      <c r="G286" s="113"/>
      <c r="H286" s="114"/>
      <c r="I286" s="114"/>
      <c r="J286" s="114"/>
      <c r="K286" s="114"/>
      <c r="L286" s="114"/>
      <c r="M286" s="114"/>
      <c r="N286" s="114"/>
      <c r="O286" s="114"/>
      <c r="P286" s="114"/>
      <c r="Q286" s="114"/>
      <c r="R286" s="114"/>
      <c r="S286" s="114"/>
      <c r="T286" s="114"/>
      <c r="U286" s="114"/>
      <c r="V286" s="114"/>
      <c r="W286" s="114"/>
      <c r="X286" s="114"/>
      <c r="Y286" s="114"/>
      <c r="Z286" s="114"/>
      <c r="AA286" s="114"/>
      <c r="AB286" s="114"/>
      <c r="AC286" s="114"/>
      <c r="AD286" s="114"/>
      <c r="AE286" s="114"/>
    </row>
    <row r="287" spans="1:31" x14ac:dyDescent="0.25">
      <c r="A287" s="140" t="s">
        <v>182</v>
      </c>
      <c r="B287" s="140" t="s">
        <v>44</v>
      </c>
      <c r="C287" s="140" t="s">
        <v>812</v>
      </c>
      <c r="D287" s="149" t="s">
        <v>830</v>
      </c>
      <c r="E287" s="139" t="s">
        <v>677</v>
      </c>
      <c r="F287" s="105"/>
      <c r="G287" s="113"/>
      <c r="H287" s="114"/>
      <c r="I287" s="114"/>
      <c r="J287" s="114"/>
      <c r="K287" s="114"/>
      <c r="L287" s="114"/>
      <c r="M287" s="114"/>
      <c r="N287" s="114"/>
      <c r="O287" s="114"/>
      <c r="P287" s="114"/>
      <c r="Q287" s="114"/>
      <c r="R287" s="114"/>
      <c r="S287" s="114"/>
      <c r="T287" s="114"/>
      <c r="U287" s="114"/>
      <c r="V287" s="114"/>
      <c r="W287" s="114"/>
      <c r="X287" s="114"/>
      <c r="Y287" s="114"/>
      <c r="Z287" s="114"/>
      <c r="AA287" s="114"/>
      <c r="AB287" s="114"/>
      <c r="AC287" s="114"/>
      <c r="AD287" s="114"/>
      <c r="AE287" s="114"/>
    </row>
    <row r="288" spans="1:31" x14ac:dyDescent="0.25">
      <c r="A288" s="140" t="s">
        <v>182</v>
      </c>
      <c r="B288" s="140" t="s">
        <v>44</v>
      </c>
      <c r="C288" s="140" t="s">
        <v>812</v>
      </c>
      <c r="D288" s="149" t="s">
        <v>831</v>
      </c>
      <c r="E288" s="139" t="s">
        <v>678</v>
      </c>
      <c r="F288" s="105"/>
      <c r="G288" s="113"/>
      <c r="H288" s="114"/>
      <c r="I288" s="114"/>
      <c r="J288" s="114"/>
      <c r="K288" s="114"/>
      <c r="L288" s="114"/>
      <c r="M288" s="114"/>
      <c r="N288" s="114"/>
      <c r="O288" s="114"/>
      <c r="P288" s="114"/>
      <c r="Q288" s="114"/>
      <c r="R288" s="114"/>
      <c r="S288" s="114"/>
      <c r="T288" s="114"/>
      <c r="U288" s="114"/>
      <c r="V288" s="114"/>
      <c r="W288" s="114"/>
      <c r="X288" s="114"/>
      <c r="Y288" s="114"/>
      <c r="Z288" s="114"/>
      <c r="AA288" s="114"/>
      <c r="AB288" s="114"/>
      <c r="AC288" s="114"/>
      <c r="AD288" s="114"/>
      <c r="AE288" s="114"/>
    </row>
    <row r="289" spans="1:31" x14ac:dyDescent="0.25">
      <c r="A289" s="140" t="s">
        <v>182</v>
      </c>
      <c r="B289" s="140" t="s">
        <v>44</v>
      </c>
      <c r="C289" s="140" t="s">
        <v>812</v>
      </c>
      <c r="D289" s="149" t="s">
        <v>204</v>
      </c>
      <c r="E289" s="139" t="s">
        <v>205</v>
      </c>
      <c r="F289" s="105"/>
      <c r="G289" s="113"/>
      <c r="H289" s="114"/>
      <c r="I289" s="114"/>
      <c r="J289" s="114"/>
      <c r="K289" s="114"/>
      <c r="L289" s="114"/>
      <c r="M289" s="114"/>
      <c r="N289" s="114"/>
      <c r="O289" s="114"/>
      <c r="P289" s="114"/>
      <c r="Q289" s="114"/>
      <c r="R289" s="114"/>
      <c r="S289" s="114"/>
      <c r="T289" s="114"/>
      <c r="U289" s="114"/>
      <c r="V289" s="114"/>
      <c r="W289" s="114"/>
      <c r="X289" s="114"/>
      <c r="Y289" s="114"/>
      <c r="Z289" s="114"/>
      <c r="AA289" s="114"/>
      <c r="AB289" s="114"/>
      <c r="AC289" s="114"/>
      <c r="AD289" s="114"/>
      <c r="AE289" s="114"/>
    </row>
    <row r="290" spans="1:31" x14ac:dyDescent="0.25">
      <c r="A290" s="140" t="s">
        <v>182</v>
      </c>
      <c r="B290" s="140" t="s">
        <v>44</v>
      </c>
      <c r="C290" s="140" t="s">
        <v>812</v>
      </c>
      <c r="D290" s="149" t="s">
        <v>198</v>
      </c>
      <c r="E290" s="139" t="s">
        <v>199</v>
      </c>
      <c r="F290" s="105"/>
      <c r="G290" s="113"/>
      <c r="H290" s="114"/>
      <c r="I290" s="114"/>
      <c r="J290" s="114"/>
      <c r="K290" s="114"/>
      <c r="L290" s="114"/>
      <c r="M290" s="114"/>
      <c r="N290" s="114"/>
      <c r="O290" s="114"/>
      <c r="P290" s="114"/>
      <c r="Q290" s="114"/>
      <c r="R290" s="114"/>
      <c r="S290" s="114"/>
      <c r="T290" s="114"/>
      <c r="U290" s="114"/>
      <c r="V290" s="114"/>
      <c r="W290" s="114"/>
      <c r="X290" s="114"/>
      <c r="Y290" s="114"/>
      <c r="Z290" s="114"/>
      <c r="AA290" s="114"/>
      <c r="AB290" s="114"/>
      <c r="AC290" s="114"/>
      <c r="AD290" s="114"/>
      <c r="AE290" s="114"/>
    </row>
    <row r="291" spans="1:31" x14ac:dyDescent="0.25">
      <c r="A291" s="140" t="s">
        <v>182</v>
      </c>
      <c r="B291" s="140" t="s">
        <v>44</v>
      </c>
      <c r="C291" s="140" t="s">
        <v>812</v>
      </c>
      <c r="D291" s="149" t="s">
        <v>200</v>
      </c>
      <c r="E291" s="139" t="s">
        <v>201</v>
      </c>
      <c r="F291" s="105"/>
      <c r="G291" s="113"/>
      <c r="H291" s="114"/>
      <c r="I291" s="114"/>
      <c r="J291" s="114"/>
      <c r="K291" s="114"/>
      <c r="L291" s="114"/>
      <c r="M291" s="114"/>
      <c r="N291" s="114"/>
      <c r="O291" s="114"/>
      <c r="P291" s="114"/>
      <c r="Q291" s="114"/>
      <c r="R291" s="114"/>
      <c r="S291" s="114"/>
      <c r="T291" s="114"/>
      <c r="U291" s="114"/>
      <c r="V291" s="114"/>
      <c r="W291" s="114"/>
      <c r="X291" s="114"/>
      <c r="Y291" s="114"/>
      <c r="Z291" s="114"/>
      <c r="AA291" s="114"/>
      <c r="AB291" s="114"/>
      <c r="AC291" s="114"/>
      <c r="AD291" s="114"/>
      <c r="AE291" s="114"/>
    </row>
    <row r="292" spans="1:31" x14ac:dyDescent="0.25">
      <c r="A292" s="140" t="s">
        <v>182</v>
      </c>
      <c r="B292" s="140" t="s">
        <v>44</v>
      </c>
      <c r="C292" s="140" t="s">
        <v>812</v>
      </c>
      <c r="D292" s="149" t="s">
        <v>832</v>
      </c>
      <c r="E292" s="139" t="s">
        <v>679</v>
      </c>
      <c r="F292" s="105"/>
      <c r="G292" s="113"/>
      <c r="H292" s="114"/>
      <c r="I292" s="114"/>
      <c r="J292" s="114"/>
      <c r="K292" s="114"/>
      <c r="L292" s="114"/>
      <c r="M292" s="114"/>
      <c r="N292" s="114"/>
      <c r="O292" s="114"/>
      <c r="P292" s="114"/>
      <c r="Q292" s="114"/>
      <c r="R292" s="114"/>
      <c r="S292" s="114"/>
      <c r="T292" s="114"/>
      <c r="U292" s="114"/>
      <c r="V292" s="114"/>
      <c r="W292" s="114"/>
      <c r="X292" s="114"/>
      <c r="Y292" s="114"/>
      <c r="Z292" s="114"/>
      <c r="AA292" s="114"/>
      <c r="AB292" s="114"/>
      <c r="AC292" s="114"/>
      <c r="AD292" s="114"/>
      <c r="AE292" s="114"/>
    </row>
    <row r="293" spans="1:31" x14ac:dyDescent="0.25">
      <c r="A293" s="140" t="s">
        <v>182</v>
      </c>
      <c r="B293" s="140" t="s">
        <v>44</v>
      </c>
      <c r="C293" s="140" t="s">
        <v>812</v>
      </c>
      <c r="D293" s="149" t="s">
        <v>45</v>
      </c>
      <c r="E293" s="139" t="s">
        <v>46</v>
      </c>
      <c r="F293" s="105"/>
      <c r="G293" s="113"/>
      <c r="H293" s="114"/>
      <c r="I293" s="114"/>
      <c r="J293" s="114"/>
      <c r="K293" s="114"/>
      <c r="L293" s="114"/>
      <c r="M293" s="114"/>
      <c r="N293" s="114"/>
      <c r="O293" s="114"/>
      <c r="P293" s="114"/>
      <c r="Q293" s="114"/>
      <c r="R293" s="114"/>
      <c r="S293" s="114"/>
      <c r="T293" s="114"/>
      <c r="U293" s="114"/>
      <c r="V293" s="114"/>
      <c r="W293" s="114"/>
      <c r="X293" s="114"/>
      <c r="Y293" s="114"/>
      <c r="Z293" s="114"/>
      <c r="AA293" s="114"/>
      <c r="AB293" s="114"/>
      <c r="AC293" s="114"/>
      <c r="AD293" s="114"/>
      <c r="AE293" s="114"/>
    </row>
    <row r="294" spans="1:31" x14ac:dyDescent="0.25">
      <c r="A294" s="140" t="s">
        <v>182</v>
      </c>
      <c r="B294" s="140" t="s">
        <v>44</v>
      </c>
      <c r="C294" s="140" t="s">
        <v>812</v>
      </c>
      <c r="D294" s="149" t="s">
        <v>526</v>
      </c>
      <c r="E294" s="139" t="s">
        <v>680</v>
      </c>
      <c r="F294" s="105"/>
      <c r="G294" s="113"/>
      <c r="H294" s="114"/>
      <c r="I294" s="114"/>
      <c r="J294" s="114"/>
      <c r="K294" s="114"/>
      <c r="L294" s="114"/>
      <c r="M294" s="114"/>
      <c r="N294" s="114"/>
      <c r="O294" s="114"/>
      <c r="P294" s="114"/>
      <c r="Q294" s="114"/>
      <c r="R294" s="114"/>
      <c r="S294" s="114"/>
      <c r="T294" s="114"/>
      <c r="U294" s="114"/>
      <c r="V294" s="114"/>
      <c r="W294" s="114"/>
      <c r="X294" s="114"/>
      <c r="Y294" s="114"/>
      <c r="Z294" s="114"/>
      <c r="AA294" s="114"/>
      <c r="AB294" s="114"/>
      <c r="AC294" s="114"/>
      <c r="AD294" s="114"/>
      <c r="AE294" s="114"/>
    </row>
    <row r="295" spans="1:31" x14ac:dyDescent="0.25">
      <c r="A295" s="140" t="s">
        <v>182</v>
      </c>
      <c r="B295" s="140" t="s">
        <v>44</v>
      </c>
      <c r="C295" s="140" t="s">
        <v>812</v>
      </c>
      <c r="D295" s="149" t="s">
        <v>833</v>
      </c>
      <c r="E295" s="139" t="s">
        <v>681</v>
      </c>
      <c r="F295" s="105"/>
      <c r="G295" s="113"/>
      <c r="H295" s="114"/>
      <c r="I295" s="114"/>
      <c r="J295" s="114"/>
      <c r="K295" s="114"/>
      <c r="L295" s="114"/>
      <c r="M295" s="114"/>
      <c r="N295" s="114"/>
      <c r="O295" s="114"/>
      <c r="P295" s="114"/>
      <c r="Q295" s="114"/>
      <c r="R295" s="114"/>
      <c r="S295" s="114"/>
      <c r="T295" s="114"/>
      <c r="U295" s="114"/>
      <c r="V295" s="114"/>
      <c r="W295" s="114"/>
      <c r="X295" s="114"/>
      <c r="Y295" s="114"/>
      <c r="Z295" s="114"/>
      <c r="AA295" s="114"/>
      <c r="AB295" s="114"/>
      <c r="AC295" s="114"/>
      <c r="AD295" s="114"/>
      <c r="AE295" s="114"/>
    </row>
    <row r="296" spans="1:31" x14ac:dyDescent="0.25">
      <c r="A296" s="140" t="s">
        <v>182</v>
      </c>
      <c r="B296" s="140" t="s">
        <v>44</v>
      </c>
      <c r="C296" s="140" t="s">
        <v>812</v>
      </c>
      <c r="D296" s="149" t="s">
        <v>834</v>
      </c>
      <c r="E296" s="139" t="s">
        <v>682</v>
      </c>
      <c r="F296" s="105"/>
      <c r="G296" s="113"/>
      <c r="H296" s="114"/>
      <c r="I296" s="114"/>
      <c r="J296" s="114"/>
      <c r="K296" s="114"/>
      <c r="L296" s="114"/>
      <c r="M296" s="114"/>
      <c r="N296" s="114"/>
      <c r="O296" s="114"/>
      <c r="P296" s="114"/>
      <c r="Q296" s="114"/>
      <c r="R296" s="114"/>
      <c r="S296" s="114"/>
      <c r="T296" s="114"/>
      <c r="U296" s="114"/>
      <c r="V296" s="114"/>
      <c r="W296" s="114"/>
      <c r="X296" s="114"/>
      <c r="Y296" s="114"/>
      <c r="Z296" s="114"/>
      <c r="AA296" s="114"/>
      <c r="AB296" s="114"/>
      <c r="AC296" s="114"/>
      <c r="AD296" s="114"/>
      <c r="AE296" s="114"/>
    </row>
    <row r="297" spans="1:31" x14ac:dyDescent="0.25">
      <c r="A297" s="140" t="s">
        <v>182</v>
      </c>
      <c r="B297" s="140" t="s">
        <v>44</v>
      </c>
      <c r="C297" s="140" t="s">
        <v>812</v>
      </c>
      <c r="D297" s="149" t="s">
        <v>835</v>
      </c>
      <c r="E297" s="139" t="s">
        <v>683</v>
      </c>
      <c r="F297" s="105"/>
      <c r="G297" s="113"/>
      <c r="H297" s="114"/>
      <c r="I297" s="114"/>
      <c r="J297" s="114"/>
      <c r="K297" s="114"/>
      <c r="L297" s="114"/>
      <c r="M297" s="114"/>
      <c r="N297" s="114"/>
      <c r="O297" s="114"/>
      <c r="P297" s="114"/>
      <c r="Q297" s="114"/>
      <c r="R297" s="114"/>
      <c r="S297" s="114"/>
      <c r="T297" s="114"/>
      <c r="U297" s="114"/>
      <c r="V297" s="114"/>
      <c r="W297" s="114"/>
      <c r="X297" s="114"/>
      <c r="Y297" s="114"/>
      <c r="Z297" s="114"/>
      <c r="AA297" s="114"/>
      <c r="AB297" s="114"/>
      <c r="AC297" s="114"/>
      <c r="AD297" s="114"/>
      <c r="AE297" s="114"/>
    </row>
    <row r="298" spans="1:31" x14ac:dyDescent="0.25">
      <c r="A298" s="140" t="s">
        <v>182</v>
      </c>
      <c r="B298" s="140" t="s">
        <v>44</v>
      </c>
      <c r="C298" s="140" t="s">
        <v>812</v>
      </c>
      <c r="D298" s="149" t="s">
        <v>836</v>
      </c>
      <c r="E298" s="139" t="s">
        <v>684</v>
      </c>
      <c r="F298" s="105"/>
      <c r="G298" s="113"/>
      <c r="H298" s="114"/>
      <c r="I298" s="114"/>
      <c r="J298" s="114"/>
      <c r="K298" s="114"/>
      <c r="L298" s="114"/>
      <c r="M298" s="114"/>
      <c r="N298" s="114"/>
      <c r="O298" s="114"/>
      <c r="P298" s="114"/>
      <c r="Q298" s="114"/>
      <c r="R298" s="114"/>
      <c r="S298" s="114"/>
      <c r="T298" s="114"/>
      <c r="U298" s="114"/>
      <c r="V298" s="114"/>
      <c r="W298" s="114"/>
      <c r="X298" s="114"/>
      <c r="Y298" s="114"/>
      <c r="Z298" s="114"/>
      <c r="AA298" s="114"/>
      <c r="AB298" s="114"/>
      <c r="AC298" s="114"/>
      <c r="AD298" s="114"/>
      <c r="AE298" s="114"/>
    </row>
    <row r="299" spans="1:31" x14ac:dyDescent="0.25">
      <c r="A299" s="140" t="s">
        <v>182</v>
      </c>
      <c r="B299" s="140" t="s">
        <v>44</v>
      </c>
      <c r="C299" s="140" t="s">
        <v>812</v>
      </c>
      <c r="D299" s="149" t="s">
        <v>837</v>
      </c>
      <c r="E299" s="139" t="s">
        <v>685</v>
      </c>
      <c r="F299" s="105"/>
      <c r="G299" s="113"/>
      <c r="H299" s="114"/>
      <c r="I299" s="114"/>
      <c r="J299" s="114"/>
      <c r="K299" s="114"/>
      <c r="L299" s="114"/>
      <c r="M299" s="114"/>
      <c r="N299" s="114"/>
      <c r="O299" s="114"/>
      <c r="P299" s="114"/>
      <c r="Q299" s="114"/>
      <c r="R299" s="114"/>
      <c r="S299" s="114"/>
      <c r="T299" s="114"/>
      <c r="U299" s="114"/>
      <c r="V299" s="114"/>
      <c r="W299" s="114"/>
      <c r="X299" s="114"/>
      <c r="Y299" s="114"/>
      <c r="Z299" s="114"/>
      <c r="AA299" s="114"/>
      <c r="AB299" s="114"/>
      <c r="AC299" s="114"/>
      <c r="AD299" s="114"/>
      <c r="AE299" s="114"/>
    </row>
    <row r="300" spans="1:31" x14ac:dyDescent="0.25">
      <c r="A300" s="140" t="s">
        <v>182</v>
      </c>
      <c r="B300" s="140" t="s">
        <v>44</v>
      </c>
      <c r="C300" s="140" t="s">
        <v>812</v>
      </c>
      <c r="D300" s="149" t="s">
        <v>838</v>
      </c>
      <c r="E300" s="139" t="s">
        <v>686</v>
      </c>
      <c r="F300" s="105"/>
      <c r="G300" s="113"/>
      <c r="H300" s="114"/>
      <c r="I300" s="114"/>
      <c r="J300" s="114"/>
      <c r="K300" s="114"/>
      <c r="L300" s="114"/>
      <c r="M300" s="114"/>
      <c r="N300" s="114"/>
      <c r="O300" s="114"/>
      <c r="P300" s="114"/>
      <c r="Q300" s="114"/>
      <c r="R300" s="114"/>
      <c r="S300" s="114"/>
      <c r="T300" s="114"/>
      <c r="U300" s="114"/>
      <c r="V300" s="114"/>
      <c r="W300" s="114"/>
      <c r="X300" s="114"/>
      <c r="Y300" s="114"/>
      <c r="Z300" s="114"/>
      <c r="AA300" s="114"/>
      <c r="AB300" s="114"/>
      <c r="AC300" s="114"/>
      <c r="AD300" s="114"/>
      <c r="AE300" s="114"/>
    </row>
    <row r="301" spans="1:31" x14ac:dyDescent="0.25">
      <c r="A301" s="140" t="s">
        <v>182</v>
      </c>
      <c r="B301" s="140" t="s">
        <v>44</v>
      </c>
      <c r="C301" s="140" t="s">
        <v>812</v>
      </c>
      <c r="D301" s="149" t="s">
        <v>534</v>
      </c>
      <c r="E301" s="139" t="s">
        <v>687</v>
      </c>
      <c r="F301" s="105"/>
      <c r="G301" s="113"/>
      <c r="H301" s="114"/>
      <c r="I301" s="114"/>
      <c r="J301" s="114"/>
      <c r="K301" s="114"/>
      <c r="L301" s="114"/>
      <c r="M301" s="114"/>
      <c r="N301" s="114"/>
      <c r="O301" s="114"/>
      <c r="P301" s="114"/>
      <c r="Q301" s="114"/>
      <c r="R301" s="114"/>
      <c r="S301" s="114"/>
      <c r="T301" s="114"/>
      <c r="U301" s="114"/>
      <c r="V301" s="114"/>
      <c r="W301" s="114"/>
      <c r="X301" s="114"/>
      <c r="Y301" s="114"/>
      <c r="Z301" s="114"/>
      <c r="AA301" s="114"/>
      <c r="AB301" s="114"/>
      <c r="AC301" s="114"/>
      <c r="AD301" s="114"/>
      <c r="AE301" s="114"/>
    </row>
    <row r="302" spans="1:31" x14ac:dyDescent="0.25">
      <c r="A302" s="140" t="s">
        <v>182</v>
      </c>
      <c r="B302" s="140" t="s">
        <v>44</v>
      </c>
      <c r="C302" s="140" t="s">
        <v>812</v>
      </c>
      <c r="D302" s="149" t="s">
        <v>100</v>
      </c>
      <c r="E302" s="139" t="s">
        <v>101</v>
      </c>
      <c r="F302" s="105"/>
      <c r="G302" s="113"/>
      <c r="H302" s="114"/>
      <c r="I302" s="114"/>
      <c r="J302" s="114"/>
      <c r="K302" s="114"/>
      <c r="L302" s="114"/>
      <c r="M302" s="114"/>
      <c r="N302" s="114"/>
      <c r="O302" s="114"/>
      <c r="P302" s="114"/>
      <c r="Q302" s="114"/>
      <c r="R302" s="114"/>
      <c r="S302" s="114"/>
      <c r="T302" s="114"/>
      <c r="U302" s="114"/>
      <c r="V302" s="114"/>
      <c r="W302" s="114"/>
      <c r="X302" s="114"/>
      <c r="Y302" s="114"/>
      <c r="Z302" s="114"/>
      <c r="AA302" s="114"/>
      <c r="AB302" s="114"/>
      <c r="AC302" s="114"/>
      <c r="AD302" s="114"/>
      <c r="AE302" s="114"/>
    </row>
    <row r="303" spans="1:31" x14ac:dyDescent="0.25">
      <c r="A303" s="140" t="s">
        <v>182</v>
      </c>
      <c r="B303" s="140" t="s">
        <v>44</v>
      </c>
      <c r="C303" s="140" t="s">
        <v>812</v>
      </c>
      <c r="D303" s="149" t="s">
        <v>202</v>
      </c>
      <c r="E303" s="139" t="s">
        <v>203</v>
      </c>
      <c r="F303" s="105"/>
      <c r="G303" s="113"/>
      <c r="H303" s="114"/>
      <c r="I303" s="114"/>
      <c r="J303" s="114"/>
      <c r="K303" s="114"/>
      <c r="L303" s="114"/>
      <c r="M303" s="114"/>
      <c r="N303" s="114"/>
      <c r="O303" s="114"/>
      <c r="P303" s="114"/>
      <c r="Q303" s="114"/>
      <c r="R303" s="114"/>
      <c r="S303" s="114"/>
      <c r="T303" s="114"/>
      <c r="U303" s="114"/>
      <c r="V303" s="114"/>
      <c r="W303" s="114"/>
      <c r="X303" s="114"/>
      <c r="Y303" s="114"/>
      <c r="Z303" s="114"/>
      <c r="AA303" s="114"/>
      <c r="AB303" s="114"/>
      <c r="AC303" s="114"/>
      <c r="AD303" s="114"/>
      <c r="AE303" s="114"/>
    </row>
    <row r="304" spans="1:31" x14ac:dyDescent="0.25">
      <c r="A304" s="140" t="s">
        <v>182</v>
      </c>
      <c r="B304" s="140" t="s">
        <v>44</v>
      </c>
      <c r="C304" s="140" t="s">
        <v>812</v>
      </c>
      <c r="D304" s="149" t="s">
        <v>538</v>
      </c>
      <c r="E304" s="139" t="s">
        <v>115</v>
      </c>
      <c r="F304" s="105"/>
      <c r="G304" s="113"/>
      <c r="H304" s="114"/>
      <c r="I304" s="114"/>
      <c r="J304" s="114"/>
      <c r="K304" s="114"/>
      <c r="L304" s="114"/>
      <c r="M304" s="114"/>
      <c r="N304" s="114"/>
      <c r="O304" s="114"/>
      <c r="P304" s="114"/>
      <c r="Q304" s="114"/>
      <c r="R304" s="114"/>
      <c r="S304" s="114"/>
      <c r="T304" s="114"/>
      <c r="U304" s="114"/>
      <c r="V304" s="114"/>
      <c r="W304" s="114"/>
      <c r="X304" s="114"/>
      <c r="Y304" s="114"/>
      <c r="Z304" s="114"/>
      <c r="AA304" s="114"/>
      <c r="AB304" s="114"/>
      <c r="AC304" s="114"/>
      <c r="AD304" s="114"/>
      <c r="AE304" s="114"/>
    </row>
    <row r="305" spans="1:31" x14ac:dyDescent="0.25">
      <c r="A305" s="140" t="s">
        <v>182</v>
      </c>
      <c r="B305" s="140" t="s">
        <v>44</v>
      </c>
      <c r="C305" s="140" t="s">
        <v>812</v>
      </c>
      <c r="D305" s="149" t="s">
        <v>539</v>
      </c>
      <c r="E305" s="139" t="s">
        <v>688</v>
      </c>
      <c r="F305" s="105"/>
      <c r="G305" s="113"/>
      <c r="H305" s="114"/>
      <c r="I305" s="114"/>
      <c r="J305" s="114"/>
      <c r="K305" s="114"/>
      <c r="L305" s="114"/>
      <c r="M305" s="114"/>
      <c r="N305" s="114"/>
      <c r="O305" s="114"/>
      <c r="P305" s="114"/>
      <c r="Q305" s="114"/>
      <c r="R305" s="114"/>
      <c r="S305" s="114"/>
      <c r="T305" s="114"/>
      <c r="U305" s="114"/>
      <c r="V305" s="114"/>
      <c r="W305" s="114"/>
      <c r="X305" s="114"/>
      <c r="Y305" s="114"/>
      <c r="Z305" s="114"/>
      <c r="AA305" s="114"/>
      <c r="AB305" s="114"/>
      <c r="AC305" s="114"/>
      <c r="AD305" s="114"/>
      <c r="AE305" s="114"/>
    </row>
    <row r="306" spans="1:31" x14ac:dyDescent="0.25">
      <c r="A306" s="140" t="s">
        <v>182</v>
      </c>
      <c r="B306" s="140" t="s">
        <v>44</v>
      </c>
      <c r="C306" s="140" t="s">
        <v>812</v>
      </c>
      <c r="D306" s="149" t="s">
        <v>541</v>
      </c>
      <c r="E306" s="139" t="s">
        <v>689</v>
      </c>
      <c r="F306" s="105"/>
      <c r="G306" s="113"/>
      <c r="H306" s="114"/>
      <c r="I306" s="114"/>
      <c r="J306" s="114"/>
      <c r="K306" s="114"/>
      <c r="L306" s="114"/>
      <c r="M306" s="114"/>
      <c r="N306" s="114"/>
      <c r="O306" s="114"/>
      <c r="P306" s="114"/>
      <c r="Q306" s="114"/>
      <c r="R306" s="114"/>
      <c r="S306" s="114"/>
      <c r="T306" s="114"/>
      <c r="U306" s="114"/>
      <c r="V306" s="114"/>
      <c r="W306" s="114"/>
      <c r="X306" s="114"/>
      <c r="Y306" s="114"/>
      <c r="Z306" s="114"/>
      <c r="AA306" s="114"/>
      <c r="AB306" s="114"/>
      <c r="AC306" s="114"/>
      <c r="AD306" s="114"/>
      <c r="AE306" s="114"/>
    </row>
    <row r="307" spans="1:31" x14ac:dyDescent="0.25">
      <c r="A307" s="140" t="s">
        <v>182</v>
      </c>
      <c r="B307" s="140" t="s">
        <v>44</v>
      </c>
      <c r="C307" s="140" t="s">
        <v>812</v>
      </c>
      <c r="D307" s="149" t="s">
        <v>543</v>
      </c>
      <c r="E307" s="139" t="s">
        <v>690</v>
      </c>
      <c r="F307" s="105"/>
      <c r="G307" s="113"/>
      <c r="H307" s="114"/>
      <c r="I307" s="114"/>
      <c r="J307" s="114"/>
      <c r="K307" s="114"/>
      <c r="L307" s="114"/>
      <c r="M307" s="114"/>
      <c r="N307" s="114"/>
      <c r="O307" s="114"/>
      <c r="P307" s="114"/>
      <c r="Q307" s="114"/>
      <c r="R307" s="114"/>
      <c r="S307" s="114"/>
      <c r="T307" s="114"/>
      <c r="U307" s="114"/>
      <c r="V307" s="114"/>
      <c r="W307" s="114"/>
      <c r="X307" s="114"/>
      <c r="Y307" s="114"/>
      <c r="Z307" s="114"/>
      <c r="AA307" s="114"/>
      <c r="AB307" s="114"/>
      <c r="AC307" s="114"/>
      <c r="AD307" s="114"/>
      <c r="AE307" s="114"/>
    </row>
    <row r="308" spans="1:31" x14ac:dyDescent="0.25">
      <c r="A308" s="140" t="s">
        <v>182</v>
      </c>
      <c r="B308" s="140" t="s">
        <v>44</v>
      </c>
      <c r="C308" s="140" t="s">
        <v>812</v>
      </c>
      <c r="D308" s="149" t="s">
        <v>545</v>
      </c>
      <c r="E308" s="139" t="s">
        <v>691</v>
      </c>
      <c r="F308" s="105"/>
      <c r="G308" s="113"/>
      <c r="H308" s="114"/>
      <c r="I308" s="114"/>
      <c r="J308" s="114"/>
      <c r="K308" s="114"/>
      <c r="L308" s="114"/>
      <c r="M308" s="114"/>
      <c r="N308" s="114"/>
      <c r="O308" s="114"/>
      <c r="P308" s="114"/>
      <c r="Q308" s="114"/>
      <c r="R308" s="114"/>
      <c r="S308" s="114"/>
      <c r="T308" s="114"/>
      <c r="U308" s="114"/>
      <c r="V308" s="114"/>
      <c r="W308" s="114"/>
      <c r="X308" s="114"/>
      <c r="Y308" s="114"/>
      <c r="Z308" s="114"/>
      <c r="AA308" s="114"/>
      <c r="AB308" s="114"/>
      <c r="AC308" s="114"/>
      <c r="AD308" s="114"/>
      <c r="AE308" s="114"/>
    </row>
    <row r="309" spans="1:31" x14ac:dyDescent="0.25">
      <c r="A309" s="140" t="s">
        <v>182</v>
      </c>
      <c r="B309" s="140" t="s">
        <v>44</v>
      </c>
      <c r="C309" s="140" t="s">
        <v>812</v>
      </c>
      <c r="D309" s="149" t="s">
        <v>839</v>
      </c>
      <c r="E309" s="139" t="s">
        <v>692</v>
      </c>
      <c r="F309" s="105"/>
      <c r="G309" s="113"/>
      <c r="H309" s="114"/>
      <c r="I309" s="114"/>
      <c r="J309" s="114"/>
      <c r="K309" s="114"/>
      <c r="L309" s="114"/>
      <c r="M309" s="114"/>
      <c r="N309" s="114"/>
      <c r="O309" s="114"/>
      <c r="P309" s="114"/>
      <c r="Q309" s="114"/>
      <c r="R309" s="114"/>
      <c r="S309" s="114"/>
      <c r="T309" s="114"/>
      <c r="U309" s="114"/>
      <c r="V309" s="114"/>
      <c r="W309" s="114"/>
      <c r="X309" s="114"/>
      <c r="Y309" s="114"/>
      <c r="Z309" s="114"/>
      <c r="AA309" s="114"/>
      <c r="AB309" s="114"/>
      <c r="AC309" s="114"/>
      <c r="AD309" s="114"/>
      <c r="AE309" s="114"/>
    </row>
    <row r="310" spans="1:31" x14ac:dyDescent="0.25">
      <c r="A310" s="140" t="s">
        <v>182</v>
      </c>
      <c r="B310" s="140" t="s">
        <v>44</v>
      </c>
      <c r="C310" s="140" t="s">
        <v>812</v>
      </c>
      <c r="D310" s="149" t="s">
        <v>146</v>
      </c>
      <c r="E310" s="139" t="s">
        <v>147</v>
      </c>
      <c r="F310" s="105"/>
      <c r="G310" s="113"/>
      <c r="H310" s="114"/>
      <c r="I310" s="114"/>
      <c r="J310" s="114"/>
      <c r="K310" s="114"/>
      <c r="L310" s="114"/>
      <c r="M310" s="114"/>
      <c r="N310" s="114"/>
      <c r="O310" s="114"/>
      <c r="P310" s="114"/>
      <c r="Q310" s="114"/>
      <c r="R310" s="114"/>
      <c r="S310" s="114"/>
      <c r="T310" s="114"/>
      <c r="U310" s="114"/>
      <c r="V310" s="114"/>
      <c r="W310" s="114"/>
      <c r="X310" s="114"/>
      <c r="Y310" s="114"/>
      <c r="Z310" s="114"/>
      <c r="AA310" s="114"/>
      <c r="AB310" s="114"/>
      <c r="AC310" s="114"/>
      <c r="AD310" s="114"/>
      <c r="AE310" s="114"/>
    </row>
    <row r="311" spans="1:31" x14ac:dyDescent="0.25">
      <c r="A311" s="140" t="s">
        <v>182</v>
      </c>
      <c r="B311" s="140" t="s">
        <v>44</v>
      </c>
      <c r="C311" s="140" t="s">
        <v>69</v>
      </c>
      <c r="D311" s="149" t="s">
        <v>470</v>
      </c>
      <c r="E311" s="139" t="s">
        <v>718</v>
      </c>
      <c r="F311" s="105"/>
      <c r="G311" s="113"/>
      <c r="H311" s="114"/>
      <c r="I311" s="114"/>
      <c r="J311" s="114"/>
      <c r="K311" s="114"/>
      <c r="L311" s="114"/>
      <c r="M311" s="114"/>
      <c r="N311" s="114"/>
      <c r="O311" s="114"/>
      <c r="P311" s="114"/>
      <c r="Q311" s="114"/>
      <c r="R311" s="114"/>
      <c r="S311" s="114"/>
      <c r="T311" s="114"/>
      <c r="U311" s="114"/>
      <c r="V311" s="114"/>
      <c r="W311" s="114"/>
      <c r="X311" s="114"/>
      <c r="Y311" s="114"/>
      <c r="Z311" s="114"/>
      <c r="AA311" s="114"/>
      <c r="AB311" s="114"/>
      <c r="AC311" s="114"/>
      <c r="AD311" s="114"/>
      <c r="AE311" s="114"/>
    </row>
    <row r="312" spans="1:31" x14ac:dyDescent="0.25">
      <c r="A312" s="140" t="s">
        <v>182</v>
      </c>
      <c r="B312" s="140" t="s">
        <v>44</v>
      </c>
      <c r="C312" s="140" t="s">
        <v>69</v>
      </c>
      <c r="D312" s="149" t="s">
        <v>69</v>
      </c>
      <c r="E312" s="139" t="s">
        <v>70</v>
      </c>
      <c r="F312" s="105"/>
      <c r="G312" s="113"/>
      <c r="H312" s="114"/>
      <c r="I312" s="114"/>
      <c r="J312" s="114"/>
      <c r="K312" s="114"/>
      <c r="L312" s="114"/>
      <c r="M312" s="114"/>
      <c r="N312" s="114"/>
      <c r="O312" s="114"/>
      <c r="P312" s="114"/>
      <c r="Q312" s="114"/>
      <c r="R312" s="114"/>
      <c r="S312" s="114"/>
      <c r="T312" s="114"/>
      <c r="U312" s="114"/>
      <c r="V312" s="114"/>
      <c r="W312" s="114"/>
      <c r="X312" s="114"/>
      <c r="Y312" s="114"/>
      <c r="Z312" s="114"/>
      <c r="AA312" s="114"/>
      <c r="AB312" s="114"/>
      <c r="AC312" s="114"/>
      <c r="AD312" s="114"/>
      <c r="AE312" s="114"/>
    </row>
    <row r="313" spans="1:31" x14ac:dyDescent="0.25">
      <c r="A313" s="140" t="s">
        <v>182</v>
      </c>
      <c r="B313" s="140" t="s">
        <v>73</v>
      </c>
      <c r="C313" s="140" t="s">
        <v>74</v>
      </c>
      <c r="D313" s="149" t="s">
        <v>454</v>
      </c>
      <c r="E313" s="139" t="s">
        <v>724</v>
      </c>
      <c r="F313" s="105"/>
      <c r="G313" s="113"/>
      <c r="H313" s="114"/>
      <c r="I313" s="114"/>
      <c r="J313" s="114"/>
      <c r="K313" s="114"/>
      <c r="L313" s="114"/>
      <c r="M313" s="114"/>
      <c r="N313" s="114"/>
      <c r="O313" s="114"/>
      <c r="P313" s="114"/>
      <c r="Q313" s="114"/>
      <c r="R313" s="114"/>
      <c r="S313" s="114"/>
      <c r="T313" s="114"/>
      <c r="U313" s="114"/>
      <c r="V313" s="114"/>
      <c r="W313" s="114"/>
      <c r="X313" s="114"/>
      <c r="Y313" s="114"/>
      <c r="Z313" s="114"/>
      <c r="AA313" s="114"/>
      <c r="AB313" s="114"/>
      <c r="AC313" s="114"/>
      <c r="AD313" s="114"/>
      <c r="AE313" s="114"/>
    </row>
    <row r="314" spans="1:31" x14ac:dyDescent="0.25">
      <c r="A314" s="140" t="s">
        <v>182</v>
      </c>
      <c r="B314" s="140" t="s">
        <v>73</v>
      </c>
      <c r="C314" s="140" t="s">
        <v>74</v>
      </c>
      <c r="D314" s="149" t="s">
        <v>206</v>
      </c>
      <c r="E314" s="139" t="s">
        <v>207</v>
      </c>
      <c r="F314" s="105"/>
      <c r="G314" s="113"/>
      <c r="H314" s="114"/>
      <c r="I314" s="114"/>
      <c r="J314" s="114"/>
      <c r="K314" s="114"/>
      <c r="L314" s="114"/>
      <c r="M314" s="114"/>
      <c r="N314" s="114"/>
      <c r="O314" s="114"/>
      <c r="P314" s="114"/>
      <c r="Q314" s="114"/>
      <c r="R314" s="114"/>
      <c r="S314" s="114"/>
      <c r="T314" s="114"/>
      <c r="U314" s="114"/>
      <c r="V314" s="114"/>
      <c r="W314" s="114"/>
      <c r="X314" s="114"/>
      <c r="Y314" s="114"/>
      <c r="Z314" s="114"/>
      <c r="AA314" s="114"/>
      <c r="AB314" s="114"/>
      <c r="AC314" s="114"/>
      <c r="AD314" s="114"/>
      <c r="AE314" s="114"/>
    </row>
    <row r="315" spans="1:31" x14ac:dyDescent="0.25">
      <c r="A315" s="140" t="s">
        <v>182</v>
      </c>
      <c r="B315" s="140" t="s">
        <v>73</v>
      </c>
      <c r="C315" s="140" t="s">
        <v>74</v>
      </c>
      <c r="D315" s="149" t="s">
        <v>459</v>
      </c>
      <c r="E315" s="139" t="s">
        <v>725</v>
      </c>
      <c r="F315" s="105"/>
      <c r="G315" s="113"/>
      <c r="H315" s="114"/>
      <c r="I315" s="114"/>
      <c r="J315" s="114"/>
      <c r="K315" s="114"/>
      <c r="L315" s="114"/>
      <c r="M315" s="114"/>
      <c r="N315" s="114"/>
      <c r="O315" s="114"/>
      <c r="P315" s="114"/>
      <c r="Q315" s="114"/>
      <c r="R315" s="114"/>
      <c r="S315" s="114"/>
      <c r="T315" s="114"/>
      <c r="U315" s="114"/>
      <c r="V315" s="114"/>
      <c r="W315" s="114"/>
      <c r="X315" s="114"/>
      <c r="Y315" s="114"/>
      <c r="Z315" s="114"/>
      <c r="AA315" s="114"/>
      <c r="AB315" s="114"/>
      <c r="AC315" s="114"/>
      <c r="AD315" s="114"/>
      <c r="AE315" s="114"/>
    </row>
    <row r="316" spans="1:31" x14ac:dyDescent="0.25">
      <c r="A316" s="140" t="s">
        <v>182</v>
      </c>
      <c r="B316" s="140" t="s">
        <v>73</v>
      </c>
      <c r="C316" s="140" t="s">
        <v>74</v>
      </c>
      <c r="D316" s="149" t="s">
        <v>208</v>
      </c>
      <c r="E316" s="139" t="s">
        <v>209</v>
      </c>
      <c r="F316" s="105"/>
      <c r="G316" s="113"/>
      <c r="H316" s="114"/>
      <c r="I316" s="114"/>
      <c r="J316" s="114"/>
      <c r="K316" s="114"/>
      <c r="L316" s="114"/>
      <c r="M316" s="114"/>
      <c r="N316" s="114"/>
      <c r="O316" s="114"/>
      <c r="P316" s="114"/>
      <c r="Q316" s="114"/>
      <c r="R316" s="114"/>
      <c r="S316" s="114"/>
      <c r="T316" s="114"/>
      <c r="U316" s="114"/>
      <c r="V316" s="114"/>
      <c r="W316" s="114"/>
      <c r="X316" s="114"/>
      <c r="Y316" s="114"/>
      <c r="Z316" s="114"/>
      <c r="AA316" s="114"/>
      <c r="AB316" s="114"/>
      <c r="AC316" s="114"/>
      <c r="AD316" s="114"/>
      <c r="AE316" s="114"/>
    </row>
    <row r="317" spans="1:31" x14ac:dyDescent="0.25">
      <c r="A317" s="140" t="s">
        <v>182</v>
      </c>
      <c r="B317" s="140" t="s">
        <v>73</v>
      </c>
      <c r="C317" s="140" t="s">
        <v>74</v>
      </c>
      <c r="D317" s="149" t="s">
        <v>210</v>
      </c>
      <c r="E317" s="139" t="s">
        <v>211</v>
      </c>
      <c r="F317" s="105"/>
      <c r="G317" s="113"/>
      <c r="H317" s="114"/>
      <c r="I317" s="114"/>
      <c r="J317" s="114"/>
      <c r="K317" s="114"/>
      <c r="L317" s="114"/>
      <c r="M317" s="114"/>
      <c r="N317" s="114"/>
      <c r="O317" s="114"/>
      <c r="P317" s="114"/>
      <c r="Q317" s="114"/>
      <c r="R317" s="114"/>
      <c r="S317" s="114"/>
      <c r="T317" s="114"/>
      <c r="U317" s="114"/>
      <c r="V317" s="114"/>
      <c r="W317" s="114"/>
      <c r="X317" s="114"/>
      <c r="Y317" s="114"/>
      <c r="Z317" s="114"/>
      <c r="AA317" s="114"/>
      <c r="AB317" s="114"/>
      <c r="AC317" s="114"/>
      <c r="AD317" s="114"/>
      <c r="AE317" s="114"/>
    </row>
    <row r="318" spans="1:31" x14ac:dyDescent="0.25">
      <c r="A318" s="140" t="s">
        <v>182</v>
      </c>
      <c r="B318" s="140" t="s">
        <v>73</v>
      </c>
      <c r="C318" s="140" t="s">
        <v>74</v>
      </c>
      <c r="D318" s="149" t="s">
        <v>212</v>
      </c>
      <c r="E318" s="139" t="s">
        <v>213</v>
      </c>
      <c r="F318" s="105"/>
      <c r="G318" s="113"/>
      <c r="H318" s="114"/>
      <c r="I318" s="114"/>
      <c r="J318" s="114"/>
      <c r="K318" s="114"/>
      <c r="L318" s="114"/>
      <c r="M318" s="114"/>
      <c r="N318" s="114"/>
      <c r="O318" s="114"/>
      <c r="P318" s="114"/>
      <c r="Q318" s="114"/>
      <c r="R318" s="114"/>
      <c r="S318" s="114"/>
      <c r="T318" s="114"/>
      <c r="U318" s="114"/>
      <c r="V318" s="114"/>
      <c r="W318" s="114"/>
      <c r="X318" s="114"/>
      <c r="Y318" s="114"/>
      <c r="Z318" s="114"/>
      <c r="AA318" s="114"/>
      <c r="AB318" s="114"/>
      <c r="AC318" s="114"/>
      <c r="AD318" s="114"/>
      <c r="AE318" s="114"/>
    </row>
    <row r="319" spans="1:31" x14ac:dyDescent="0.25">
      <c r="A319" s="140" t="s">
        <v>182</v>
      </c>
      <c r="B319" s="140" t="s">
        <v>73</v>
      </c>
      <c r="C319" s="140" t="s">
        <v>74</v>
      </c>
      <c r="D319" s="149" t="s">
        <v>74</v>
      </c>
      <c r="E319" s="139" t="s">
        <v>75</v>
      </c>
      <c r="F319" s="105"/>
      <c r="G319" s="113"/>
      <c r="H319" s="114"/>
      <c r="I319" s="114"/>
      <c r="J319" s="114"/>
      <c r="K319" s="114"/>
      <c r="L319" s="114"/>
      <c r="M319" s="114"/>
      <c r="N319" s="114"/>
      <c r="O319" s="114"/>
      <c r="P319" s="114"/>
      <c r="Q319" s="114"/>
      <c r="R319" s="114"/>
      <c r="S319" s="114"/>
      <c r="T319" s="114"/>
      <c r="U319" s="114"/>
      <c r="V319" s="114"/>
      <c r="W319" s="114"/>
      <c r="X319" s="114"/>
      <c r="Y319" s="114"/>
      <c r="Z319" s="114"/>
      <c r="AA319" s="114"/>
      <c r="AB319" s="114"/>
      <c r="AC319" s="114"/>
      <c r="AD319" s="114"/>
      <c r="AE319" s="114"/>
    </row>
    <row r="320" spans="1:31" x14ac:dyDescent="0.25">
      <c r="A320" s="151" t="s">
        <v>182</v>
      </c>
      <c r="B320" s="151" t="s">
        <v>73</v>
      </c>
      <c r="C320" s="151" t="s">
        <v>74</v>
      </c>
      <c r="D320" s="151" t="s">
        <v>450</v>
      </c>
      <c r="E320" s="151" t="s">
        <v>126</v>
      </c>
      <c r="F320" s="105"/>
      <c r="G320" s="113"/>
      <c r="H320" s="114"/>
      <c r="I320" s="114"/>
      <c r="J320" s="114"/>
      <c r="K320" s="114"/>
      <c r="L320" s="114"/>
      <c r="M320" s="114"/>
      <c r="N320" s="114"/>
      <c r="O320" s="114"/>
      <c r="P320" s="114"/>
      <c r="Q320" s="114"/>
      <c r="R320" s="114"/>
      <c r="S320" s="114"/>
      <c r="T320" s="114"/>
      <c r="U320" s="114"/>
      <c r="V320" s="114"/>
      <c r="W320" s="114"/>
      <c r="X320" s="114"/>
      <c r="Y320" s="114"/>
      <c r="Z320" s="114"/>
      <c r="AA320" s="114"/>
      <c r="AB320" s="114"/>
      <c r="AC320" s="114"/>
      <c r="AD320" s="114"/>
      <c r="AE320" s="114"/>
    </row>
    <row r="321" spans="1:31" x14ac:dyDescent="0.25">
      <c r="A321" s="140" t="s">
        <v>182</v>
      </c>
      <c r="B321" s="140" t="s">
        <v>73</v>
      </c>
      <c r="C321" s="140" t="s">
        <v>74</v>
      </c>
      <c r="D321" s="149" t="s">
        <v>464</v>
      </c>
      <c r="E321" s="139" t="s">
        <v>726</v>
      </c>
      <c r="F321" s="105"/>
      <c r="G321" s="113"/>
      <c r="H321" s="114"/>
      <c r="I321" s="114"/>
      <c r="J321" s="114"/>
      <c r="K321" s="114"/>
      <c r="L321" s="114"/>
      <c r="M321" s="114"/>
      <c r="N321" s="114"/>
      <c r="O321" s="114"/>
      <c r="P321" s="114"/>
      <c r="Q321" s="114"/>
      <c r="R321" s="114"/>
      <c r="S321" s="114"/>
      <c r="T321" s="114"/>
      <c r="U321" s="114"/>
      <c r="V321" s="114"/>
      <c r="W321" s="114"/>
      <c r="X321" s="114"/>
      <c r="Y321" s="114"/>
      <c r="Z321" s="114"/>
      <c r="AA321" s="114"/>
      <c r="AB321" s="114"/>
      <c r="AC321" s="114"/>
      <c r="AD321" s="114"/>
      <c r="AE321" s="114"/>
    </row>
    <row r="322" spans="1:31" x14ac:dyDescent="0.25">
      <c r="A322" s="140" t="s">
        <v>182</v>
      </c>
      <c r="B322" s="140" t="s">
        <v>73</v>
      </c>
      <c r="C322" s="140" t="s">
        <v>74</v>
      </c>
      <c r="D322" s="149" t="s">
        <v>214</v>
      </c>
      <c r="E322" s="139" t="s">
        <v>215</v>
      </c>
      <c r="F322" s="105"/>
      <c r="G322" s="113"/>
      <c r="H322" s="114"/>
      <c r="I322" s="114"/>
      <c r="J322" s="114"/>
      <c r="K322" s="114"/>
      <c r="L322" s="114"/>
      <c r="M322" s="114"/>
      <c r="N322" s="114"/>
      <c r="O322" s="114"/>
      <c r="P322" s="114"/>
      <c r="Q322" s="114"/>
      <c r="R322" s="114"/>
      <c r="S322" s="114"/>
      <c r="T322" s="114"/>
      <c r="U322" s="114"/>
      <c r="V322" s="114"/>
      <c r="W322" s="114"/>
      <c r="X322" s="114"/>
      <c r="Y322" s="114"/>
      <c r="Z322" s="114"/>
      <c r="AA322" s="114"/>
      <c r="AB322" s="114"/>
      <c r="AC322" s="114"/>
      <c r="AD322" s="114"/>
      <c r="AE322" s="114"/>
    </row>
    <row r="323" spans="1:31" x14ac:dyDescent="0.25">
      <c r="A323" s="140" t="s">
        <v>182</v>
      </c>
      <c r="B323" s="140" t="s">
        <v>73</v>
      </c>
      <c r="C323" s="140" t="s">
        <v>74</v>
      </c>
      <c r="D323" s="149" t="s">
        <v>466</v>
      </c>
      <c r="E323" s="139" t="s">
        <v>727</v>
      </c>
      <c r="F323" s="105"/>
      <c r="G323" s="113"/>
      <c r="H323" s="114"/>
      <c r="I323" s="114"/>
      <c r="J323" s="114"/>
      <c r="K323" s="114"/>
      <c r="L323" s="114"/>
      <c r="M323" s="114"/>
      <c r="N323" s="114"/>
      <c r="O323" s="114"/>
      <c r="P323" s="114"/>
      <c r="Q323" s="114"/>
      <c r="R323" s="114"/>
      <c r="S323" s="114"/>
      <c r="T323" s="114"/>
      <c r="U323" s="114"/>
      <c r="V323" s="114"/>
      <c r="W323" s="114"/>
      <c r="X323" s="114"/>
      <c r="Y323" s="114"/>
      <c r="Z323" s="114"/>
      <c r="AA323" s="114"/>
      <c r="AB323" s="114"/>
      <c r="AC323" s="114"/>
      <c r="AD323" s="114"/>
      <c r="AE323" s="114"/>
    </row>
    <row r="324" spans="1:31" x14ac:dyDescent="0.25">
      <c r="A324" s="140" t="s">
        <v>182</v>
      </c>
      <c r="B324" s="140" t="s">
        <v>73</v>
      </c>
      <c r="C324" s="140" t="s">
        <v>74</v>
      </c>
      <c r="D324" s="149" t="s">
        <v>125</v>
      </c>
      <c r="E324" s="139" t="s">
        <v>126</v>
      </c>
      <c r="F324" s="105"/>
      <c r="G324" s="113"/>
      <c r="H324" s="114"/>
      <c r="I324" s="114"/>
      <c r="J324" s="114"/>
      <c r="K324" s="114"/>
      <c r="L324" s="114"/>
      <c r="M324" s="114"/>
      <c r="N324" s="114"/>
      <c r="O324" s="114"/>
      <c r="P324" s="114"/>
      <c r="Q324" s="114"/>
      <c r="R324" s="114"/>
      <c r="S324" s="114"/>
      <c r="T324" s="114"/>
      <c r="U324" s="114"/>
      <c r="V324" s="114"/>
      <c r="W324" s="114"/>
      <c r="X324" s="114"/>
      <c r="Y324" s="114"/>
      <c r="Z324" s="114"/>
      <c r="AA324" s="114"/>
      <c r="AB324" s="114"/>
      <c r="AC324" s="114"/>
      <c r="AD324" s="114"/>
      <c r="AE324" s="114"/>
    </row>
    <row r="325" spans="1:31" x14ac:dyDescent="0.25">
      <c r="A325" s="140" t="s">
        <v>182</v>
      </c>
      <c r="B325" s="140" t="s">
        <v>73</v>
      </c>
      <c r="C325" s="140" t="s">
        <v>74</v>
      </c>
      <c r="D325" s="149" t="s">
        <v>840</v>
      </c>
      <c r="E325" s="139" t="s">
        <v>728</v>
      </c>
      <c r="F325" s="105"/>
      <c r="G325" s="113"/>
      <c r="H325" s="114"/>
      <c r="I325" s="114"/>
      <c r="J325" s="114"/>
      <c r="K325" s="114"/>
      <c r="L325" s="114"/>
      <c r="M325" s="114"/>
      <c r="N325" s="114"/>
      <c r="O325" s="114"/>
      <c r="P325" s="114"/>
      <c r="Q325" s="114"/>
      <c r="R325" s="114"/>
      <c r="S325" s="114"/>
      <c r="T325" s="114"/>
      <c r="U325" s="114"/>
      <c r="V325" s="114"/>
      <c r="W325" s="114"/>
      <c r="X325" s="114"/>
      <c r="Y325" s="114"/>
      <c r="Z325" s="114"/>
      <c r="AA325" s="114"/>
      <c r="AB325" s="114"/>
      <c r="AC325" s="114"/>
      <c r="AD325" s="114"/>
      <c r="AE325" s="114"/>
    </row>
    <row r="326" spans="1:31" x14ac:dyDescent="0.25">
      <c r="A326" s="140" t="s">
        <v>182</v>
      </c>
      <c r="B326" s="140" t="s">
        <v>73</v>
      </c>
      <c r="C326" s="140" t="s">
        <v>116</v>
      </c>
      <c r="D326" s="149" t="s">
        <v>117</v>
      </c>
      <c r="E326" s="139" t="s">
        <v>118</v>
      </c>
      <c r="F326" s="105"/>
      <c r="G326" s="113"/>
      <c r="H326" s="114"/>
      <c r="I326" s="114"/>
      <c r="J326" s="114"/>
      <c r="K326" s="114"/>
      <c r="L326" s="114"/>
      <c r="M326" s="114"/>
      <c r="N326" s="114"/>
      <c r="O326" s="114"/>
      <c r="P326" s="114"/>
      <c r="Q326" s="114"/>
      <c r="R326" s="114"/>
      <c r="S326" s="114"/>
      <c r="T326" s="114"/>
      <c r="U326" s="114"/>
      <c r="V326" s="114"/>
      <c r="W326" s="114"/>
      <c r="X326" s="114"/>
      <c r="Y326" s="114"/>
      <c r="Z326" s="114"/>
      <c r="AA326" s="114"/>
      <c r="AB326" s="114"/>
      <c r="AC326" s="114"/>
      <c r="AD326" s="114"/>
      <c r="AE326" s="114"/>
    </row>
    <row r="327" spans="1:31" x14ac:dyDescent="0.25">
      <c r="A327" s="140" t="s">
        <v>182</v>
      </c>
      <c r="B327" s="140" t="s">
        <v>73</v>
      </c>
      <c r="C327" s="140" t="s">
        <v>116</v>
      </c>
      <c r="D327" s="149" t="s">
        <v>216</v>
      </c>
      <c r="E327" s="139" t="s">
        <v>217</v>
      </c>
      <c r="F327" s="105"/>
      <c r="G327" s="113"/>
      <c r="H327" s="114"/>
      <c r="I327" s="114"/>
      <c r="J327" s="114"/>
      <c r="K327" s="114"/>
      <c r="L327" s="114"/>
      <c r="M327" s="114"/>
      <c r="N327" s="114"/>
      <c r="O327" s="114"/>
      <c r="P327" s="114"/>
      <c r="Q327" s="114"/>
      <c r="R327" s="114"/>
      <c r="S327" s="114"/>
      <c r="T327" s="114"/>
      <c r="U327" s="114"/>
      <c r="V327" s="114"/>
      <c r="W327" s="114"/>
      <c r="X327" s="114"/>
      <c r="Y327" s="114"/>
      <c r="Z327" s="114"/>
      <c r="AA327" s="114"/>
      <c r="AB327" s="114"/>
      <c r="AC327" s="114"/>
      <c r="AD327" s="114"/>
      <c r="AE327" s="114"/>
    </row>
    <row r="328" spans="1:31" x14ac:dyDescent="0.25">
      <c r="A328" s="140" t="s">
        <v>182</v>
      </c>
      <c r="B328" s="140" t="s">
        <v>73</v>
      </c>
      <c r="C328" s="140" t="s">
        <v>116</v>
      </c>
      <c r="D328" s="149" t="s">
        <v>841</v>
      </c>
      <c r="E328" s="139" t="s">
        <v>753</v>
      </c>
      <c r="F328" s="105"/>
      <c r="G328" s="113"/>
      <c r="H328" s="114"/>
      <c r="I328" s="114"/>
      <c r="J328" s="114"/>
      <c r="K328" s="114"/>
      <c r="L328" s="114"/>
      <c r="M328" s="114"/>
      <c r="N328" s="114"/>
      <c r="O328" s="114"/>
      <c r="P328" s="114"/>
      <c r="Q328" s="114"/>
      <c r="R328" s="114"/>
      <c r="S328" s="114"/>
      <c r="T328" s="114"/>
      <c r="U328" s="114"/>
      <c r="V328" s="114"/>
      <c r="W328" s="114"/>
      <c r="X328" s="114"/>
      <c r="Y328" s="114"/>
      <c r="Z328" s="114"/>
      <c r="AA328" s="114"/>
      <c r="AB328" s="114"/>
      <c r="AC328" s="114"/>
      <c r="AD328" s="114"/>
      <c r="AE328" s="114"/>
    </row>
    <row r="329" spans="1:31" x14ac:dyDescent="0.25">
      <c r="A329" s="140" t="s">
        <v>182</v>
      </c>
      <c r="B329" s="140" t="s">
        <v>73</v>
      </c>
      <c r="C329" s="140" t="s">
        <v>119</v>
      </c>
      <c r="D329" s="149" t="s">
        <v>119</v>
      </c>
      <c r="E329" s="139" t="s">
        <v>120</v>
      </c>
      <c r="F329" s="105"/>
      <c r="G329" s="113"/>
      <c r="H329" s="114"/>
      <c r="I329" s="114"/>
      <c r="J329" s="114"/>
      <c r="K329" s="114"/>
      <c r="L329" s="114"/>
      <c r="M329" s="114"/>
      <c r="N329" s="114"/>
      <c r="O329" s="114"/>
      <c r="P329" s="114"/>
      <c r="Q329" s="114"/>
      <c r="R329" s="114"/>
      <c r="S329" s="114"/>
      <c r="T329" s="114"/>
      <c r="U329" s="114"/>
      <c r="V329" s="114"/>
      <c r="W329" s="114"/>
      <c r="X329" s="114"/>
      <c r="Y329" s="114"/>
      <c r="Z329" s="114"/>
      <c r="AA329" s="114"/>
      <c r="AB329" s="114"/>
      <c r="AC329" s="114"/>
      <c r="AD329" s="114"/>
      <c r="AE329" s="114"/>
    </row>
    <row r="330" spans="1:31" x14ac:dyDescent="0.25">
      <c r="A330" s="140" t="s">
        <v>182</v>
      </c>
      <c r="B330" s="140" t="s">
        <v>73</v>
      </c>
      <c r="C330" s="140" t="s">
        <v>119</v>
      </c>
      <c r="D330" s="149" t="s">
        <v>148</v>
      </c>
      <c r="E330" s="139" t="s">
        <v>149</v>
      </c>
      <c r="F330" s="105"/>
      <c r="G330" s="113"/>
      <c r="H330" s="114"/>
      <c r="I330" s="114"/>
      <c r="J330" s="114"/>
      <c r="K330" s="114"/>
      <c r="L330" s="114"/>
      <c r="M330" s="114"/>
      <c r="N330" s="114"/>
      <c r="O330" s="114"/>
      <c r="P330" s="114"/>
      <c r="Q330" s="114"/>
      <c r="R330" s="114"/>
      <c r="S330" s="114"/>
      <c r="T330" s="114"/>
      <c r="U330" s="114"/>
      <c r="V330" s="114"/>
      <c r="W330" s="114"/>
      <c r="X330" s="114"/>
      <c r="Y330" s="114"/>
      <c r="Z330" s="114"/>
      <c r="AA330" s="114"/>
      <c r="AB330" s="114"/>
      <c r="AC330" s="114"/>
      <c r="AD330" s="114"/>
      <c r="AE330" s="114"/>
    </row>
    <row r="331" spans="1:31" x14ac:dyDescent="0.25">
      <c r="A331" s="140" t="s">
        <v>182</v>
      </c>
      <c r="B331" s="140" t="s">
        <v>41</v>
      </c>
      <c r="C331" s="140" t="s">
        <v>813</v>
      </c>
      <c r="D331" s="149" t="s">
        <v>842</v>
      </c>
      <c r="E331" s="139" t="s">
        <v>698</v>
      </c>
      <c r="F331" s="105"/>
      <c r="G331" s="113"/>
      <c r="H331" s="114"/>
      <c r="I331" s="114"/>
      <c r="J331" s="114"/>
      <c r="K331" s="114"/>
      <c r="L331" s="114"/>
      <c r="M331" s="114"/>
      <c r="N331" s="114"/>
      <c r="O331" s="114"/>
      <c r="P331" s="114"/>
      <c r="Q331" s="114"/>
      <c r="R331" s="114"/>
      <c r="S331" s="114"/>
      <c r="T331" s="114"/>
      <c r="U331" s="114"/>
      <c r="V331" s="114"/>
      <c r="W331" s="114"/>
      <c r="X331" s="114"/>
      <c r="Y331" s="114"/>
      <c r="Z331" s="114"/>
      <c r="AA331" s="114"/>
      <c r="AB331" s="114"/>
      <c r="AC331" s="114"/>
      <c r="AD331" s="114"/>
      <c r="AE331" s="114"/>
    </row>
    <row r="332" spans="1:31" x14ac:dyDescent="0.25">
      <c r="A332" s="140" t="s">
        <v>182</v>
      </c>
      <c r="B332" s="140" t="s">
        <v>41</v>
      </c>
      <c r="C332" s="140" t="s">
        <v>813</v>
      </c>
      <c r="D332" s="149" t="s">
        <v>843</v>
      </c>
      <c r="E332" s="139" t="s">
        <v>699</v>
      </c>
      <c r="F332" s="105"/>
      <c r="G332" s="113"/>
      <c r="H332" s="114"/>
      <c r="I332" s="114"/>
      <c r="J332" s="114"/>
      <c r="K332" s="114"/>
      <c r="L332" s="114"/>
      <c r="M332" s="114"/>
      <c r="N332" s="114"/>
      <c r="O332" s="114"/>
      <c r="P332" s="114"/>
      <c r="Q332" s="114"/>
      <c r="R332" s="114"/>
      <c r="S332" s="114"/>
      <c r="T332" s="114"/>
      <c r="U332" s="114"/>
      <c r="V332" s="114"/>
      <c r="W332" s="114"/>
      <c r="X332" s="114"/>
      <c r="Y332" s="114"/>
      <c r="Z332" s="114"/>
      <c r="AA332" s="114"/>
      <c r="AB332" s="114"/>
      <c r="AC332" s="114"/>
      <c r="AD332" s="114"/>
      <c r="AE332" s="114"/>
    </row>
    <row r="333" spans="1:31" x14ac:dyDescent="0.25">
      <c r="A333" s="140" t="s">
        <v>182</v>
      </c>
      <c r="B333" s="140" t="s">
        <v>41</v>
      </c>
      <c r="C333" s="140" t="s">
        <v>813</v>
      </c>
      <c r="D333" s="149" t="s">
        <v>497</v>
      </c>
      <c r="E333" s="139" t="s">
        <v>700</v>
      </c>
      <c r="F333" s="105"/>
      <c r="G333" s="113"/>
      <c r="H333" s="114"/>
      <c r="I333" s="114"/>
      <c r="J333" s="114"/>
      <c r="K333" s="114"/>
      <c r="L333" s="114"/>
      <c r="M333" s="114"/>
      <c r="N333" s="114"/>
      <c r="O333" s="114"/>
      <c r="P333" s="114"/>
      <c r="Q333" s="114"/>
      <c r="R333" s="114"/>
      <c r="S333" s="114"/>
      <c r="T333" s="114"/>
      <c r="U333" s="114"/>
      <c r="V333" s="114"/>
      <c r="W333" s="114"/>
      <c r="X333" s="114"/>
      <c r="Y333" s="114"/>
      <c r="Z333" s="114"/>
      <c r="AA333" s="114"/>
      <c r="AB333" s="114"/>
      <c r="AC333" s="114"/>
      <c r="AD333" s="114"/>
      <c r="AE333" s="114"/>
    </row>
    <row r="334" spans="1:31" x14ac:dyDescent="0.25">
      <c r="A334" s="140" t="s">
        <v>182</v>
      </c>
      <c r="B334" s="140" t="s">
        <v>41</v>
      </c>
      <c r="C334" s="140" t="s">
        <v>813</v>
      </c>
      <c r="D334" s="149" t="s">
        <v>42</v>
      </c>
      <c r="E334" s="139" t="s">
        <v>43</v>
      </c>
      <c r="F334" s="105"/>
      <c r="G334" s="113"/>
      <c r="H334" s="114"/>
      <c r="I334" s="114"/>
      <c r="J334" s="114"/>
      <c r="K334" s="114"/>
      <c r="L334" s="114"/>
      <c r="M334" s="114"/>
      <c r="N334" s="114"/>
      <c r="O334" s="114"/>
      <c r="P334" s="114"/>
      <c r="Q334" s="114"/>
      <c r="R334" s="114"/>
      <c r="S334" s="114"/>
      <c r="T334" s="114"/>
      <c r="U334" s="114"/>
      <c r="V334" s="114"/>
      <c r="W334" s="114"/>
      <c r="X334" s="114"/>
      <c r="Y334" s="114"/>
      <c r="Z334" s="114"/>
      <c r="AA334" s="114"/>
      <c r="AB334" s="114"/>
      <c r="AC334" s="114"/>
      <c r="AD334" s="114"/>
      <c r="AE334" s="114"/>
    </row>
    <row r="335" spans="1:31" x14ac:dyDescent="0.25">
      <c r="A335" s="140" t="s">
        <v>182</v>
      </c>
      <c r="B335" s="140" t="s">
        <v>41</v>
      </c>
      <c r="C335" s="140" t="s">
        <v>813</v>
      </c>
      <c r="D335" s="149" t="s">
        <v>844</v>
      </c>
      <c r="E335" s="139" t="s">
        <v>701</v>
      </c>
      <c r="F335" s="105"/>
      <c r="G335" s="113"/>
      <c r="H335" s="114"/>
      <c r="I335" s="114"/>
      <c r="J335" s="114"/>
      <c r="K335" s="114"/>
      <c r="L335" s="114"/>
      <c r="M335" s="114"/>
      <c r="N335" s="114"/>
      <c r="O335" s="114"/>
      <c r="P335" s="114"/>
      <c r="Q335" s="114"/>
      <c r="R335" s="114"/>
      <c r="S335" s="114"/>
      <c r="T335" s="114"/>
      <c r="U335" s="114"/>
      <c r="V335" s="114"/>
      <c r="W335" s="114"/>
      <c r="X335" s="114"/>
      <c r="Y335" s="114"/>
      <c r="Z335" s="114"/>
      <c r="AA335" s="114"/>
      <c r="AB335" s="114"/>
      <c r="AC335" s="114"/>
      <c r="AD335" s="114"/>
      <c r="AE335" s="114"/>
    </row>
    <row r="336" spans="1:31" x14ac:dyDescent="0.25">
      <c r="A336" s="140" t="s">
        <v>182</v>
      </c>
      <c r="B336" s="140" t="s">
        <v>41</v>
      </c>
      <c r="C336" s="140" t="s">
        <v>813</v>
      </c>
      <c r="D336" s="149" t="s">
        <v>845</v>
      </c>
      <c r="E336" s="139" t="s">
        <v>702</v>
      </c>
      <c r="F336" s="105"/>
      <c r="G336" s="113"/>
      <c r="H336" s="114"/>
      <c r="I336" s="114"/>
      <c r="J336" s="114"/>
      <c r="K336" s="114"/>
      <c r="L336" s="114"/>
      <c r="M336" s="114"/>
      <c r="N336" s="114"/>
      <c r="O336" s="114"/>
      <c r="P336" s="114"/>
      <c r="Q336" s="114"/>
      <c r="R336" s="114"/>
      <c r="S336" s="114"/>
      <c r="T336" s="114"/>
      <c r="U336" s="114"/>
      <c r="V336" s="114"/>
      <c r="W336" s="114"/>
      <c r="X336" s="114"/>
      <c r="Y336" s="114"/>
      <c r="Z336" s="114"/>
      <c r="AA336" s="114"/>
      <c r="AB336" s="114"/>
      <c r="AC336" s="114"/>
      <c r="AD336" s="114"/>
      <c r="AE336" s="114"/>
    </row>
    <row r="337" spans="1:31" x14ac:dyDescent="0.25">
      <c r="A337" s="140" t="s">
        <v>182</v>
      </c>
      <c r="B337" s="140" t="s">
        <v>41</v>
      </c>
      <c r="C337" s="140" t="s">
        <v>813</v>
      </c>
      <c r="D337" s="149" t="s">
        <v>846</v>
      </c>
      <c r="E337" s="139" t="s">
        <v>703</v>
      </c>
      <c r="F337" s="105"/>
      <c r="G337" s="113"/>
      <c r="H337" s="114"/>
      <c r="I337" s="114"/>
      <c r="J337" s="114"/>
      <c r="K337" s="114"/>
      <c r="L337" s="114"/>
      <c r="M337" s="114"/>
      <c r="N337" s="114"/>
      <c r="O337" s="114"/>
      <c r="P337" s="114"/>
      <c r="Q337" s="114"/>
      <c r="R337" s="114"/>
      <c r="S337" s="114"/>
      <c r="T337" s="114"/>
      <c r="U337" s="114"/>
      <c r="V337" s="114"/>
      <c r="W337" s="114"/>
      <c r="X337" s="114"/>
      <c r="Y337" s="114"/>
      <c r="Z337" s="114"/>
      <c r="AA337" s="114"/>
      <c r="AB337" s="114"/>
      <c r="AC337" s="114"/>
      <c r="AD337" s="114"/>
      <c r="AE337" s="114"/>
    </row>
    <row r="338" spans="1:31" x14ac:dyDescent="0.25">
      <c r="A338" s="140" t="s">
        <v>182</v>
      </c>
      <c r="B338" s="140" t="s">
        <v>41</v>
      </c>
      <c r="C338" s="140" t="s">
        <v>813</v>
      </c>
      <c r="D338" s="149" t="s">
        <v>64</v>
      </c>
      <c r="E338" s="139" t="s">
        <v>65</v>
      </c>
      <c r="F338" s="105"/>
      <c r="G338" s="113"/>
      <c r="H338" s="114"/>
      <c r="I338" s="114"/>
      <c r="J338" s="114"/>
      <c r="K338" s="114"/>
      <c r="L338" s="114"/>
      <c r="M338" s="114"/>
      <c r="N338" s="114"/>
      <c r="O338" s="114"/>
      <c r="P338" s="114"/>
      <c r="Q338" s="114"/>
      <c r="R338" s="114"/>
      <c r="S338" s="114"/>
      <c r="T338" s="114"/>
      <c r="U338" s="114"/>
      <c r="V338" s="114"/>
      <c r="W338" s="114"/>
      <c r="X338" s="114"/>
      <c r="Y338" s="114"/>
      <c r="Z338" s="114"/>
      <c r="AA338" s="114"/>
      <c r="AB338" s="114"/>
      <c r="AC338" s="114"/>
      <c r="AD338" s="114"/>
      <c r="AE338" s="114"/>
    </row>
    <row r="339" spans="1:31" x14ac:dyDescent="0.25">
      <c r="A339" s="140" t="s">
        <v>182</v>
      </c>
      <c r="B339" s="140" t="s">
        <v>41</v>
      </c>
      <c r="C339" s="140" t="s">
        <v>813</v>
      </c>
      <c r="D339" s="149" t="s">
        <v>847</v>
      </c>
      <c r="E339" s="139" t="s">
        <v>704</v>
      </c>
      <c r="F339" s="105"/>
      <c r="G339" s="113"/>
      <c r="H339" s="114"/>
      <c r="I339" s="114"/>
      <c r="J339" s="114"/>
      <c r="K339" s="114"/>
      <c r="L339" s="114"/>
      <c r="M339" s="114"/>
      <c r="N339" s="114"/>
      <c r="O339" s="114"/>
      <c r="P339" s="114"/>
      <c r="Q339" s="114"/>
      <c r="R339" s="114"/>
      <c r="S339" s="114"/>
      <c r="T339" s="114"/>
      <c r="U339" s="114"/>
      <c r="V339" s="114"/>
      <c r="W339" s="114"/>
      <c r="X339" s="114"/>
      <c r="Y339" s="114"/>
      <c r="Z339" s="114"/>
      <c r="AA339" s="114"/>
      <c r="AB339" s="114"/>
      <c r="AC339" s="114"/>
      <c r="AD339" s="114"/>
      <c r="AE339" s="114"/>
    </row>
    <row r="340" spans="1:31" x14ac:dyDescent="0.25">
      <c r="A340" s="140" t="s">
        <v>182</v>
      </c>
      <c r="B340" s="140" t="s">
        <v>41</v>
      </c>
      <c r="C340" s="140" t="s">
        <v>813</v>
      </c>
      <c r="D340" s="149" t="s">
        <v>504</v>
      </c>
      <c r="E340" s="139" t="s">
        <v>705</v>
      </c>
      <c r="F340" s="105"/>
      <c r="G340" s="113"/>
      <c r="H340" s="114"/>
      <c r="I340" s="114"/>
      <c r="J340" s="114"/>
      <c r="K340" s="114"/>
      <c r="L340" s="114"/>
      <c r="M340" s="114"/>
      <c r="N340" s="114"/>
      <c r="O340" s="114"/>
      <c r="P340" s="114"/>
      <c r="Q340" s="114"/>
      <c r="R340" s="114"/>
      <c r="S340" s="114"/>
      <c r="T340" s="114"/>
      <c r="U340" s="114"/>
      <c r="V340" s="114"/>
      <c r="W340" s="114"/>
      <c r="X340" s="114"/>
      <c r="Y340" s="114"/>
      <c r="Z340" s="114"/>
      <c r="AA340" s="114"/>
      <c r="AB340" s="114"/>
      <c r="AC340" s="114"/>
      <c r="AD340" s="114"/>
      <c r="AE340" s="114"/>
    </row>
    <row r="341" spans="1:31" x14ac:dyDescent="0.25">
      <c r="A341" s="140" t="s">
        <v>182</v>
      </c>
      <c r="B341" s="140" t="s">
        <v>41</v>
      </c>
      <c r="C341" s="140" t="s">
        <v>813</v>
      </c>
      <c r="D341" s="149" t="s">
        <v>848</v>
      </c>
      <c r="E341" s="139" t="s">
        <v>706</v>
      </c>
      <c r="F341" s="105"/>
      <c r="G341" s="113"/>
      <c r="H341" s="114"/>
      <c r="I341" s="114"/>
      <c r="J341" s="114"/>
      <c r="K341" s="114"/>
      <c r="L341" s="114"/>
      <c r="M341" s="114"/>
      <c r="N341" s="114"/>
      <c r="O341" s="114"/>
      <c r="P341" s="114"/>
      <c r="Q341" s="114"/>
      <c r="R341" s="114"/>
      <c r="S341" s="114"/>
      <c r="T341" s="114"/>
      <c r="U341" s="114"/>
      <c r="V341" s="114"/>
      <c r="W341" s="114"/>
      <c r="X341" s="114"/>
      <c r="Y341" s="114"/>
      <c r="Z341" s="114"/>
      <c r="AA341" s="114"/>
      <c r="AB341" s="114"/>
      <c r="AC341" s="114"/>
      <c r="AD341" s="114"/>
      <c r="AE341" s="114"/>
    </row>
    <row r="342" spans="1:31" x14ac:dyDescent="0.25">
      <c r="A342" s="140" t="s">
        <v>182</v>
      </c>
      <c r="B342" s="140" t="s">
        <v>41</v>
      </c>
      <c r="C342" s="140" t="s">
        <v>813</v>
      </c>
      <c r="D342" s="149" t="s">
        <v>849</v>
      </c>
      <c r="E342" s="139" t="s">
        <v>707</v>
      </c>
      <c r="F342" s="105"/>
      <c r="G342" s="113"/>
      <c r="H342" s="114"/>
      <c r="I342" s="114"/>
      <c r="J342" s="114"/>
      <c r="K342" s="114"/>
      <c r="L342" s="114"/>
      <c r="M342" s="114"/>
      <c r="N342" s="114"/>
      <c r="O342" s="114"/>
      <c r="P342" s="114"/>
      <c r="Q342" s="114"/>
      <c r="R342" s="114"/>
      <c r="S342" s="114"/>
      <c r="T342" s="114"/>
      <c r="U342" s="114"/>
      <c r="V342" s="114"/>
      <c r="W342" s="114"/>
      <c r="X342" s="114"/>
      <c r="Y342" s="114"/>
      <c r="Z342" s="114"/>
      <c r="AA342" s="114"/>
      <c r="AB342" s="114"/>
      <c r="AC342" s="114"/>
      <c r="AD342" s="114"/>
      <c r="AE342" s="114"/>
    </row>
    <row r="343" spans="1:31" x14ac:dyDescent="0.25">
      <c r="A343" s="140" t="s">
        <v>182</v>
      </c>
      <c r="B343" s="140" t="s">
        <v>41</v>
      </c>
      <c r="C343" s="140" t="s">
        <v>813</v>
      </c>
      <c r="D343" s="149" t="s">
        <v>850</v>
      </c>
      <c r="E343" s="139" t="s">
        <v>708</v>
      </c>
      <c r="F343" s="105"/>
      <c r="G343" s="113"/>
      <c r="H343" s="114"/>
      <c r="I343" s="114"/>
      <c r="J343" s="114"/>
      <c r="K343" s="114"/>
      <c r="L343" s="114"/>
      <c r="M343" s="114"/>
      <c r="N343" s="114"/>
      <c r="O343" s="114"/>
      <c r="P343" s="114"/>
      <c r="Q343" s="114"/>
      <c r="R343" s="114"/>
      <c r="S343" s="114"/>
      <c r="T343" s="114"/>
      <c r="U343" s="114"/>
      <c r="V343" s="114"/>
      <c r="W343" s="114"/>
      <c r="X343" s="114"/>
      <c r="Y343" s="114"/>
      <c r="Z343" s="114"/>
      <c r="AA343" s="114"/>
      <c r="AB343" s="114"/>
      <c r="AC343" s="114"/>
      <c r="AD343" s="114"/>
      <c r="AE343" s="114"/>
    </row>
    <row r="344" spans="1:31" x14ac:dyDescent="0.25">
      <c r="A344" s="140" t="s">
        <v>182</v>
      </c>
      <c r="B344" s="140" t="s">
        <v>41</v>
      </c>
      <c r="C344" s="140" t="s">
        <v>813</v>
      </c>
      <c r="D344" s="149" t="s">
        <v>851</v>
      </c>
      <c r="E344" s="139" t="s">
        <v>709</v>
      </c>
      <c r="F344" s="105"/>
      <c r="G344" s="113"/>
      <c r="H344" s="114"/>
      <c r="I344" s="114"/>
      <c r="J344" s="114"/>
      <c r="K344" s="114"/>
      <c r="L344" s="114"/>
      <c r="M344" s="114"/>
      <c r="N344" s="114"/>
      <c r="O344" s="114"/>
      <c r="P344" s="114"/>
      <c r="Q344" s="114"/>
      <c r="R344" s="114"/>
      <c r="S344" s="114"/>
      <c r="T344" s="114"/>
      <c r="U344" s="114"/>
      <c r="V344" s="114"/>
      <c r="W344" s="114"/>
      <c r="X344" s="114"/>
      <c r="Y344" s="114"/>
      <c r="Z344" s="114"/>
      <c r="AA344" s="114"/>
      <c r="AB344" s="114"/>
      <c r="AC344" s="114"/>
      <c r="AD344" s="114"/>
      <c r="AE344" s="114"/>
    </row>
    <row r="345" spans="1:31" x14ac:dyDescent="0.25">
      <c r="A345" s="140" t="s">
        <v>182</v>
      </c>
      <c r="B345" s="140" t="s">
        <v>55</v>
      </c>
      <c r="C345" s="140" t="s">
        <v>220</v>
      </c>
      <c r="D345" s="149" t="s">
        <v>220</v>
      </c>
      <c r="E345" s="139" t="s">
        <v>221</v>
      </c>
      <c r="F345" s="105"/>
      <c r="G345" s="113"/>
      <c r="H345" s="114"/>
      <c r="I345" s="114"/>
      <c r="J345" s="114"/>
      <c r="K345" s="114"/>
      <c r="L345" s="114"/>
      <c r="M345" s="114"/>
      <c r="N345" s="114"/>
      <c r="O345" s="114"/>
      <c r="P345" s="114"/>
      <c r="Q345" s="114"/>
      <c r="R345" s="114"/>
      <c r="S345" s="114"/>
      <c r="T345" s="114"/>
      <c r="U345" s="114"/>
      <c r="V345" s="114"/>
      <c r="W345" s="114"/>
      <c r="X345" s="114"/>
      <c r="Y345" s="114"/>
      <c r="Z345" s="114"/>
      <c r="AA345" s="114"/>
      <c r="AB345" s="114"/>
      <c r="AC345" s="114"/>
      <c r="AD345" s="114"/>
      <c r="AE345" s="114"/>
    </row>
    <row r="346" spans="1:31" x14ac:dyDescent="0.25">
      <c r="A346" s="140" t="s">
        <v>182</v>
      </c>
      <c r="B346" s="140" t="s">
        <v>55</v>
      </c>
      <c r="C346" s="140" t="s">
        <v>220</v>
      </c>
      <c r="D346" s="149" t="s">
        <v>852</v>
      </c>
      <c r="E346" s="139" t="s">
        <v>696</v>
      </c>
      <c r="F346" s="105"/>
      <c r="G346" s="113"/>
      <c r="H346" s="114"/>
      <c r="I346" s="114"/>
      <c r="J346" s="114"/>
      <c r="K346" s="114"/>
      <c r="L346" s="114"/>
      <c r="M346" s="114"/>
      <c r="N346" s="114"/>
      <c r="O346" s="114"/>
      <c r="P346" s="114"/>
      <c r="Q346" s="114"/>
      <c r="R346" s="114"/>
      <c r="S346" s="114"/>
      <c r="T346" s="114"/>
      <c r="U346" s="114"/>
      <c r="V346" s="114"/>
      <c r="W346" s="114"/>
      <c r="X346" s="114"/>
      <c r="Y346" s="114"/>
      <c r="Z346" s="114"/>
      <c r="AA346" s="114"/>
      <c r="AB346" s="114"/>
      <c r="AC346" s="114"/>
      <c r="AD346" s="114"/>
      <c r="AE346" s="114"/>
    </row>
    <row r="347" spans="1:31" x14ac:dyDescent="0.25">
      <c r="A347" s="140" t="s">
        <v>182</v>
      </c>
      <c r="B347" s="140" t="s">
        <v>55</v>
      </c>
      <c r="C347" s="140" t="s">
        <v>220</v>
      </c>
      <c r="D347" s="149" t="s">
        <v>515</v>
      </c>
      <c r="E347" s="139" t="s">
        <v>697</v>
      </c>
      <c r="F347" s="105"/>
      <c r="G347" s="113"/>
      <c r="H347" s="114"/>
      <c r="I347" s="114"/>
      <c r="J347" s="114"/>
      <c r="K347" s="114"/>
      <c r="L347" s="114"/>
      <c r="M347" s="114"/>
      <c r="N347" s="114"/>
      <c r="O347" s="114"/>
      <c r="P347" s="114"/>
      <c r="Q347" s="114"/>
      <c r="R347" s="114"/>
      <c r="S347" s="114"/>
      <c r="T347" s="114"/>
      <c r="U347" s="114"/>
      <c r="V347" s="114"/>
      <c r="W347" s="114"/>
      <c r="X347" s="114"/>
      <c r="Y347" s="114"/>
      <c r="Z347" s="114"/>
      <c r="AA347" s="114"/>
      <c r="AB347" s="114"/>
      <c r="AC347" s="114"/>
      <c r="AD347" s="114"/>
      <c r="AE347" s="114"/>
    </row>
    <row r="348" spans="1:31" x14ac:dyDescent="0.25">
      <c r="A348" s="140" t="s">
        <v>182</v>
      </c>
      <c r="B348" s="140" t="s">
        <v>55</v>
      </c>
      <c r="C348" s="140" t="s">
        <v>56</v>
      </c>
      <c r="D348" s="149" t="s">
        <v>488</v>
      </c>
      <c r="E348" s="139" t="s">
        <v>711</v>
      </c>
      <c r="F348" s="105"/>
      <c r="G348" s="113"/>
      <c r="H348" s="114"/>
      <c r="I348" s="114"/>
      <c r="J348" s="114"/>
      <c r="K348" s="114"/>
      <c r="L348" s="114"/>
      <c r="M348" s="114"/>
      <c r="N348" s="114"/>
      <c r="O348" s="114"/>
      <c r="P348" s="114"/>
      <c r="Q348" s="114"/>
      <c r="R348" s="114"/>
      <c r="S348" s="114"/>
      <c r="T348" s="114"/>
      <c r="U348" s="114"/>
      <c r="V348" s="114"/>
      <c r="W348" s="114"/>
      <c r="X348" s="114"/>
      <c r="Y348" s="114"/>
      <c r="Z348" s="114"/>
      <c r="AA348" s="114"/>
      <c r="AB348" s="114"/>
      <c r="AC348" s="114"/>
      <c r="AD348" s="114"/>
      <c r="AE348" s="114"/>
    </row>
    <row r="349" spans="1:31" x14ac:dyDescent="0.25">
      <c r="A349" s="140" t="s">
        <v>182</v>
      </c>
      <c r="B349" s="140" t="s">
        <v>55</v>
      </c>
      <c r="C349" s="140" t="s">
        <v>56</v>
      </c>
      <c r="D349" s="149" t="s">
        <v>56</v>
      </c>
      <c r="E349" s="139" t="s">
        <v>57</v>
      </c>
      <c r="F349" s="105"/>
      <c r="G349" s="113"/>
      <c r="H349" s="114"/>
      <c r="I349" s="114"/>
      <c r="J349" s="114"/>
      <c r="K349" s="114"/>
      <c r="L349" s="114"/>
      <c r="M349" s="114"/>
      <c r="N349" s="114"/>
      <c r="O349" s="114"/>
      <c r="P349" s="114"/>
      <c r="Q349" s="114"/>
      <c r="R349" s="114"/>
      <c r="S349" s="114"/>
      <c r="T349" s="114"/>
      <c r="U349" s="114"/>
      <c r="V349" s="114"/>
      <c r="W349" s="114"/>
      <c r="X349" s="114"/>
      <c r="Y349" s="114"/>
      <c r="Z349" s="114"/>
      <c r="AA349" s="114"/>
      <c r="AB349" s="114"/>
      <c r="AC349" s="114"/>
      <c r="AD349" s="114"/>
      <c r="AE349" s="114"/>
    </row>
    <row r="350" spans="1:31" x14ac:dyDescent="0.25">
      <c r="A350" s="140" t="s">
        <v>182</v>
      </c>
      <c r="B350" s="140" t="s">
        <v>55</v>
      </c>
      <c r="C350" s="140" t="s">
        <v>86</v>
      </c>
      <c r="D350" s="149" t="s">
        <v>445</v>
      </c>
      <c r="E350" s="139" t="s">
        <v>719</v>
      </c>
      <c r="F350" s="105"/>
      <c r="G350" s="113"/>
      <c r="H350" s="114"/>
      <c r="I350" s="114"/>
      <c r="J350" s="114"/>
      <c r="K350" s="114"/>
      <c r="L350" s="114"/>
      <c r="M350" s="114"/>
      <c r="N350" s="114"/>
      <c r="O350" s="114"/>
      <c r="P350" s="114"/>
      <c r="Q350" s="114"/>
      <c r="R350" s="114"/>
      <c r="S350" s="114"/>
      <c r="T350" s="114"/>
      <c r="U350" s="114"/>
      <c r="V350" s="114"/>
      <c r="W350" s="114"/>
      <c r="X350" s="114"/>
      <c r="Y350" s="114"/>
      <c r="Z350" s="114"/>
      <c r="AA350" s="114"/>
      <c r="AB350" s="114"/>
      <c r="AC350" s="114"/>
      <c r="AD350" s="114"/>
      <c r="AE350" s="114"/>
    </row>
    <row r="351" spans="1:31" x14ac:dyDescent="0.25">
      <c r="A351" s="140" t="s">
        <v>182</v>
      </c>
      <c r="B351" s="140" t="s">
        <v>55</v>
      </c>
      <c r="C351" s="140" t="s">
        <v>86</v>
      </c>
      <c r="D351" s="149" t="s">
        <v>853</v>
      </c>
      <c r="E351" s="139" t="s">
        <v>720</v>
      </c>
      <c r="F351" s="105"/>
      <c r="G351" s="113"/>
      <c r="H351" s="114"/>
      <c r="I351" s="114"/>
      <c r="J351" s="114"/>
      <c r="K351" s="114"/>
      <c r="L351" s="114"/>
      <c r="M351" s="114"/>
      <c r="N351" s="114"/>
      <c r="O351" s="114"/>
      <c r="P351" s="114"/>
      <c r="Q351" s="114"/>
      <c r="R351" s="114"/>
      <c r="S351" s="114"/>
      <c r="T351" s="114"/>
      <c r="U351" s="114"/>
      <c r="V351" s="114"/>
      <c r="W351" s="114"/>
      <c r="X351" s="114"/>
      <c r="Y351" s="114"/>
      <c r="Z351" s="114"/>
      <c r="AA351" s="114"/>
      <c r="AB351" s="114"/>
      <c r="AC351" s="114"/>
      <c r="AD351" s="114"/>
      <c r="AE351" s="114"/>
    </row>
    <row r="352" spans="1:31" x14ac:dyDescent="0.25">
      <c r="A352" s="140" t="s">
        <v>182</v>
      </c>
      <c r="B352" s="140" t="s">
        <v>55</v>
      </c>
      <c r="C352" s="140" t="s">
        <v>86</v>
      </c>
      <c r="D352" s="149" t="s">
        <v>854</v>
      </c>
      <c r="E352" s="139" t="s">
        <v>721</v>
      </c>
      <c r="F352" s="105"/>
      <c r="G352" s="113"/>
      <c r="H352" s="114"/>
      <c r="I352" s="114"/>
      <c r="J352" s="114"/>
      <c r="K352" s="114"/>
      <c r="L352" s="114"/>
      <c r="M352" s="114"/>
      <c r="N352" s="114"/>
      <c r="O352" s="114"/>
      <c r="P352" s="114"/>
      <c r="Q352" s="114"/>
      <c r="R352" s="114"/>
      <c r="S352" s="114"/>
      <c r="T352" s="114"/>
      <c r="U352" s="114"/>
      <c r="V352" s="114"/>
      <c r="W352" s="114"/>
      <c r="X352" s="114"/>
      <c r="Y352" s="114"/>
      <c r="Z352" s="114"/>
      <c r="AA352" s="114"/>
      <c r="AB352" s="114"/>
      <c r="AC352" s="114"/>
      <c r="AD352" s="114"/>
      <c r="AE352" s="114"/>
    </row>
    <row r="353" spans="1:31" x14ac:dyDescent="0.25">
      <c r="A353" s="140" t="s">
        <v>182</v>
      </c>
      <c r="B353" s="140" t="s">
        <v>55</v>
      </c>
      <c r="C353" s="140" t="s">
        <v>86</v>
      </c>
      <c r="D353" s="149" t="s">
        <v>855</v>
      </c>
      <c r="E353" s="139" t="s">
        <v>722</v>
      </c>
      <c r="F353" s="105"/>
      <c r="G353" s="113"/>
      <c r="H353" s="114"/>
      <c r="I353" s="114"/>
      <c r="J353" s="114"/>
      <c r="K353" s="114"/>
      <c r="L353" s="114"/>
      <c r="M353" s="114"/>
      <c r="N353" s="114"/>
      <c r="O353" s="114"/>
      <c r="P353" s="114"/>
      <c r="Q353" s="114"/>
      <c r="R353" s="114"/>
      <c r="S353" s="114"/>
      <c r="T353" s="114"/>
      <c r="U353" s="114"/>
      <c r="V353" s="114"/>
      <c r="W353" s="114"/>
      <c r="X353" s="114"/>
      <c r="Y353" s="114"/>
      <c r="Z353" s="114"/>
      <c r="AA353" s="114"/>
      <c r="AB353" s="114"/>
      <c r="AC353" s="114"/>
      <c r="AD353" s="114"/>
      <c r="AE353" s="114"/>
    </row>
    <row r="354" spans="1:31" x14ac:dyDescent="0.25">
      <c r="A354" s="140" t="s">
        <v>182</v>
      </c>
      <c r="B354" s="140" t="s">
        <v>55</v>
      </c>
      <c r="C354" s="140" t="s">
        <v>86</v>
      </c>
      <c r="D354" s="149" t="s">
        <v>87</v>
      </c>
      <c r="E354" s="139" t="s">
        <v>88</v>
      </c>
      <c r="F354" s="105"/>
      <c r="G354" s="113"/>
      <c r="H354" s="114"/>
      <c r="I354" s="114"/>
      <c r="J354" s="114"/>
      <c r="K354" s="114"/>
      <c r="L354" s="114"/>
      <c r="M354" s="114"/>
      <c r="N354" s="114"/>
      <c r="O354" s="114"/>
      <c r="P354" s="114"/>
      <c r="Q354" s="114"/>
      <c r="R354" s="114"/>
      <c r="S354" s="114"/>
      <c r="T354" s="114"/>
      <c r="U354" s="114"/>
      <c r="V354" s="114"/>
      <c r="W354" s="114"/>
      <c r="X354" s="114"/>
      <c r="Y354" s="114"/>
      <c r="Z354" s="114"/>
      <c r="AA354" s="114"/>
      <c r="AB354" s="114"/>
      <c r="AC354" s="114"/>
      <c r="AD354" s="114"/>
      <c r="AE354" s="114"/>
    </row>
    <row r="355" spans="1:31" x14ac:dyDescent="0.25">
      <c r="A355" s="140" t="s">
        <v>182</v>
      </c>
      <c r="B355" s="140" t="s">
        <v>55</v>
      </c>
      <c r="C355" s="140" t="s">
        <v>86</v>
      </c>
      <c r="D355" s="149" t="s">
        <v>856</v>
      </c>
      <c r="E355" s="139" t="s">
        <v>723</v>
      </c>
      <c r="F355" s="105"/>
      <c r="G355" s="113"/>
      <c r="H355" s="114"/>
      <c r="I355" s="114"/>
      <c r="J355" s="114"/>
      <c r="K355" s="114"/>
      <c r="L355" s="114"/>
      <c r="M355" s="114"/>
      <c r="N355" s="114"/>
      <c r="O355" s="114"/>
      <c r="P355" s="114"/>
      <c r="Q355" s="114"/>
      <c r="R355" s="114"/>
      <c r="S355" s="114"/>
      <c r="T355" s="114"/>
      <c r="U355" s="114"/>
      <c r="V355" s="114"/>
      <c r="W355" s="114"/>
      <c r="X355" s="114"/>
      <c r="Y355" s="114"/>
      <c r="Z355" s="114"/>
      <c r="AA355" s="114"/>
      <c r="AB355" s="114"/>
      <c r="AC355" s="114"/>
      <c r="AD355" s="114"/>
      <c r="AE355" s="114"/>
    </row>
    <row r="356" spans="1:31" x14ac:dyDescent="0.25">
      <c r="A356" s="140" t="s">
        <v>182</v>
      </c>
      <c r="B356" s="140" t="s">
        <v>55</v>
      </c>
      <c r="C356" s="140" t="s">
        <v>78</v>
      </c>
      <c r="D356" s="149" t="s">
        <v>326</v>
      </c>
      <c r="E356" s="139" t="s">
        <v>693</v>
      </c>
      <c r="F356" s="105"/>
      <c r="G356" s="113"/>
      <c r="H356" s="114"/>
      <c r="I356" s="114"/>
      <c r="J356" s="114"/>
      <c r="K356" s="114"/>
      <c r="L356" s="114"/>
      <c r="M356" s="114"/>
      <c r="N356" s="114"/>
      <c r="O356" s="114"/>
      <c r="P356" s="114"/>
      <c r="Q356" s="114"/>
      <c r="R356" s="114"/>
      <c r="S356" s="114"/>
      <c r="T356" s="114"/>
      <c r="U356" s="114"/>
      <c r="V356" s="114"/>
      <c r="W356" s="114"/>
      <c r="X356" s="114"/>
      <c r="Y356" s="114"/>
      <c r="Z356" s="114"/>
      <c r="AA356" s="114"/>
      <c r="AB356" s="114"/>
      <c r="AC356" s="114"/>
      <c r="AD356" s="114"/>
      <c r="AE356" s="114"/>
    </row>
    <row r="357" spans="1:31" x14ac:dyDescent="0.25">
      <c r="A357" s="140" t="s">
        <v>182</v>
      </c>
      <c r="B357" s="140" t="s">
        <v>55</v>
      </c>
      <c r="C357" s="140" t="s">
        <v>78</v>
      </c>
      <c r="D357" s="149" t="s">
        <v>79</v>
      </c>
      <c r="E357" s="139" t="s">
        <v>80</v>
      </c>
      <c r="F357" s="105"/>
      <c r="G357" s="113"/>
      <c r="H357" s="114"/>
      <c r="I357" s="114"/>
      <c r="J357" s="114"/>
      <c r="K357" s="114"/>
      <c r="L357" s="114"/>
      <c r="M357" s="114"/>
      <c r="N357" s="114"/>
      <c r="O357" s="114"/>
      <c r="P357" s="114"/>
      <c r="Q357" s="114"/>
      <c r="R357" s="114"/>
      <c r="S357" s="114"/>
      <c r="T357" s="114"/>
      <c r="U357" s="114"/>
      <c r="V357" s="114"/>
      <c r="W357" s="114"/>
      <c r="X357" s="114"/>
      <c r="Y357" s="114"/>
      <c r="Z357" s="114"/>
      <c r="AA357" s="114"/>
      <c r="AB357" s="114"/>
      <c r="AC357" s="114"/>
      <c r="AD357" s="114"/>
      <c r="AE357" s="114"/>
    </row>
    <row r="358" spans="1:31" x14ac:dyDescent="0.25">
      <c r="A358" s="140" t="s">
        <v>182</v>
      </c>
      <c r="B358" s="140" t="s">
        <v>55</v>
      </c>
      <c r="C358" s="140" t="s">
        <v>78</v>
      </c>
      <c r="D358" s="149" t="s">
        <v>857</v>
      </c>
      <c r="E358" s="139" t="s">
        <v>694</v>
      </c>
      <c r="F358" s="105"/>
      <c r="G358" s="113"/>
      <c r="H358" s="114"/>
      <c r="I358" s="114"/>
      <c r="J358" s="114"/>
      <c r="K358" s="114"/>
      <c r="L358" s="114"/>
      <c r="M358" s="114"/>
      <c r="N358" s="114"/>
      <c r="O358" s="114"/>
      <c r="P358" s="114"/>
      <c r="Q358" s="114"/>
      <c r="R358" s="114"/>
      <c r="S358" s="114"/>
      <c r="T358" s="114"/>
      <c r="U358" s="114"/>
      <c r="V358" s="114"/>
      <c r="W358" s="114"/>
      <c r="X358" s="114"/>
      <c r="Y358" s="114"/>
      <c r="Z358" s="114"/>
      <c r="AA358" s="114"/>
      <c r="AB358" s="114"/>
      <c r="AC358" s="114"/>
      <c r="AD358" s="114"/>
      <c r="AE358" s="114"/>
    </row>
    <row r="359" spans="1:31" x14ac:dyDescent="0.25">
      <c r="A359" s="140" t="s">
        <v>182</v>
      </c>
      <c r="B359" s="140" t="s">
        <v>55</v>
      </c>
      <c r="C359" s="140" t="s">
        <v>78</v>
      </c>
      <c r="D359" s="149" t="s">
        <v>98</v>
      </c>
      <c r="E359" s="139" t="s">
        <v>99</v>
      </c>
      <c r="F359" s="105"/>
      <c r="G359" s="113"/>
      <c r="H359" s="114"/>
      <c r="I359" s="114"/>
      <c r="J359" s="114"/>
      <c r="K359" s="114"/>
      <c r="L359" s="114"/>
      <c r="M359" s="114"/>
      <c r="N359" s="114"/>
      <c r="O359" s="114"/>
      <c r="P359" s="114"/>
      <c r="Q359" s="114"/>
      <c r="R359" s="114"/>
      <c r="S359" s="114"/>
      <c r="T359" s="114"/>
      <c r="U359" s="114"/>
      <c r="V359" s="114"/>
      <c r="W359" s="114"/>
      <c r="X359" s="114"/>
      <c r="Y359" s="114"/>
      <c r="Z359" s="114"/>
      <c r="AA359" s="114"/>
      <c r="AB359" s="114"/>
      <c r="AC359" s="114"/>
      <c r="AD359" s="114"/>
      <c r="AE359" s="114"/>
    </row>
    <row r="360" spans="1:31" x14ac:dyDescent="0.25">
      <c r="A360" s="140" t="s">
        <v>182</v>
      </c>
      <c r="B360" s="140" t="s">
        <v>55</v>
      </c>
      <c r="C360" s="140" t="s">
        <v>78</v>
      </c>
      <c r="D360" s="149" t="s">
        <v>333</v>
      </c>
      <c r="E360" s="139" t="s">
        <v>695</v>
      </c>
      <c r="F360" s="105"/>
      <c r="G360" s="113"/>
      <c r="H360" s="114"/>
      <c r="I360" s="114"/>
      <c r="J360" s="114"/>
      <c r="K360" s="114"/>
      <c r="L360" s="114"/>
      <c r="M360" s="114"/>
      <c r="N360" s="114"/>
      <c r="O360" s="114"/>
      <c r="P360" s="114"/>
      <c r="Q360" s="114"/>
      <c r="R360" s="114"/>
      <c r="S360" s="114"/>
      <c r="T360" s="114"/>
      <c r="U360" s="114"/>
      <c r="V360" s="114"/>
      <c r="W360" s="114"/>
      <c r="X360" s="114"/>
      <c r="Y360" s="114"/>
      <c r="Z360" s="114"/>
      <c r="AA360" s="114"/>
      <c r="AB360" s="114"/>
      <c r="AC360" s="114"/>
      <c r="AD360" s="114"/>
      <c r="AE360" s="114"/>
    </row>
    <row r="361" spans="1:31" x14ac:dyDescent="0.25">
      <c r="A361" s="140" t="s">
        <v>182</v>
      </c>
      <c r="B361" s="140" t="s">
        <v>31</v>
      </c>
      <c r="C361" s="140" t="s">
        <v>32</v>
      </c>
      <c r="D361" s="149" t="s">
        <v>32</v>
      </c>
      <c r="E361" s="139" t="s">
        <v>33</v>
      </c>
      <c r="F361" s="105"/>
      <c r="G361" s="113"/>
      <c r="H361" s="114"/>
      <c r="I361" s="114"/>
      <c r="J361" s="114"/>
      <c r="K361" s="114"/>
      <c r="L361" s="114"/>
      <c r="M361" s="114"/>
      <c r="N361" s="114"/>
      <c r="O361" s="114"/>
      <c r="P361" s="114"/>
      <c r="Q361" s="114"/>
      <c r="R361" s="114"/>
      <c r="S361" s="114"/>
      <c r="T361" s="114"/>
      <c r="U361" s="114"/>
      <c r="V361" s="114"/>
      <c r="W361" s="114"/>
      <c r="X361" s="114"/>
      <c r="Y361" s="114"/>
      <c r="Z361" s="114"/>
      <c r="AA361" s="114"/>
      <c r="AB361" s="114"/>
      <c r="AC361" s="114"/>
      <c r="AD361" s="114"/>
      <c r="AE361" s="114"/>
    </row>
    <row r="362" spans="1:31" x14ac:dyDescent="0.25">
      <c r="A362" s="140" t="s">
        <v>182</v>
      </c>
      <c r="B362" s="140" t="s">
        <v>31</v>
      </c>
      <c r="C362" s="140" t="s">
        <v>127</v>
      </c>
      <c r="D362" s="149" t="s">
        <v>858</v>
      </c>
      <c r="E362" s="139" t="s">
        <v>712</v>
      </c>
      <c r="F362" s="105"/>
      <c r="G362" s="113"/>
      <c r="H362" s="114"/>
      <c r="I362" s="114"/>
      <c r="J362" s="114"/>
      <c r="K362" s="114"/>
      <c r="L362" s="114"/>
      <c r="M362" s="114"/>
      <c r="N362" s="114"/>
      <c r="O362" s="114"/>
      <c r="P362" s="114"/>
      <c r="Q362" s="114"/>
      <c r="R362" s="114"/>
      <c r="S362" s="114"/>
      <c r="T362" s="114"/>
      <c r="U362" s="114"/>
      <c r="V362" s="114"/>
      <c r="W362" s="114"/>
      <c r="X362" s="114"/>
      <c r="Y362" s="114"/>
      <c r="Z362" s="114"/>
      <c r="AA362" s="114"/>
      <c r="AB362" s="114"/>
      <c r="AC362" s="114"/>
      <c r="AD362" s="114"/>
      <c r="AE362" s="114"/>
    </row>
    <row r="363" spans="1:31" x14ac:dyDescent="0.25">
      <c r="A363" s="140" t="s">
        <v>182</v>
      </c>
      <c r="B363" s="140" t="s">
        <v>31</v>
      </c>
      <c r="C363" s="140" t="s">
        <v>127</v>
      </c>
      <c r="D363" s="149" t="s">
        <v>483</v>
      </c>
      <c r="E363" s="139" t="s">
        <v>713</v>
      </c>
      <c r="F363" s="105"/>
      <c r="G363" s="113"/>
      <c r="H363" s="114"/>
      <c r="I363" s="114"/>
      <c r="J363" s="114"/>
      <c r="K363" s="114"/>
      <c r="L363" s="114"/>
      <c r="M363" s="114"/>
      <c r="N363" s="114"/>
      <c r="O363" s="114"/>
      <c r="P363" s="114"/>
      <c r="Q363" s="114"/>
      <c r="R363" s="114"/>
      <c r="S363" s="114"/>
      <c r="T363" s="114"/>
      <c r="U363" s="114"/>
      <c r="V363" s="114"/>
      <c r="W363" s="114"/>
      <c r="X363" s="114"/>
      <c r="Y363" s="114"/>
      <c r="Z363" s="114"/>
      <c r="AA363" s="114"/>
      <c r="AB363" s="114"/>
      <c r="AC363" s="114"/>
      <c r="AD363" s="114"/>
      <c r="AE363" s="114"/>
    </row>
    <row r="364" spans="1:31" x14ac:dyDescent="0.25">
      <c r="A364" s="140" t="s">
        <v>182</v>
      </c>
      <c r="B364" s="140" t="s">
        <v>31</v>
      </c>
      <c r="C364" s="140" t="s">
        <v>127</v>
      </c>
      <c r="D364" s="149" t="s">
        <v>485</v>
      </c>
      <c r="E364" s="139" t="s">
        <v>714</v>
      </c>
      <c r="F364" s="105"/>
      <c r="G364" s="113"/>
      <c r="H364" s="114"/>
      <c r="I364" s="114"/>
      <c r="J364" s="114"/>
      <c r="K364" s="114"/>
      <c r="L364" s="114"/>
      <c r="M364" s="114"/>
      <c r="N364" s="114"/>
      <c r="O364" s="114"/>
      <c r="P364" s="114"/>
      <c r="Q364" s="114"/>
      <c r="R364" s="114"/>
      <c r="S364" s="114"/>
      <c r="T364" s="114"/>
      <c r="U364" s="114"/>
      <c r="V364" s="114"/>
      <c r="W364" s="114"/>
      <c r="X364" s="114"/>
      <c r="Y364" s="114"/>
      <c r="Z364" s="114"/>
      <c r="AA364" s="114"/>
      <c r="AB364" s="114"/>
      <c r="AC364" s="114"/>
      <c r="AD364" s="114"/>
      <c r="AE364" s="114"/>
    </row>
    <row r="365" spans="1:31" x14ac:dyDescent="0.25">
      <c r="A365" s="140" t="s">
        <v>182</v>
      </c>
      <c r="B365" s="140" t="s">
        <v>31</v>
      </c>
      <c r="C365" s="140" t="s">
        <v>127</v>
      </c>
      <c r="D365" s="149" t="s">
        <v>859</v>
      </c>
      <c r="E365" s="139" t="s">
        <v>715</v>
      </c>
      <c r="F365" s="105"/>
      <c r="G365" s="113"/>
      <c r="H365" s="114"/>
      <c r="I365" s="114"/>
      <c r="J365" s="114"/>
      <c r="K365" s="114"/>
      <c r="L365" s="114"/>
      <c r="M365" s="114"/>
      <c r="N365" s="114"/>
      <c r="O365" s="114"/>
      <c r="P365" s="114"/>
      <c r="Q365" s="114"/>
      <c r="R365" s="114"/>
      <c r="S365" s="114"/>
      <c r="T365" s="114"/>
      <c r="U365" s="114"/>
      <c r="V365" s="114"/>
      <c r="W365" s="114"/>
      <c r="X365" s="114"/>
      <c r="Y365" s="114"/>
      <c r="Z365" s="114"/>
      <c r="AA365" s="114"/>
      <c r="AB365" s="114"/>
      <c r="AC365" s="114"/>
      <c r="AD365" s="114"/>
      <c r="AE365" s="114"/>
    </row>
    <row r="366" spans="1:31" x14ac:dyDescent="0.25">
      <c r="A366" s="140" t="s">
        <v>182</v>
      </c>
      <c r="B366" s="140" t="s">
        <v>31</v>
      </c>
      <c r="C366" s="140" t="s">
        <v>127</v>
      </c>
      <c r="D366" s="149" t="s">
        <v>860</v>
      </c>
      <c r="E366" s="139" t="s">
        <v>129</v>
      </c>
      <c r="F366" s="105"/>
      <c r="G366" s="113"/>
      <c r="H366" s="114"/>
      <c r="I366" s="114"/>
      <c r="J366" s="114"/>
      <c r="K366" s="114"/>
      <c r="L366" s="114"/>
      <c r="M366" s="114"/>
      <c r="N366" s="114"/>
      <c r="O366" s="114"/>
      <c r="P366" s="114"/>
      <c r="Q366" s="114"/>
      <c r="R366" s="114"/>
      <c r="S366" s="114"/>
      <c r="T366" s="114"/>
      <c r="U366" s="114"/>
      <c r="V366" s="114"/>
      <c r="W366" s="114"/>
      <c r="X366" s="114"/>
      <c r="Y366" s="114"/>
      <c r="Z366" s="114"/>
      <c r="AA366" s="114"/>
      <c r="AB366" s="114"/>
      <c r="AC366" s="114"/>
      <c r="AD366" s="114"/>
      <c r="AE366" s="114"/>
    </row>
    <row r="367" spans="1:31" x14ac:dyDescent="0.25">
      <c r="A367" s="140" t="s">
        <v>182</v>
      </c>
      <c r="B367" s="140" t="s">
        <v>31</v>
      </c>
      <c r="C367" s="140" t="s">
        <v>111</v>
      </c>
      <c r="D367" s="149" t="s">
        <v>430</v>
      </c>
      <c r="E367" s="139" t="s">
        <v>730</v>
      </c>
      <c r="F367" s="105"/>
      <c r="G367" s="113"/>
      <c r="H367" s="114"/>
      <c r="I367" s="114"/>
      <c r="J367" s="114"/>
      <c r="K367" s="114"/>
      <c r="L367" s="114"/>
      <c r="M367" s="114"/>
      <c r="N367" s="114"/>
      <c r="O367" s="114"/>
      <c r="P367" s="114"/>
      <c r="Q367" s="114"/>
      <c r="R367" s="114"/>
      <c r="S367" s="114"/>
      <c r="T367" s="114"/>
      <c r="U367" s="114"/>
      <c r="V367" s="114"/>
      <c r="W367" s="114"/>
      <c r="X367" s="114"/>
      <c r="Y367" s="114"/>
      <c r="Z367" s="114"/>
      <c r="AA367" s="114"/>
      <c r="AB367" s="114"/>
      <c r="AC367" s="114"/>
      <c r="AD367" s="114"/>
      <c r="AE367" s="114"/>
    </row>
    <row r="368" spans="1:31" x14ac:dyDescent="0.25">
      <c r="A368" s="140" t="s">
        <v>182</v>
      </c>
      <c r="B368" s="140" t="s">
        <v>31</v>
      </c>
      <c r="C368" s="140" t="s">
        <v>111</v>
      </c>
      <c r="D368" s="149" t="s">
        <v>861</v>
      </c>
      <c r="E368" s="139" t="s">
        <v>731</v>
      </c>
      <c r="F368" s="105"/>
      <c r="G368" s="113"/>
      <c r="H368" s="114"/>
      <c r="I368" s="114"/>
      <c r="J368" s="114"/>
      <c r="K368" s="114"/>
      <c r="L368" s="114"/>
      <c r="M368" s="114"/>
      <c r="N368" s="114"/>
      <c r="O368" s="114"/>
      <c r="P368" s="114"/>
      <c r="Q368" s="114"/>
      <c r="R368" s="114"/>
      <c r="S368" s="114"/>
      <c r="T368" s="114"/>
      <c r="U368" s="114"/>
      <c r="V368" s="114"/>
      <c r="W368" s="114"/>
      <c r="X368" s="114"/>
      <c r="Y368" s="114"/>
      <c r="Z368" s="114"/>
      <c r="AA368" s="114"/>
      <c r="AB368" s="114"/>
      <c r="AC368" s="114"/>
      <c r="AD368" s="114"/>
      <c r="AE368" s="114"/>
    </row>
    <row r="369" spans="1:31" x14ac:dyDescent="0.25">
      <c r="A369" s="140" t="s">
        <v>182</v>
      </c>
      <c r="B369" s="140" t="s">
        <v>31</v>
      </c>
      <c r="C369" s="140" t="s">
        <v>111</v>
      </c>
      <c r="D369" s="149" t="s">
        <v>111</v>
      </c>
      <c r="E369" s="139" t="s">
        <v>112</v>
      </c>
      <c r="F369" s="105"/>
      <c r="G369" s="113"/>
      <c r="H369" s="114"/>
      <c r="I369" s="114"/>
      <c r="J369" s="114"/>
      <c r="K369" s="114"/>
      <c r="L369" s="114"/>
      <c r="M369" s="114"/>
      <c r="N369" s="114"/>
      <c r="O369" s="114"/>
      <c r="P369" s="114"/>
      <c r="Q369" s="114"/>
      <c r="R369" s="114"/>
      <c r="S369" s="114"/>
      <c r="T369" s="114"/>
      <c r="U369" s="114"/>
      <c r="V369" s="114"/>
      <c r="W369" s="114"/>
      <c r="X369" s="114"/>
      <c r="Y369" s="114"/>
      <c r="Z369" s="114"/>
      <c r="AA369" s="114"/>
      <c r="AB369" s="114"/>
      <c r="AC369" s="114"/>
      <c r="AD369" s="114"/>
      <c r="AE369" s="114"/>
    </row>
    <row r="370" spans="1:31" x14ac:dyDescent="0.25">
      <c r="A370" s="140" t="s">
        <v>182</v>
      </c>
      <c r="B370" s="140" t="s">
        <v>31</v>
      </c>
      <c r="C370" s="140" t="s">
        <v>132</v>
      </c>
      <c r="D370" s="149" t="s">
        <v>346</v>
      </c>
      <c r="E370" s="139" t="s">
        <v>733</v>
      </c>
      <c r="F370" s="105"/>
      <c r="G370" s="113"/>
      <c r="H370" s="114"/>
      <c r="I370" s="114"/>
      <c r="J370" s="114"/>
      <c r="K370" s="114"/>
      <c r="L370" s="114"/>
      <c r="M370" s="114"/>
      <c r="N370" s="114"/>
      <c r="O370" s="114"/>
      <c r="P370" s="114"/>
      <c r="Q370" s="114"/>
      <c r="R370" s="114"/>
      <c r="S370" s="114"/>
      <c r="T370" s="114"/>
      <c r="U370" s="114"/>
      <c r="V370" s="114"/>
      <c r="W370" s="114"/>
      <c r="X370" s="114"/>
      <c r="Y370" s="114"/>
      <c r="Z370" s="114"/>
      <c r="AA370" s="114"/>
      <c r="AB370" s="114"/>
      <c r="AC370" s="114"/>
      <c r="AD370" s="114"/>
      <c r="AE370" s="114"/>
    </row>
    <row r="371" spans="1:31" x14ac:dyDescent="0.25">
      <c r="A371" s="140" t="s">
        <v>182</v>
      </c>
      <c r="B371" s="140" t="s">
        <v>31</v>
      </c>
      <c r="C371" s="140" t="s">
        <v>132</v>
      </c>
      <c r="D371" s="149" t="s">
        <v>132</v>
      </c>
      <c r="E371" s="139" t="s">
        <v>133</v>
      </c>
      <c r="F371" s="105"/>
      <c r="G371" s="113"/>
      <c r="H371" s="114"/>
      <c r="I371" s="114"/>
      <c r="J371" s="114"/>
      <c r="K371" s="114"/>
      <c r="L371" s="114"/>
      <c r="M371" s="114"/>
      <c r="N371" s="114"/>
      <c r="O371" s="114"/>
      <c r="P371" s="114"/>
      <c r="Q371" s="114"/>
      <c r="R371" s="114"/>
      <c r="S371" s="114"/>
      <c r="T371" s="114"/>
      <c r="U371" s="114"/>
      <c r="V371" s="114"/>
      <c r="W371" s="114"/>
      <c r="X371" s="114"/>
      <c r="Y371" s="114"/>
      <c r="Z371" s="114"/>
      <c r="AA371" s="114"/>
      <c r="AB371" s="114"/>
      <c r="AC371" s="114"/>
      <c r="AD371" s="114"/>
      <c r="AE371" s="114"/>
    </row>
    <row r="372" spans="1:31" x14ac:dyDescent="0.25">
      <c r="A372" s="140" t="s">
        <v>182</v>
      </c>
      <c r="B372" s="140" t="s">
        <v>31</v>
      </c>
      <c r="C372" s="140" t="s">
        <v>814</v>
      </c>
      <c r="D372" s="149" t="s">
        <v>863</v>
      </c>
      <c r="E372" s="139" t="s">
        <v>754</v>
      </c>
      <c r="F372" s="105"/>
      <c r="G372" s="113"/>
      <c r="H372" s="114"/>
      <c r="I372" s="114"/>
      <c r="J372" s="114"/>
      <c r="K372" s="114"/>
      <c r="L372" s="114"/>
      <c r="M372" s="114"/>
      <c r="N372" s="114"/>
      <c r="O372" s="114"/>
      <c r="P372" s="114"/>
      <c r="Q372" s="114"/>
      <c r="R372" s="114"/>
      <c r="S372" s="114"/>
      <c r="T372" s="114"/>
      <c r="U372" s="114"/>
      <c r="V372" s="114"/>
      <c r="W372" s="114"/>
      <c r="X372" s="114"/>
      <c r="Y372" s="114"/>
      <c r="Z372" s="114"/>
      <c r="AA372" s="114"/>
      <c r="AB372" s="114"/>
      <c r="AC372" s="114"/>
      <c r="AD372" s="114"/>
      <c r="AE372" s="114"/>
    </row>
    <row r="373" spans="1:31" x14ac:dyDescent="0.25">
      <c r="A373" s="140" t="s">
        <v>182</v>
      </c>
      <c r="B373" s="140" t="s">
        <v>31</v>
      </c>
      <c r="C373" s="140" t="s">
        <v>814</v>
      </c>
      <c r="D373" s="149" t="s">
        <v>864</v>
      </c>
      <c r="E373" s="139" t="s">
        <v>755</v>
      </c>
      <c r="F373" s="105"/>
      <c r="G373" s="113"/>
      <c r="H373" s="114"/>
      <c r="I373" s="114"/>
      <c r="J373" s="114"/>
      <c r="K373" s="114"/>
      <c r="L373" s="114"/>
      <c r="M373" s="114"/>
      <c r="N373" s="114"/>
      <c r="O373" s="114"/>
      <c r="P373" s="114"/>
      <c r="Q373" s="114"/>
      <c r="R373" s="114"/>
      <c r="S373" s="114"/>
      <c r="T373" s="114"/>
      <c r="U373" s="114"/>
      <c r="V373" s="114"/>
      <c r="W373" s="114"/>
      <c r="X373" s="114"/>
      <c r="Y373" s="114"/>
      <c r="Z373" s="114"/>
      <c r="AA373" s="114"/>
      <c r="AB373" s="114"/>
      <c r="AC373" s="114"/>
      <c r="AD373" s="114"/>
      <c r="AE373" s="114"/>
    </row>
    <row r="374" spans="1:31" x14ac:dyDescent="0.25">
      <c r="A374" s="140" t="s">
        <v>182</v>
      </c>
      <c r="B374" s="140" t="s">
        <v>31</v>
      </c>
      <c r="C374" s="140" t="s">
        <v>814</v>
      </c>
      <c r="D374" s="149" t="s">
        <v>865</v>
      </c>
      <c r="E374" s="139" t="s">
        <v>756</v>
      </c>
      <c r="F374" s="105"/>
      <c r="G374" s="113"/>
      <c r="H374" s="114"/>
      <c r="I374" s="114"/>
      <c r="J374" s="114"/>
      <c r="K374" s="114"/>
      <c r="L374" s="114"/>
      <c r="M374" s="114"/>
      <c r="N374" s="114"/>
      <c r="O374" s="114"/>
      <c r="P374" s="114"/>
      <c r="Q374" s="114"/>
      <c r="R374" s="114"/>
      <c r="S374" s="114"/>
      <c r="T374" s="114"/>
      <c r="U374" s="114"/>
      <c r="V374" s="114"/>
      <c r="W374" s="114"/>
      <c r="X374" s="114"/>
      <c r="Y374" s="114"/>
      <c r="Z374" s="114"/>
      <c r="AA374" s="114"/>
      <c r="AB374" s="114"/>
      <c r="AC374" s="114"/>
      <c r="AD374" s="114"/>
      <c r="AE374" s="114"/>
    </row>
    <row r="375" spans="1:31" x14ac:dyDescent="0.25">
      <c r="A375" s="140" t="s">
        <v>182</v>
      </c>
      <c r="B375" s="140" t="s">
        <v>31</v>
      </c>
      <c r="C375" s="140" t="s">
        <v>814</v>
      </c>
      <c r="D375" s="149" t="s">
        <v>866</v>
      </c>
      <c r="E375" s="139" t="s">
        <v>757</v>
      </c>
      <c r="F375" s="105"/>
      <c r="G375" s="113"/>
      <c r="H375" s="114"/>
      <c r="I375" s="114"/>
      <c r="J375" s="114"/>
      <c r="K375" s="114"/>
      <c r="L375" s="114"/>
      <c r="M375" s="114"/>
      <c r="N375" s="114"/>
      <c r="O375" s="114"/>
      <c r="P375" s="114"/>
      <c r="Q375" s="114"/>
      <c r="R375" s="114"/>
      <c r="S375" s="114"/>
      <c r="T375" s="114"/>
      <c r="U375" s="114"/>
      <c r="V375" s="114"/>
      <c r="W375" s="114"/>
      <c r="X375" s="114"/>
      <c r="Y375" s="114"/>
      <c r="Z375" s="114"/>
      <c r="AA375" s="114"/>
      <c r="AB375" s="114"/>
      <c r="AC375" s="114"/>
      <c r="AD375" s="114"/>
      <c r="AE375" s="114"/>
    </row>
    <row r="376" spans="1:31" x14ac:dyDescent="0.25">
      <c r="A376" s="140" t="s">
        <v>182</v>
      </c>
      <c r="B376" s="140" t="s">
        <v>31</v>
      </c>
      <c r="C376" s="140" t="s">
        <v>814</v>
      </c>
      <c r="D376" s="149" t="s">
        <v>123</v>
      </c>
      <c r="E376" s="139" t="s">
        <v>124</v>
      </c>
      <c r="F376" s="105"/>
      <c r="G376" s="113"/>
      <c r="H376" s="114"/>
      <c r="I376" s="114"/>
      <c r="J376" s="114"/>
      <c r="K376" s="114"/>
      <c r="L376" s="114"/>
      <c r="M376" s="114"/>
      <c r="N376" s="114"/>
      <c r="O376" s="114"/>
      <c r="P376" s="114"/>
      <c r="Q376" s="114"/>
      <c r="R376" s="114"/>
      <c r="S376" s="114"/>
      <c r="T376" s="114"/>
      <c r="U376" s="114"/>
      <c r="V376" s="114"/>
      <c r="W376" s="114"/>
      <c r="X376" s="114"/>
      <c r="Y376" s="114"/>
      <c r="Z376" s="114"/>
      <c r="AA376" s="114"/>
      <c r="AB376" s="114"/>
      <c r="AC376" s="114"/>
      <c r="AD376" s="114"/>
      <c r="AE376" s="114"/>
    </row>
    <row r="377" spans="1:31" x14ac:dyDescent="0.25">
      <c r="A377" s="140" t="s">
        <v>182</v>
      </c>
      <c r="B377" s="140" t="s">
        <v>31</v>
      </c>
      <c r="C377" s="140" t="s">
        <v>814</v>
      </c>
      <c r="D377" s="149" t="s">
        <v>867</v>
      </c>
      <c r="E377" s="139" t="s">
        <v>758</v>
      </c>
      <c r="F377" s="105"/>
      <c r="G377" s="113"/>
      <c r="H377" s="114"/>
      <c r="I377" s="114"/>
      <c r="J377" s="114"/>
      <c r="K377" s="114"/>
      <c r="L377" s="114"/>
      <c r="M377" s="114"/>
      <c r="N377" s="114"/>
      <c r="O377" s="114"/>
      <c r="P377" s="114"/>
      <c r="Q377" s="114"/>
      <c r="R377" s="114"/>
      <c r="S377" s="114"/>
      <c r="T377" s="114"/>
      <c r="U377" s="114"/>
      <c r="V377" s="114"/>
      <c r="W377" s="114"/>
      <c r="X377" s="114"/>
      <c r="Y377" s="114"/>
      <c r="Z377" s="114"/>
      <c r="AA377" s="114"/>
      <c r="AB377" s="114"/>
      <c r="AC377" s="114"/>
      <c r="AD377" s="114"/>
      <c r="AE377" s="114"/>
    </row>
    <row r="378" spans="1:31" x14ac:dyDescent="0.25">
      <c r="A378" s="140" t="s">
        <v>182</v>
      </c>
      <c r="B378" s="140" t="s">
        <v>58</v>
      </c>
      <c r="C378" s="140" t="s">
        <v>66</v>
      </c>
      <c r="D378" s="149" t="s">
        <v>585</v>
      </c>
      <c r="E378" s="139" t="s">
        <v>660</v>
      </c>
      <c r="F378" s="105"/>
      <c r="G378" s="113"/>
      <c r="H378" s="114"/>
      <c r="I378" s="114"/>
      <c r="J378" s="114"/>
      <c r="K378" s="114"/>
      <c r="L378" s="114"/>
      <c r="M378" s="114"/>
      <c r="N378" s="114"/>
      <c r="O378" s="114"/>
      <c r="P378" s="114"/>
      <c r="Q378" s="114"/>
      <c r="R378" s="114"/>
      <c r="S378" s="114"/>
      <c r="T378" s="114"/>
      <c r="U378" s="114"/>
      <c r="V378" s="114"/>
      <c r="W378" s="114"/>
      <c r="X378" s="114"/>
      <c r="Y378" s="114"/>
      <c r="Z378" s="114"/>
      <c r="AA378" s="114"/>
      <c r="AB378" s="114"/>
      <c r="AC378" s="114"/>
      <c r="AD378" s="114"/>
      <c r="AE378" s="114"/>
    </row>
    <row r="379" spans="1:31" x14ac:dyDescent="0.25">
      <c r="A379" s="140" t="s">
        <v>182</v>
      </c>
      <c r="B379" s="140" t="s">
        <v>58</v>
      </c>
      <c r="C379" s="140" t="s">
        <v>66</v>
      </c>
      <c r="D379" s="149" t="s">
        <v>868</v>
      </c>
      <c r="E379" s="139" t="s">
        <v>661</v>
      </c>
      <c r="F379" s="105"/>
      <c r="G379" s="113"/>
      <c r="H379" s="114"/>
      <c r="I379" s="114"/>
      <c r="J379" s="114"/>
      <c r="K379" s="114"/>
      <c r="L379" s="114"/>
      <c r="M379" s="114"/>
      <c r="N379" s="114"/>
      <c r="O379" s="114"/>
      <c r="P379" s="114"/>
      <c r="Q379" s="114"/>
      <c r="R379" s="114"/>
      <c r="S379" s="114"/>
      <c r="T379" s="114"/>
      <c r="U379" s="114"/>
      <c r="V379" s="114"/>
      <c r="W379" s="114"/>
      <c r="X379" s="114"/>
      <c r="Y379" s="114"/>
      <c r="Z379" s="114"/>
      <c r="AA379" s="114"/>
      <c r="AB379" s="114"/>
      <c r="AC379" s="114"/>
      <c r="AD379" s="114"/>
      <c r="AE379" s="114"/>
    </row>
    <row r="380" spans="1:31" x14ac:dyDescent="0.25">
      <c r="A380" s="140" t="s">
        <v>182</v>
      </c>
      <c r="B380" s="140" t="s">
        <v>58</v>
      </c>
      <c r="C380" s="140" t="s">
        <v>66</v>
      </c>
      <c r="D380" s="149" t="s">
        <v>590</v>
      </c>
      <c r="E380" s="139" t="s">
        <v>662</v>
      </c>
      <c r="F380" s="105"/>
      <c r="G380" s="113"/>
      <c r="H380" s="114"/>
      <c r="I380" s="114"/>
      <c r="J380" s="114"/>
      <c r="K380" s="114"/>
      <c r="L380" s="114"/>
      <c r="M380" s="114"/>
      <c r="N380" s="114"/>
      <c r="O380" s="114"/>
      <c r="P380" s="114"/>
      <c r="Q380" s="114"/>
      <c r="R380" s="114"/>
      <c r="S380" s="114"/>
      <c r="T380" s="114"/>
      <c r="U380" s="114"/>
      <c r="V380" s="114"/>
      <c r="W380" s="114"/>
      <c r="X380" s="114"/>
      <c r="Y380" s="114"/>
      <c r="Z380" s="114"/>
      <c r="AA380" s="114"/>
      <c r="AB380" s="114"/>
      <c r="AC380" s="114"/>
      <c r="AD380" s="114"/>
      <c r="AE380" s="114"/>
    </row>
    <row r="381" spans="1:31" x14ac:dyDescent="0.25">
      <c r="A381" s="140" t="s">
        <v>182</v>
      </c>
      <c r="B381" s="140" t="s">
        <v>58</v>
      </c>
      <c r="C381" s="140" t="s">
        <v>66</v>
      </c>
      <c r="D381" s="149" t="s">
        <v>598</v>
      </c>
      <c r="E381" s="139" t="s">
        <v>666</v>
      </c>
      <c r="F381" s="105"/>
      <c r="G381" s="113"/>
      <c r="H381" s="114"/>
      <c r="I381" s="114"/>
      <c r="J381" s="114"/>
      <c r="K381" s="114"/>
      <c r="L381" s="114"/>
      <c r="M381" s="114"/>
      <c r="N381" s="114"/>
      <c r="O381" s="114"/>
      <c r="P381" s="114"/>
      <c r="Q381" s="114"/>
      <c r="R381" s="114"/>
      <c r="S381" s="114"/>
      <c r="T381" s="114"/>
      <c r="U381" s="114"/>
      <c r="V381" s="114"/>
      <c r="W381" s="114"/>
      <c r="X381" s="114"/>
      <c r="Y381" s="114"/>
      <c r="Z381" s="114"/>
      <c r="AA381" s="114"/>
      <c r="AB381" s="114"/>
      <c r="AC381" s="114"/>
      <c r="AD381" s="114"/>
      <c r="AE381" s="114"/>
    </row>
    <row r="382" spans="1:31" x14ac:dyDescent="0.25">
      <c r="A382" s="140" t="s">
        <v>182</v>
      </c>
      <c r="B382" s="140" t="s">
        <v>58</v>
      </c>
      <c r="C382" s="140" t="s">
        <v>66</v>
      </c>
      <c r="D382" s="149" t="s">
        <v>222</v>
      </c>
      <c r="E382" s="139" t="s">
        <v>223</v>
      </c>
      <c r="F382" s="105"/>
      <c r="G382" s="113"/>
      <c r="H382" s="114"/>
      <c r="I382" s="114"/>
      <c r="J382" s="114"/>
      <c r="K382" s="114"/>
      <c r="L382" s="114"/>
      <c r="M382" s="114"/>
      <c r="N382" s="114"/>
      <c r="O382" s="114"/>
      <c r="P382" s="114"/>
      <c r="Q382" s="114"/>
      <c r="R382" s="114"/>
      <c r="S382" s="114"/>
      <c r="T382" s="114"/>
      <c r="U382" s="114"/>
      <c r="V382" s="114"/>
      <c r="W382" s="114"/>
      <c r="X382" s="114"/>
      <c r="Y382" s="114"/>
      <c r="Z382" s="114"/>
      <c r="AA382" s="114"/>
      <c r="AB382" s="114"/>
      <c r="AC382" s="114"/>
      <c r="AD382" s="114"/>
      <c r="AE382" s="114"/>
    </row>
    <row r="383" spans="1:31" x14ac:dyDescent="0.25">
      <c r="A383" s="140" t="s">
        <v>182</v>
      </c>
      <c r="B383" s="140" t="s">
        <v>58</v>
      </c>
      <c r="C383" s="140" t="s">
        <v>66</v>
      </c>
      <c r="D383" s="149" t="s">
        <v>186</v>
      </c>
      <c r="E383" s="139" t="s">
        <v>663</v>
      </c>
      <c r="F383" s="105"/>
      <c r="G383" s="113"/>
      <c r="H383" s="114"/>
      <c r="I383" s="114"/>
      <c r="J383" s="114"/>
      <c r="K383" s="114"/>
      <c r="L383" s="114"/>
      <c r="M383" s="114"/>
      <c r="N383" s="114"/>
      <c r="O383" s="114"/>
      <c r="P383" s="114"/>
      <c r="Q383" s="114"/>
      <c r="R383" s="114"/>
      <c r="S383" s="114"/>
      <c r="T383" s="114"/>
      <c r="U383" s="114"/>
      <c r="V383" s="114"/>
      <c r="W383" s="114"/>
      <c r="X383" s="114"/>
      <c r="Y383" s="114"/>
      <c r="Z383" s="114"/>
      <c r="AA383" s="114"/>
      <c r="AB383" s="114"/>
      <c r="AC383" s="114"/>
      <c r="AD383" s="114"/>
      <c r="AE383" s="114"/>
    </row>
    <row r="384" spans="1:31" x14ac:dyDescent="0.25">
      <c r="A384" s="140" t="s">
        <v>182</v>
      </c>
      <c r="B384" s="140" t="s">
        <v>58</v>
      </c>
      <c r="C384" s="140" t="s">
        <v>66</v>
      </c>
      <c r="D384" s="149" t="s">
        <v>224</v>
      </c>
      <c r="E384" s="139" t="s">
        <v>225</v>
      </c>
      <c r="F384" s="105"/>
      <c r="G384" s="113"/>
      <c r="H384" s="114"/>
      <c r="I384" s="114"/>
      <c r="J384" s="114"/>
      <c r="K384" s="114"/>
      <c r="L384" s="114"/>
      <c r="M384" s="114"/>
      <c r="N384" s="114"/>
      <c r="O384" s="114"/>
      <c r="P384" s="114"/>
      <c r="Q384" s="114"/>
      <c r="R384" s="114"/>
      <c r="S384" s="114"/>
      <c r="T384" s="114"/>
      <c r="U384" s="114"/>
      <c r="V384" s="114"/>
      <c r="W384" s="114"/>
      <c r="X384" s="114"/>
      <c r="Y384" s="114"/>
      <c r="Z384" s="114"/>
      <c r="AA384" s="114"/>
      <c r="AB384" s="114"/>
      <c r="AC384" s="114"/>
      <c r="AD384" s="114"/>
      <c r="AE384" s="114"/>
    </row>
    <row r="385" spans="1:31" x14ac:dyDescent="0.25">
      <c r="A385" s="140" t="s">
        <v>182</v>
      </c>
      <c r="B385" s="140" t="s">
        <v>58</v>
      </c>
      <c r="C385" s="140" t="s">
        <v>66</v>
      </c>
      <c r="D385" s="149" t="s">
        <v>869</v>
      </c>
      <c r="E385" s="139" t="s">
        <v>664</v>
      </c>
      <c r="F385" s="105"/>
      <c r="G385" s="113"/>
      <c r="H385" s="114"/>
      <c r="I385" s="114"/>
      <c r="J385" s="114"/>
      <c r="K385" s="114"/>
      <c r="L385" s="114"/>
      <c r="M385" s="114"/>
      <c r="N385" s="114"/>
      <c r="O385" s="114"/>
      <c r="P385" s="114"/>
      <c r="Q385" s="114"/>
      <c r="R385" s="114"/>
      <c r="S385" s="114"/>
      <c r="T385" s="114"/>
      <c r="U385" s="114"/>
      <c r="V385" s="114"/>
      <c r="W385" s="114"/>
      <c r="X385" s="114"/>
      <c r="Y385" s="114"/>
      <c r="Z385" s="114"/>
      <c r="AA385" s="114"/>
      <c r="AB385" s="114"/>
      <c r="AC385" s="114"/>
      <c r="AD385" s="114"/>
      <c r="AE385" s="114"/>
    </row>
    <row r="386" spans="1:31" x14ac:dyDescent="0.25">
      <c r="A386" s="140" t="s">
        <v>182</v>
      </c>
      <c r="B386" s="140" t="s">
        <v>58</v>
      </c>
      <c r="C386" s="140" t="s">
        <v>66</v>
      </c>
      <c r="D386" s="149" t="s">
        <v>166</v>
      </c>
      <c r="E386" s="139" t="s">
        <v>167</v>
      </c>
      <c r="F386" s="105"/>
      <c r="G386" s="113"/>
      <c r="H386" s="114"/>
      <c r="I386" s="114"/>
      <c r="J386" s="114"/>
      <c r="K386" s="114"/>
      <c r="L386" s="114"/>
      <c r="M386" s="114"/>
      <c r="N386" s="114"/>
      <c r="O386" s="114"/>
      <c r="P386" s="114"/>
      <c r="Q386" s="114"/>
      <c r="R386" s="114"/>
      <c r="S386" s="114"/>
      <c r="T386" s="114"/>
      <c r="U386" s="114"/>
      <c r="V386" s="114"/>
      <c r="W386" s="114"/>
      <c r="X386" s="114"/>
      <c r="Y386" s="114"/>
      <c r="Z386" s="114"/>
      <c r="AA386" s="114"/>
      <c r="AB386" s="114"/>
      <c r="AC386" s="114"/>
      <c r="AD386" s="114"/>
      <c r="AE386" s="114"/>
    </row>
    <row r="387" spans="1:31" x14ac:dyDescent="0.25">
      <c r="A387" s="140" t="s">
        <v>182</v>
      </c>
      <c r="B387" s="140" t="s">
        <v>58</v>
      </c>
      <c r="C387" s="140" t="s">
        <v>66</v>
      </c>
      <c r="D387" s="149" t="s">
        <v>870</v>
      </c>
      <c r="E387" s="139" t="s">
        <v>665</v>
      </c>
      <c r="F387" s="105"/>
      <c r="G387" s="113"/>
      <c r="H387" s="114"/>
      <c r="I387" s="114"/>
      <c r="J387" s="114"/>
      <c r="K387" s="114"/>
      <c r="L387" s="114"/>
      <c r="M387" s="114"/>
      <c r="N387" s="114"/>
      <c r="O387" s="114"/>
      <c r="P387" s="114"/>
      <c r="Q387" s="114"/>
      <c r="R387" s="114"/>
      <c r="S387" s="114"/>
      <c r="T387" s="114"/>
      <c r="U387" s="114"/>
      <c r="V387" s="114"/>
      <c r="W387" s="114"/>
      <c r="X387" s="114"/>
      <c r="Y387" s="114"/>
      <c r="Z387" s="114"/>
      <c r="AA387" s="114"/>
      <c r="AB387" s="114"/>
      <c r="AC387" s="114"/>
      <c r="AD387" s="114"/>
      <c r="AE387" s="114"/>
    </row>
    <row r="388" spans="1:31" x14ac:dyDescent="0.25">
      <c r="A388" s="140" t="s">
        <v>182</v>
      </c>
      <c r="B388" s="140" t="s">
        <v>58</v>
      </c>
      <c r="C388" s="140" t="s">
        <v>66</v>
      </c>
      <c r="D388" s="149" t="s">
        <v>871</v>
      </c>
      <c r="E388" s="139" t="s">
        <v>667</v>
      </c>
      <c r="F388" s="105"/>
      <c r="G388" s="113"/>
      <c r="H388" s="114"/>
      <c r="I388" s="114"/>
      <c r="J388" s="114"/>
      <c r="K388" s="114"/>
      <c r="L388" s="114"/>
      <c r="M388" s="114"/>
      <c r="N388" s="114"/>
      <c r="O388" s="114"/>
      <c r="P388" s="114"/>
      <c r="Q388" s="114"/>
      <c r="R388" s="114"/>
      <c r="S388" s="114"/>
      <c r="T388" s="114"/>
      <c r="U388" s="114"/>
      <c r="V388" s="114"/>
      <c r="W388" s="114"/>
      <c r="X388" s="114"/>
      <c r="Y388" s="114"/>
      <c r="Z388" s="114"/>
      <c r="AA388" s="114"/>
      <c r="AB388" s="114"/>
      <c r="AC388" s="114"/>
      <c r="AD388" s="114"/>
      <c r="AE388" s="114"/>
    </row>
    <row r="389" spans="1:31" x14ac:dyDescent="0.25">
      <c r="A389" s="140" t="s">
        <v>182</v>
      </c>
      <c r="B389" s="140" t="s">
        <v>58</v>
      </c>
      <c r="C389" s="140" t="s">
        <v>66</v>
      </c>
      <c r="D389" s="149" t="s">
        <v>67</v>
      </c>
      <c r="E389" s="139" t="s">
        <v>68</v>
      </c>
      <c r="F389" s="105"/>
      <c r="G389" s="113"/>
      <c r="H389" s="114"/>
      <c r="I389" s="114"/>
      <c r="J389" s="114"/>
      <c r="K389" s="114"/>
      <c r="L389" s="114"/>
      <c r="M389" s="114"/>
      <c r="N389" s="114"/>
      <c r="O389" s="114"/>
      <c r="P389" s="114"/>
      <c r="Q389" s="114"/>
      <c r="R389" s="114"/>
      <c r="S389" s="114"/>
      <c r="T389" s="114"/>
      <c r="U389" s="114"/>
      <c r="V389" s="114"/>
      <c r="W389" s="114"/>
      <c r="X389" s="114"/>
      <c r="Y389" s="114"/>
      <c r="Z389" s="114"/>
      <c r="AA389" s="114"/>
      <c r="AB389" s="114"/>
      <c r="AC389" s="114"/>
      <c r="AD389" s="114"/>
      <c r="AE389" s="114"/>
    </row>
    <row r="390" spans="1:31" x14ac:dyDescent="0.25">
      <c r="A390" s="140" t="s">
        <v>182</v>
      </c>
      <c r="B390" s="140" t="s">
        <v>58</v>
      </c>
      <c r="C390" s="140" t="s">
        <v>66</v>
      </c>
      <c r="D390" s="149" t="s">
        <v>872</v>
      </c>
      <c r="E390" s="139" t="s">
        <v>668</v>
      </c>
      <c r="F390" s="105"/>
      <c r="G390" s="113"/>
      <c r="H390" s="114"/>
      <c r="I390" s="114"/>
      <c r="J390" s="114"/>
      <c r="K390" s="114"/>
      <c r="L390" s="114"/>
      <c r="M390" s="114"/>
      <c r="N390" s="114"/>
      <c r="O390" s="114"/>
      <c r="P390" s="114"/>
      <c r="Q390" s="114"/>
      <c r="R390" s="114"/>
      <c r="S390" s="114"/>
      <c r="T390" s="114"/>
      <c r="U390" s="114"/>
      <c r="V390" s="114"/>
      <c r="W390" s="114"/>
      <c r="X390" s="114"/>
      <c r="Y390" s="114"/>
      <c r="Z390" s="114"/>
      <c r="AA390" s="114"/>
      <c r="AB390" s="114"/>
      <c r="AC390" s="114"/>
      <c r="AD390" s="114"/>
      <c r="AE390" s="114"/>
    </row>
    <row r="391" spans="1:31" x14ac:dyDescent="0.25">
      <c r="A391" s="140" t="s">
        <v>182</v>
      </c>
      <c r="B391" s="140" t="s">
        <v>58</v>
      </c>
      <c r="C391" s="140" t="s">
        <v>66</v>
      </c>
      <c r="D391" s="149" t="s">
        <v>873</v>
      </c>
      <c r="E391" s="139" t="s">
        <v>669</v>
      </c>
      <c r="F391" s="105"/>
      <c r="G391" s="113"/>
      <c r="H391" s="114"/>
      <c r="I391" s="114"/>
      <c r="J391" s="114"/>
      <c r="K391" s="114"/>
      <c r="L391" s="114"/>
      <c r="M391" s="114"/>
      <c r="N391" s="114"/>
      <c r="O391" s="114"/>
      <c r="P391" s="114"/>
      <c r="Q391" s="114"/>
      <c r="R391" s="114"/>
      <c r="S391" s="114"/>
      <c r="T391" s="114"/>
      <c r="U391" s="114"/>
      <c r="V391" s="114"/>
      <c r="W391" s="114"/>
      <c r="X391" s="114"/>
      <c r="Y391" s="114"/>
      <c r="Z391" s="114"/>
      <c r="AA391" s="114"/>
      <c r="AB391" s="114"/>
      <c r="AC391" s="114"/>
      <c r="AD391" s="114"/>
      <c r="AE391" s="114"/>
    </row>
    <row r="392" spans="1:31" x14ac:dyDescent="0.25">
      <c r="A392" s="140" t="s">
        <v>182</v>
      </c>
      <c r="B392" s="140" t="s">
        <v>58</v>
      </c>
      <c r="C392" s="140" t="s">
        <v>66</v>
      </c>
      <c r="D392" s="149" t="s">
        <v>226</v>
      </c>
      <c r="E392" s="139" t="s">
        <v>227</v>
      </c>
      <c r="F392" s="105"/>
      <c r="G392" s="113"/>
      <c r="H392" s="114"/>
      <c r="I392" s="114"/>
      <c r="J392" s="114"/>
      <c r="K392" s="114"/>
      <c r="L392" s="114"/>
      <c r="M392" s="114"/>
      <c r="N392" s="114"/>
      <c r="O392" s="114"/>
      <c r="P392" s="114"/>
      <c r="Q392" s="114"/>
      <c r="R392" s="114"/>
      <c r="S392" s="114"/>
      <c r="T392" s="114"/>
      <c r="U392" s="114"/>
      <c r="V392" s="114"/>
      <c r="W392" s="114"/>
      <c r="X392" s="114"/>
      <c r="Y392" s="114"/>
      <c r="Z392" s="114"/>
      <c r="AA392" s="114"/>
      <c r="AB392" s="114"/>
      <c r="AC392" s="114"/>
      <c r="AD392" s="114"/>
      <c r="AE392" s="114"/>
    </row>
    <row r="393" spans="1:31" x14ac:dyDescent="0.25">
      <c r="A393" s="140" t="s">
        <v>182</v>
      </c>
      <c r="B393" s="140" t="s">
        <v>58</v>
      </c>
      <c r="C393" s="140" t="s">
        <v>66</v>
      </c>
      <c r="D393" s="149" t="s">
        <v>874</v>
      </c>
      <c r="E393" s="139" t="s">
        <v>670</v>
      </c>
      <c r="F393" s="105"/>
      <c r="G393" s="113"/>
      <c r="H393" s="114"/>
      <c r="I393" s="114"/>
      <c r="J393" s="114"/>
      <c r="K393" s="114"/>
      <c r="L393" s="114"/>
      <c r="M393" s="114"/>
      <c r="N393" s="114"/>
      <c r="O393" s="114"/>
      <c r="P393" s="114"/>
      <c r="Q393" s="114"/>
      <c r="R393" s="114"/>
      <c r="S393" s="114"/>
      <c r="T393" s="114"/>
      <c r="U393" s="114"/>
      <c r="V393" s="114"/>
      <c r="W393" s="114"/>
      <c r="X393" s="114"/>
      <c r="Y393" s="114"/>
      <c r="Z393" s="114"/>
      <c r="AA393" s="114"/>
      <c r="AB393" s="114"/>
      <c r="AC393" s="114"/>
      <c r="AD393" s="114"/>
      <c r="AE393" s="114"/>
    </row>
    <row r="394" spans="1:31" x14ac:dyDescent="0.25">
      <c r="A394" s="140" t="s">
        <v>182</v>
      </c>
      <c r="B394" s="140" t="s">
        <v>58</v>
      </c>
      <c r="C394" s="140" t="s">
        <v>66</v>
      </c>
      <c r="D394" s="149" t="s">
        <v>607</v>
      </c>
      <c r="E394" s="139" t="s">
        <v>81</v>
      </c>
      <c r="F394" s="105"/>
      <c r="G394" s="113"/>
      <c r="H394" s="114"/>
      <c r="I394" s="114"/>
      <c r="J394" s="114"/>
      <c r="K394" s="114"/>
      <c r="L394" s="114"/>
      <c r="M394" s="114"/>
      <c r="N394" s="114"/>
      <c r="O394" s="114"/>
      <c r="P394" s="114"/>
      <c r="Q394" s="114"/>
      <c r="R394" s="114"/>
      <c r="S394" s="114"/>
      <c r="T394" s="114"/>
      <c r="U394" s="114"/>
      <c r="V394" s="114"/>
      <c r="W394" s="114"/>
      <c r="X394" s="114"/>
      <c r="Y394" s="114"/>
      <c r="Z394" s="114"/>
      <c r="AA394" s="114"/>
      <c r="AB394" s="114"/>
      <c r="AC394" s="114"/>
      <c r="AD394" s="114"/>
      <c r="AE394" s="114"/>
    </row>
    <row r="395" spans="1:31" x14ac:dyDescent="0.25">
      <c r="A395" s="140" t="s">
        <v>182</v>
      </c>
      <c r="B395" s="140" t="s">
        <v>58</v>
      </c>
      <c r="C395" s="140" t="s">
        <v>66</v>
      </c>
      <c r="D395" s="149" t="s">
        <v>609</v>
      </c>
      <c r="E395" s="139" t="s">
        <v>671</v>
      </c>
      <c r="F395" s="105"/>
      <c r="G395" s="113"/>
      <c r="H395" s="114"/>
      <c r="I395" s="114"/>
      <c r="J395" s="114"/>
      <c r="K395" s="114"/>
      <c r="L395" s="114"/>
      <c r="M395" s="114"/>
      <c r="N395" s="114"/>
      <c r="O395" s="114"/>
      <c r="P395" s="114"/>
      <c r="Q395" s="114"/>
      <c r="R395" s="114"/>
      <c r="S395" s="114"/>
      <c r="T395" s="114"/>
      <c r="U395" s="114"/>
      <c r="V395" s="114"/>
      <c r="W395" s="114"/>
      <c r="X395" s="114"/>
      <c r="Y395" s="114"/>
      <c r="Z395" s="114"/>
      <c r="AA395" s="114"/>
      <c r="AB395" s="114"/>
      <c r="AC395" s="114"/>
      <c r="AD395" s="114"/>
      <c r="AE395" s="114"/>
    </row>
    <row r="396" spans="1:31" x14ac:dyDescent="0.25">
      <c r="A396" s="140" t="s">
        <v>182</v>
      </c>
      <c r="B396" s="140" t="s">
        <v>58</v>
      </c>
      <c r="C396" s="140" t="s">
        <v>66</v>
      </c>
      <c r="D396" s="149" t="s">
        <v>875</v>
      </c>
      <c r="E396" s="139" t="s">
        <v>173</v>
      </c>
      <c r="F396" s="105"/>
      <c r="G396" s="113"/>
      <c r="H396" s="114"/>
      <c r="I396" s="114"/>
      <c r="J396" s="114"/>
      <c r="K396" s="114"/>
      <c r="L396" s="114"/>
      <c r="M396" s="114"/>
      <c r="N396" s="114"/>
      <c r="O396" s="114"/>
      <c r="P396" s="114"/>
      <c r="Q396" s="114"/>
      <c r="R396" s="114"/>
      <c r="S396" s="114"/>
      <c r="T396" s="114"/>
      <c r="U396" s="114"/>
      <c r="V396" s="114"/>
      <c r="W396" s="114"/>
      <c r="X396" s="114"/>
      <c r="Y396" s="114"/>
      <c r="Z396" s="114"/>
      <c r="AA396" s="114"/>
      <c r="AB396" s="114"/>
      <c r="AC396" s="114"/>
      <c r="AD396" s="114"/>
      <c r="AE396" s="114"/>
    </row>
    <row r="397" spans="1:31" x14ac:dyDescent="0.25">
      <c r="A397" s="140" t="s">
        <v>182</v>
      </c>
      <c r="B397" s="140" t="s">
        <v>58</v>
      </c>
      <c r="C397" s="140" t="s">
        <v>66</v>
      </c>
      <c r="D397" s="149" t="s">
        <v>876</v>
      </c>
      <c r="E397" s="139" t="s">
        <v>672</v>
      </c>
      <c r="F397" s="105"/>
      <c r="G397" s="113"/>
      <c r="H397" s="114"/>
      <c r="I397" s="114"/>
      <c r="J397" s="114"/>
      <c r="K397" s="114"/>
      <c r="L397" s="114"/>
      <c r="M397" s="114"/>
      <c r="N397" s="114"/>
      <c r="O397" s="114"/>
      <c r="P397" s="114"/>
      <c r="Q397" s="114"/>
      <c r="R397" s="114"/>
      <c r="S397" s="114"/>
      <c r="T397" s="114"/>
      <c r="U397" s="114"/>
      <c r="V397" s="114"/>
      <c r="W397" s="114"/>
      <c r="X397" s="114"/>
      <c r="Y397" s="114"/>
      <c r="Z397" s="114"/>
      <c r="AA397" s="114"/>
      <c r="AB397" s="114"/>
      <c r="AC397" s="114"/>
      <c r="AD397" s="114"/>
      <c r="AE397" s="114"/>
    </row>
    <row r="398" spans="1:31" x14ac:dyDescent="0.25">
      <c r="A398" s="140" t="s">
        <v>182</v>
      </c>
      <c r="B398" s="140" t="s">
        <v>58</v>
      </c>
      <c r="C398" s="140" t="s">
        <v>66</v>
      </c>
      <c r="D398" s="149" t="s">
        <v>136</v>
      </c>
      <c r="E398" s="139" t="s">
        <v>137</v>
      </c>
      <c r="F398" s="105"/>
      <c r="G398" s="113"/>
      <c r="H398" s="114"/>
      <c r="I398" s="114"/>
      <c r="J398" s="114"/>
      <c r="K398" s="114"/>
      <c r="L398" s="114"/>
      <c r="M398" s="114"/>
      <c r="N398" s="114"/>
      <c r="O398" s="114"/>
      <c r="P398" s="114"/>
      <c r="Q398" s="114"/>
      <c r="R398" s="114"/>
      <c r="S398" s="114"/>
      <c r="T398" s="114"/>
      <c r="U398" s="114"/>
      <c r="V398" s="114"/>
      <c r="W398" s="114"/>
      <c r="X398" s="114"/>
      <c r="Y398" s="114"/>
      <c r="Z398" s="114"/>
      <c r="AA398" s="114"/>
      <c r="AB398" s="114"/>
      <c r="AC398" s="114"/>
      <c r="AD398" s="114"/>
      <c r="AE398" s="114"/>
    </row>
    <row r="399" spans="1:31" x14ac:dyDescent="0.25">
      <c r="A399" s="140" t="s">
        <v>182</v>
      </c>
      <c r="B399" s="140" t="s">
        <v>58</v>
      </c>
      <c r="C399" s="140" t="s">
        <v>66</v>
      </c>
      <c r="D399" s="149" t="s">
        <v>615</v>
      </c>
      <c r="E399" s="139" t="s">
        <v>675</v>
      </c>
      <c r="F399" s="105"/>
      <c r="G399" s="113"/>
      <c r="H399" s="114"/>
      <c r="I399" s="114"/>
      <c r="J399" s="114"/>
      <c r="K399" s="114"/>
      <c r="L399" s="114"/>
      <c r="M399" s="114"/>
      <c r="N399" s="114"/>
      <c r="O399" s="114"/>
      <c r="P399" s="114"/>
      <c r="Q399" s="114"/>
      <c r="R399" s="114"/>
      <c r="S399" s="114"/>
      <c r="T399" s="114"/>
      <c r="U399" s="114"/>
      <c r="V399" s="114"/>
      <c r="W399" s="114"/>
      <c r="X399" s="114"/>
      <c r="Y399" s="114"/>
      <c r="Z399" s="114"/>
      <c r="AA399" s="114"/>
      <c r="AB399" s="114"/>
      <c r="AC399" s="114"/>
      <c r="AD399" s="114"/>
      <c r="AE399" s="114"/>
    </row>
    <row r="400" spans="1:31" x14ac:dyDescent="0.25">
      <c r="A400" s="140" t="s">
        <v>182</v>
      </c>
      <c r="B400" s="140" t="s">
        <v>58</v>
      </c>
      <c r="C400" s="140" t="s">
        <v>66</v>
      </c>
      <c r="D400" s="149" t="s">
        <v>877</v>
      </c>
      <c r="E400" s="139" t="s">
        <v>181</v>
      </c>
      <c r="F400" s="105"/>
      <c r="G400" s="113"/>
      <c r="H400" s="114"/>
      <c r="I400" s="114"/>
      <c r="J400" s="114"/>
      <c r="K400" s="114"/>
      <c r="L400" s="114"/>
      <c r="M400" s="114"/>
      <c r="N400" s="114"/>
      <c r="O400" s="114"/>
      <c r="P400" s="114"/>
      <c r="Q400" s="114"/>
      <c r="R400" s="114"/>
      <c r="S400" s="114"/>
      <c r="T400" s="114"/>
      <c r="U400" s="114"/>
      <c r="V400" s="114"/>
      <c r="W400" s="114"/>
      <c r="X400" s="114"/>
      <c r="Y400" s="114"/>
      <c r="Z400" s="114"/>
      <c r="AA400" s="114"/>
      <c r="AB400" s="114"/>
      <c r="AC400" s="114"/>
      <c r="AD400" s="114"/>
      <c r="AE400" s="114"/>
    </row>
    <row r="401" spans="1:31" x14ac:dyDescent="0.25">
      <c r="A401" s="140" t="s">
        <v>182</v>
      </c>
      <c r="B401" s="140" t="s">
        <v>58</v>
      </c>
      <c r="C401" s="140" t="s">
        <v>66</v>
      </c>
      <c r="D401" s="149" t="s">
        <v>612</v>
      </c>
      <c r="E401" s="139" t="s">
        <v>673</v>
      </c>
      <c r="F401" s="105"/>
      <c r="G401" s="113"/>
      <c r="H401" s="114"/>
      <c r="I401" s="114"/>
      <c r="J401" s="114"/>
      <c r="K401" s="114"/>
      <c r="L401" s="114"/>
      <c r="M401" s="114"/>
      <c r="N401" s="114"/>
      <c r="O401" s="114"/>
      <c r="P401" s="114"/>
      <c r="Q401" s="114"/>
      <c r="R401" s="114"/>
      <c r="S401" s="114"/>
      <c r="T401" s="114"/>
      <c r="U401" s="114"/>
      <c r="V401" s="114"/>
      <c r="W401" s="114"/>
      <c r="X401" s="114"/>
      <c r="Y401" s="114"/>
      <c r="Z401" s="114"/>
      <c r="AA401" s="114"/>
      <c r="AB401" s="114"/>
      <c r="AC401" s="114"/>
      <c r="AD401" s="114"/>
      <c r="AE401" s="114"/>
    </row>
    <row r="402" spans="1:31" x14ac:dyDescent="0.25">
      <c r="A402" s="140" t="s">
        <v>182</v>
      </c>
      <c r="B402" s="140" t="s">
        <v>58</v>
      </c>
      <c r="C402" s="140" t="s">
        <v>59</v>
      </c>
      <c r="D402" s="149" t="s">
        <v>60</v>
      </c>
      <c r="E402" s="139" t="s">
        <v>61</v>
      </c>
      <c r="F402" s="105"/>
      <c r="G402" s="113"/>
      <c r="H402" s="114"/>
      <c r="I402" s="114"/>
      <c r="J402" s="114"/>
      <c r="K402" s="114"/>
      <c r="L402" s="114"/>
      <c r="M402" s="114"/>
      <c r="N402" s="114"/>
      <c r="O402" s="114"/>
      <c r="P402" s="114"/>
      <c r="Q402" s="114"/>
      <c r="R402" s="114"/>
      <c r="S402" s="114"/>
      <c r="T402" s="114"/>
      <c r="U402" s="114"/>
      <c r="V402" s="114"/>
      <c r="W402" s="114"/>
      <c r="X402" s="114"/>
      <c r="Y402" s="114"/>
      <c r="Z402" s="114"/>
      <c r="AA402" s="114"/>
      <c r="AB402" s="114"/>
      <c r="AC402" s="114"/>
      <c r="AD402" s="114"/>
      <c r="AE402" s="114"/>
    </row>
    <row r="403" spans="1:31" x14ac:dyDescent="0.25">
      <c r="A403" s="140" t="s">
        <v>182</v>
      </c>
      <c r="B403" s="140" t="s">
        <v>58</v>
      </c>
      <c r="C403" s="140" t="s">
        <v>59</v>
      </c>
      <c r="D403" s="149" t="s">
        <v>826</v>
      </c>
      <c r="E403" s="139" t="s">
        <v>716</v>
      </c>
      <c r="F403" s="105"/>
      <c r="G403" s="113"/>
      <c r="H403" s="114"/>
      <c r="I403" s="114"/>
      <c r="J403" s="114"/>
      <c r="K403" s="114"/>
      <c r="L403" s="114"/>
      <c r="M403" s="114"/>
      <c r="N403" s="114"/>
      <c r="O403" s="114"/>
      <c r="P403" s="114"/>
      <c r="Q403" s="114"/>
      <c r="R403" s="114"/>
      <c r="S403" s="114"/>
      <c r="T403" s="114"/>
      <c r="U403" s="114"/>
      <c r="V403" s="114"/>
      <c r="W403" s="114"/>
      <c r="X403" s="114"/>
      <c r="Y403" s="114"/>
      <c r="Z403" s="114"/>
      <c r="AA403" s="114"/>
      <c r="AB403" s="114"/>
      <c r="AC403" s="114"/>
      <c r="AD403" s="114"/>
      <c r="AE403" s="114"/>
    </row>
    <row r="404" spans="1:31" x14ac:dyDescent="0.25">
      <c r="A404" s="140" t="s">
        <v>182</v>
      </c>
      <c r="B404" s="140" t="s">
        <v>58</v>
      </c>
      <c r="C404" s="140" t="s">
        <v>59</v>
      </c>
      <c r="D404" s="149" t="s">
        <v>59</v>
      </c>
      <c r="E404" s="139" t="s">
        <v>717</v>
      </c>
      <c r="F404" s="105"/>
      <c r="G404" s="113"/>
      <c r="H404" s="114"/>
      <c r="I404" s="114"/>
      <c r="J404" s="114"/>
      <c r="K404" s="114"/>
      <c r="L404" s="114"/>
      <c r="M404" s="114"/>
      <c r="N404" s="114"/>
      <c r="O404" s="114"/>
      <c r="P404" s="114"/>
      <c r="Q404" s="114"/>
      <c r="R404" s="114"/>
      <c r="S404" s="114"/>
      <c r="T404" s="114"/>
      <c r="U404" s="114"/>
      <c r="V404" s="114"/>
      <c r="W404" s="114"/>
      <c r="X404" s="114"/>
      <c r="Y404" s="114"/>
      <c r="Z404" s="114"/>
      <c r="AA404" s="114"/>
      <c r="AB404" s="114"/>
      <c r="AC404" s="114"/>
      <c r="AD404" s="114"/>
      <c r="AE404" s="114"/>
    </row>
    <row r="405" spans="1:31" x14ac:dyDescent="0.25">
      <c r="A405" s="140" t="s">
        <v>182</v>
      </c>
      <c r="B405" s="140" t="s">
        <v>58</v>
      </c>
      <c r="C405" s="140" t="s">
        <v>59</v>
      </c>
      <c r="D405" s="149" t="s">
        <v>228</v>
      </c>
      <c r="E405" s="139" t="s">
        <v>131</v>
      </c>
      <c r="F405" s="105"/>
      <c r="G405" s="113"/>
      <c r="H405" s="114"/>
      <c r="I405" s="114"/>
      <c r="J405" s="114"/>
      <c r="K405" s="114"/>
      <c r="L405" s="114"/>
      <c r="M405" s="114"/>
      <c r="N405" s="114"/>
      <c r="O405" s="114"/>
      <c r="P405" s="114"/>
      <c r="Q405" s="114"/>
      <c r="R405" s="114"/>
      <c r="S405" s="114"/>
      <c r="T405" s="114"/>
      <c r="U405" s="114"/>
      <c r="V405" s="114"/>
      <c r="W405" s="114"/>
      <c r="X405" s="114"/>
      <c r="Y405" s="114"/>
      <c r="Z405" s="114"/>
      <c r="AA405" s="114"/>
      <c r="AB405" s="114"/>
      <c r="AC405" s="114"/>
      <c r="AD405" s="114"/>
      <c r="AE405" s="114"/>
    </row>
    <row r="406" spans="1:31" x14ac:dyDescent="0.25">
      <c r="A406" s="140" t="s">
        <v>182</v>
      </c>
      <c r="B406" s="140" t="s">
        <v>23</v>
      </c>
      <c r="C406" s="140" t="s">
        <v>24</v>
      </c>
      <c r="D406" s="149" t="s">
        <v>25</v>
      </c>
      <c r="E406" s="139" t="s">
        <v>26</v>
      </c>
      <c r="F406" s="105"/>
      <c r="G406" s="113"/>
      <c r="H406" s="114"/>
      <c r="I406" s="114"/>
      <c r="J406" s="114"/>
      <c r="K406" s="114"/>
      <c r="L406" s="114"/>
      <c r="M406" s="114"/>
      <c r="N406" s="114"/>
      <c r="O406" s="114"/>
      <c r="P406" s="114"/>
      <c r="Q406" s="114"/>
      <c r="R406" s="114"/>
      <c r="S406" s="114"/>
      <c r="T406" s="114"/>
      <c r="U406" s="114"/>
      <c r="V406" s="114"/>
      <c r="W406" s="114"/>
      <c r="X406" s="114"/>
      <c r="Y406" s="114"/>
      <c r="Z406" s="114"/>
      <c r="AA406" s="114"/>
      <c r="AB406" s="114"/>
      <c r="AC406" s="114"/>
      <c r="AD406" s="114"/>
      <c r="AE406" s="114"/>
    </row>
    <row r="407" spans="1:31" x14ac:dyDescent="0.25">
      <c r="A407" s="140" t="s">
        <v>182</v>
      </c>
      <c r="B407" s="140" t="s">
        <v>23</v>
      </c>
      <c r="C407" s="140" t="s">
        <v>24</v>
      </c>
      <c r="D407" s="149" t="s">
        <v>47</v>
      </c>
      <c r="E407" s="139" t="s">
        <v>48</v>
      </c>
      <c r="F407" s="105"/>
      <c r="G407" s="113"/>
      <c r="H407" s="114"/>
      <c r="I407" s="114"/>
      <c r="J407" s="114"/>
      <c r="K407" s="114"/>
      <c r="L407" s="114"/>
      <c r="M407" s="114"/>
      <c r="N407" s="114"/>
      <c r="O407" s="114"/>
      <c r="P407" s="114"/>
      <c r="Q407" s="114"/>
      <c r="R407" s="114"/>
      <c r="S407" s="114"/>
      <c r="T407" s="114"/>
      <c r="U407" s="114"/>
      <c r="V407" s="114"/>
      <c r="W407" s="114"/>
      <c r="X407" s="114"/>
      <c r="Y407" s="114"/>
      <c r="Z407" s="114"/>
      <c r="AA407" s="114"/>
      <c r="AB407" s="114"/>
      <c r="AC407" s="114"/>
      <c r="AD407" s="114"/>
      <c r="AE407" s="114"/>
    </row>
    <row r="408" spans="1:31" x14ac:dyDescent="0.25">
      <c r="A408" s="140" t="s">
        <v>182</v>
      </c>
      <c r="B408" s="140" t="s">
        <v>23</v>
      </c>
      <c r="C408" s="140" t="s">
        <v>24</v>
      </c>
      <c r="D408" s="149" t="s">
        <v>51</v>
      </c>
      <c r="E408" s="139" t="s">
        <v>52</v>
      </c>
      <c r="F408" s="105"/>
      <c r="G408" s="113"/>
      <c r="H408" s="114"/>
      <c r="I408" s="114"/>
      <c r="J408" s="114"/>
      <c r="K408" s="114"/>
      <c r="L408" s="114"/>
      <c r="M408" s="114"/>
      <c r="N408" s="114"/>
      <c r="O408" s="114"/>
      <c r="P408" s="114"/>
      <c r="Q408" s="114"/>
      <c r="R408" s="114"/>
      <c r="S408" s="114"/>
      <c r="T408" s="114"/>
      <c r="U408" s="114"/>
      <c r="V408" s="114"/>
      <c r="W408" s="114"/>
      <c r="X408" s="114"/>
      <c r="Y408" s="114"/>
      <c r="Z408" s="114"/>
      <c r="AA408" s="114"/>
      <c r="AB408" s="114"/>
      <c r="AC408" s="114"/>
      <c r="AD408" s="114"/>
      <c r="AE408" s="114"/>
    </row>
    <row r="409" spans="1:31" x14ac:dyDescent="0.25">
      <c r="A409" s="140" t="s">
        <v>182</v>
      </c>
      <c r="B409" s="140" t="s">
        <v>23</v>
      </c>
      <c r="C409" s="140" t="s">
        <v>24</v>
      </c>
      <c r="D409" s="149" t="s">
        <v>168</v>
      </c>
      <c r="E409" s="139" t="s">
        <v>169</v>
      </c>
      <c r="F409" s="105"/>
      <c r="G409" s="113"/>
      <c r="H409" s="114"/>
      <c r="I409" s="114"/>
      <c r="J409" s="114"/>
      <c r="K409" s="114"/>
      <c r="L409" s="114"/>
      <c r="M409" s="114"/>
      <c r="N409" s="114"/>
      <c r="O409" s="114"/>
      <c r="P409" s="114"/>
      <c r="Q409" s="114"/>
      <c r="R409" s="114"/>
      <c r="S409" s="114"/>
      <c r="T409" s="114"/>
      <c r="U409" s="114"/>
      <c r="V409" s="114"/>
      <c r="W409" s="114"/>
      <c r="X409" s="114"/>
      <c r="Y409" s="114"/>
      <c r="Z409" s="114"/>
      <c r="AA409" s="114"/>
      <c r="AB409" s="114"/>
      <c r="AC409" s="114"/>
      <c r="AD409" s="114"/>
      <c r="AE409" s="114"/>
    </row>
    <row r="410" spans="1:31" x14ac:dyDescent="0.25">
      <c r="A410" s="140" t="s">
        <v>182</v>
      </c>
      <c r="B410" s="140" t="s">
        <v>23</v>
      </c>
      <c r="C410" s="140" t="s">
        <v>24</v>
      </c>
      <c r="D410" s="149" t="s">
        <v>170</v>
      </c>
      <c r="E410" s="139" t="s">
        <v>171</v>
      </c>
      <c r="F410" s="105"/>
      <c r="G410" s="113"/>
      <c r="H410" s="114"/>
      <c r="I410" s="114"/>
      <c r="J410" s="114"/>
      <c r="K410" s="114"/>
      <c r="L410" s="114"/>
      <c r="M410" s="114"/>
      <c r="N410" s="114"/>
      <c r="O410" s="114"/>
      <c r="P410" s="114"/>
      <c r="Q410" s="114"/>
      <c r="R410" s="114"/>
      <c r="S410" s="114"/>
      <c r="T410" s="114"/>
      <c r="U410" s="114"/>
      <c r="V410" s="114"/>
      <c r="W410" s="114"/>
      <c r="X410" s="114"/>
      <c r="Y410" s="114"/>
      <c r="Z410" s="114"/>
      <c r="AA410" s="114"/>
      <c r="AB410" s="114"/>
      <c r="AC410" s="114"/>
      <c r="AD410" s="114"/>
      <c r="AE410" s="114"/>
    </row>
    <row r="411" spans="1:31" x14ac:dyDescent="0.25">
      <c r="A411" s="140" t="s">
        <v>182</v>
      </c>
      <c r="B411" s="140" t="s">
        <v>23</v>
      </c>
      <c r="C411" s="140" t="s">
        <v>24</v>
      </c>
      <c r="D411" s="149" t="s">
        <v>413</v>
      </c>
      <c r="E411" s="139" t="s">
        <v>732</v>
      </c>
      <c r="F411" s="105"/>
      <c r="G411" s="113"/>
      <c r="H411" s="114"/>
      <c r="I411" s="114"/>
      <c r="J411" s="114"/>
      <c r="K411" s="114"/>
      <c r="L411" s="114"/>
      <c r="M411" s="114"/>
      <c r="N411" s="114"/>
      <c r="O411" s="114"/>
      <c r="P411" s="114"/>
      <c r="Q411" s="114"/>
      <c r="R411" s="114"/>
      <c r="S411" s="114"/>
      <c r="T411" s="114"/>
      <c r="U411" s="114"/>
      <c r="V411" s="114"/>
      <c r="W411" s="114"/>
      <c r="X411" s="114"/>
      <c r="Y411" s="114"/>
      <c r="Z411" s="114"/>
      <c r="AA411" s="114"/>
      <c r="AB411" s="114"/>
      <c r="AC411" s="114"/>
      <c r="AD411" s="114"/>
      <c r="AE411" s="114"/>
    </row>
    <row r="412" spans="1:31" x14ac:dyDescent="0.25">
      <c r="A412" s="140" t="s">
        <v>182</v>
      </c>
      <c r="B412" s="140" t="s">
        <v>23</v>
      </c>
      <c r="C412" s="140" t="s">
        <v>24</v>
      </c>
      <c r="D412" s="149" t="s">
        <v>82</v>
      </c>
      <c r="E412" s="139" t="s">
        <v>83</v>
      </c>
      <c r="F412" s="105"/>
      <c r="G412" s="113"/>
      <c r="H412" s="114"/>
      <c r="I412" s="114"/>
      <c r="J412" s="114"/>
      <c r="K412" s="114"/>
      <c r="L412" s="114"/>
      <c r="M412" s="114"/>
      <c r="N412" s="114"/>
      <c r="O412" s="114"/>
      <c r="P412" s="114"/>
      <c r="Q412" s="114"/>
      <c r="R412" s="114"/>
      <c r="S412" s="114"/>
      <c r="T412" s="114"/>
      <c r="U412" s="114"/>
      <c r="V412" s="114"/>
      <c r="W412" s="114"/>
      <c r="X412" s="114"/>
      <c r="Y412" s="114"/>
      <c r="Z412" s="114"/>
      <c r="AA412" s="114"/>
      <c r="AB412" s="114"/>
      <c r="AC412" s="114"/>
      <c r="AD412" s="114"/>
      <c r="AE412" s="114"/>
    </row>
    <row r="413" spans="1:31" x14ac:dyDescent="0.25">
      <c r="A413" s="140" t="s">
        <v>182</v>
      </c>
      <c r="B413" s="140" t="s">
        <v>23</v>
      </c>
      <c r="C413" s="140" t="s">
        <v>24</v>
      </c>
      <c r="D413" s="149" t="s">
        <v>84</v>
      </c>
      <c r="E413" s="139" t="s">
        <v>85</v>
      </c>
      <c r="F413" s="105"/>
      <c r="G413" s="113"/>
      <c r="H413" s="114"/>
      <c r="I413" s="114"/>
      <c r="J413" s="114"/>
      <c r="K413" s="114"/>
      <c r="L413" s="114"/>
      <c r="M413" s="114"/>
      <c r="N413" s="114"/>
      <c r="O413" s="114"/>
      <c r="P413" s="114"/>
      <c r="Q413" s="114"/>
      <c r="R413" s="114"/>
      <c r="S413" s="114"/>
      <c r="T413" s="114"/>
      <c r="U413" s="114"/>
      <c r="V413" s="114"/>
      <c r="W413" s="114"/>
      <c r="X413" s="114"/>
      <c r="Y413" s="114"/>
      <c r="Z413" s="114"/>
      <c r="AA413" s="114"/>
      <c r="AB413" s="114"/>
      <c r="AC413" s="114"/>
      <c r="AD413" s="114"/>
      <c r="AE413" s="114"/>
    </row>
    <row r="414" spans="1:31" x14ac:dyDescent="0.25">
      <c r="A414" s="140" t="s">
        <v>182</v>
      </c>
      <c r="B414" s="140" t="s">
        <v>23</v>
      </c>
      <c r="C414" s="140" t="s">
        <v>24</v>
      </c>
      <c r="D414" s="149" t="s">
        <v>89</v>
      </c>
      <c r="E414" s="139" t="s">
        <v>90</v>
      </c>
      <c r="F414" s="105"/>
      <c r="G414" s="113"/>
      <c r="H414" s="114"/>
      <c r="I414" s="114"/>
      <c r="J414" s="114"/>
      <c r="K414" s="114"/>
      <c r="L414" s="114"/>
      <c r="M414" s="114"/>
      <c r="N414" s="114"/>
      <c r="O414" s="114"/>
      <c r="P414" s="114"/>
      <c r="Q414" s="114"/>
      <c r="R414" s="114"/>
      <c r="S414" s="114"/>
      <c r="T414" s="114"/>
      <c r="U414" s="114"/>
      <c r="V414" s="114"/>
      <c r="W414" s="114"/>
      <c r="X414" s="114"/>
      <c r="Y414" s="114"/>
      <c r="Z414" s="114"/>
      <c r="AA414" s="114"/>
      <c r="AB414" s="114"/>
      <c r="AC414" s="114"/>
      <c r="AD414" s="114"/>
      <c r="AE414" s="114"/>
    </row>
    <row r="415" spans="1:31" x14ac:dyDescent="0.25">
      <c r="A415" s="140" t="s">
        <v>182</v>
      </c>
      <c r="B415" s="140" t="s">
        <v>23</v>
      </c>
      <c r="C415" s="140" t="s">
        <v>24</v>
      </c>
      <c r="D415" s="149" t="s">
        <v>176</v>
      </c>
      <c r="E415" s="139" t="s">
        <v>177</v>
      </c>
      <c r="F415" s="105"/>
      <c r="G415" s="113"/>
      <c r="H415" s="114"/>
      <c r="I415" s="114"/>
      <c r="J415" s="114"/>
      <c r="K415" s="114"/>
      <c r="L415" s="114"/>
      <c r="M415" s="114"/>
      <c r="N415" s="114"/>
      <c r="O415" s="114"/>
      <c r="P415" s="114"/>
      <c r="Q415" s="114"/>
      <c r="R415" s="114"/>
      <c r="S415" s="114"/>
      <c r="T415" s="114"/>
      <c r="U415" s="114"/>
      <c r="V415" s="114"/>
      <c r="W415" s="114"/>
      <c r="X415" s="114"/>
      <c r="Y415" s="114"/>
      <c r="Z415" s="114"/>
      <c r="AA415" s="114"/>
      <c r="AB415" s="114"/>
      <c r="AC415" s="114"/>
      <c r="AD415" s="114"/>
      <c r="AE415" s="114"/>
    </row>
    <row r="416" spans="1:31" x14ac:dyDescent="0.25">
      <c r="A416" s="140" t="s">
        <v>182</v>
      </c>
      <c r="B416" s="140" t="s">
        <v>23</v>
      </c>
      <c r="C416" s="140" t="s">
        <v>24</v>
      </c>
      <c r="D416" s="149" t="s">
        <v>93</v>
      </c>
      <c r="E416" s="139" t="s">
        <v>94</v>
      </c>
      <c r="F416" s="105"/>
      <c r="G416" s="113"/>
      <c r="H416" s="114"/>
      <c r="I416" s="114"/>
      <c r="J416" s="114"/>
      <c r="K416" s="114"/>
      <c r="L416" s="114"/>
      <c r="M416" s="114"/>
      <c r="N416" s="114"/>
      <c r="O416" s="114"/>
      <c r="P416" s="114"/>
      <c r="Q416" s="114"/>
      <c r="R416" s="114"/>
      <c r="S416" s="114"/>
      <c r="T416" s="114"/>
      <c r="U416" s="114"/>
      <c r="V416" s="114"/>
      <c r="W416" s="114"/>
      <c r="X416" s="114"/>
      <c r="Y416" s="114"/>
      <c r="Z416" s="114"/>
      <c r="AA416" s="114"/>
      <c r="AB416" s="114"/>
      <c r="AC416" s="114"/>
      <c r="AD416" s="114"/>
      <c r="AE416" s="114"/>
    </row>
    <row r="417" spans="1:31" x14ac:dyDescent="0.25">
      <c r="A417" s="140" t="s">
        <v>182</v>
      </c>
      <c r="B417" s="140" t="s">
        <v>23</v>
      </c>
      <c r="C417" s="140" t="s">
        <v>24</v>
      </c>
      <c r="D417" s="149" t="s">
        <v>102</v>
      </c>
      <c r="E417" s="139" t="s">
        <v>103</v>
      </c>
      <c r="F417" s="105"/>
      <c r="G417" s="113"/>
      <c r="H417" s="114"/>
      <c r="I417" s="114"/>
      <c r="J417" s="114"/>
      <c r="K417" s="114"/>
      <c r="L417" s="114"/>
      <c r="M417" s="114"/>
      <c r="N417" s="114"/>
      <c r="O417" s="114"/>
      <c r="P417" s="114"/>
      <c r="Q417" s="114"/>
      <c r="R417" s="114"/>
      <c r="S417" s="114"/>
      <c r="T417" s="114"/>
      <c r="U417" s="114"/>
      <c r="V417" s="114"/>
      <c r="W417" s="114"/>
      <c r="X417" s="114"/>
      <c r="Y417" s="114"/>
      <c r="Z417" s="114"/>
      <c r="AA417" s="114"/>
      <c r="AB417" s="114"/>
      <c r="AC417" s="114"/>
      <c r="AD417" s="114"/>
      <c r="AE417" s="114"/>
    </row>
    <row r="418" spans="1:31" x14ac:dyDescent="0.25">
      <c r="A418" s="140" t="s">
        <v>182</v>
      </c>
      <c r="B418" s="140" t="s">
        <v>23</v>
      </c>
      <c r="C418" s="140" t="s">
        <v>24</v>
      </c>
      <c r="D418" s="149" t="s">
        <v>107</v>
      </c>
      <c r="E418" s="139" t="s">
        <v>108</v>
      </c>
      <c r="F418" s="105"/>
      <c r="G418" s="113"/>
      <c r="H418" s="114"/>
      <c r="I418" s="114"/>
      <c r="J418" s="114"/>
      <c r="K418" s="114"/>
      <c r="L418" s="114"/>
      <c r="M418" s="114"/>
      <c r="N418" s="114"/>
      <c r="O418" s="114"/>
      <c r="P418" s="114"/>
      <c r="Q418" s="114"/>
      <c r="R418" s="114"/>
      <c r="S418" s="114"/>
      <c r="T418" s="114"/>
      <c r="U418" s="114"/>
      <c r="V418" s="114"/>
      <c r="W418" s="114"/>
      <c r="X418" s="114"/>
      <c r="Y418" s="114"/>
      <c r="Z418" s="114"/>
      <c r="AA418" s="114"/>
      <c r="AB418" s="114"/>
      <c r="AC418" s="114"/>
      <c r="AD418" s="114"/>
      <c r="AE418" s="114"/>
    </row>
    <row r="419" spans="1:31" x14ac:dyDescent="0.25">
      <c r="A419" s="140" t="s">
        <v>182</v>
      </c>
      <c r="B419" s="140" t="s">
        <v>23</v>
      </c>
      <c r="C419" s="140" t="s">
        <v>104</v>
      </c>
      <c r="D419" s="149" t="s">
        <v>105</v>
      </c>
      <c r="E419" s="139" t="s">
        <v>106</v>
      </c>
      <c r="F419" s="105"/>
      <c r="G419" s="113"/>
      <c r="H419" s="114"/>
      <c r="I419" s="114"/>
      <c r="J419" s="114"/>
      <c r="K419" s="114"/>
      <c r="L419" s="114"/>
      <c r="M419" s="114"/>
      <c r="N419" s="114"/>
      <c r="O419" s="114"/>
      <c r="P419" s="114"/>
      <c r="Q419" s="114"/>
      <c r="R419" s="114"/>
      <c r="S419" s="114"/>
      <c r="T419" s="114"/>
      <c r="U419" s="114"/>
      <c r="V419" s="114"/>
      <c r="W419" s="114"/>
      <c r="X419" s="114"/>
      <c r="Y419" s="114"/>
      <c r="Z419" s="114"/>
      <c r="AA419" s="114"/>
      <c r="AB419" s="114"/>
      <c r="AC419" s="114"/>
      <c r="AD419" s="114"/>
      <c r="AE419" s="114"/>
    </row>
    <row r="420" spans="1:31" x14ac:dyDescent="0.25">
      <c r="A420" s="140" t="s">
        <v>182</v>
      </c>
      <c r="B420" s="140" t="s">
        <v>23</v>
      </c>
      <c r="C420" s="140" t="s">
        <v>104</v>
      </c>
      <c r="D420" s="149" t="s">
        <v>140</v>
      </c>
      <c r="E420" s="139" t="s">
        <v>141</v>
      </c>
      <c r="F420" s="105"/>
      <c r="G420" s="113"/>
      <c r="H420" s="114"/>
      <c r="I420" s="114"/>
      <c r="J420" s="114"/>
      <c r="K420" s="114"/>
      <c r="L420" s="114"/>
      <c r="M420" s="114"/>
      <c r="N420" s="114"/>
      <c r="O420" s="114"/>
      <c r="P420" s="114"/>
      <c r="Q420" s="114"/>
      <c r="R420" s="114"/>
      <c r="S420" s="114"/>
      <c r="T420" s="114"/>
      <c r="U420" s="114"/>
      <c r="V420" s="114"/>
      <c r="W420" s="114"/>
      <c r="X420" s="114"/>
      <c r="Y420" s="114"/>
      <c r="Z420" s="114"/>
      <c r="AA420" s="114"/>
      <c r="AB420" s="114"/>
      <c r="AC420" s="114"/>
      <c r="AD420" s="114"/>
      <c r="AE420" s="114"/>
    </row>
    <row r="421" spans="1:31" x14ac:dyDescent="0.25">
      <c r="A421" s="140" t="s">
        <v>182</v>
      </c>
      <c r="B421" s="140" t="s">
        <v>23</v>
      </c>
      <c r="C421" s="140" t="s">
        <v>38</v>
      </c>
      <c r="D421" s="149" t="s">
        <v>39</v>
      </c>
      <c r="E421" s="139" t="s">
        <v>40</v>
      </c>
      <c r="F421" s="105"/>
      <c r="G421" s="113"/>
      <c r="H421" s="114"/>
      <c r="I421" s="114"/>
      <c r="J421" s="114"/>
      <c r="K421" s="114"/>
      <c r="L421" s="114"/>
      <c r="M421" s="114"/>
      <c r="N421" s="114"/>
      <c r="O421" s="114"/>
      <c r="P421" s="114"/>
      <c r="Q421" s="114"/>
      <c r="R421" s="114"/>
      <c r="S421" s="114"/>
      <c r="T421" s="114"/>
      <c r="U421" s="114"/>
      <c r="V421" s="114"/>
      <c r="W421" s="114"/>
      <c r="X421" s="114"/>
      <c r="Y421" s="114"/>
      <c r="Z421" s="114"/>
      <c r="AA421" s="114"/>
      <c r="AB421" s="114"/>
      <c r="AC421" s="114"/>
      <c r="AD421" s="114"/>
      <c r="AE421" s="114"/>
    </row>
    <row r="422" spans="1:31" x14ac:dyDescent="0.25">
      <c r="A422" s="140" t="s">
        <v>182</v>
      </c>
      <c r="B422" s="140" t="s">
        <v>23</v>
      </c>
      <c r="C422" s="140" t="s">
        <v>38</v>
      </c>
      <c r="D422" s="149" t="s">
        <v>53</v>
      </c>
      <c r="E422" s="139" t="s">
        <v>54</v>
      </c>
      <c r="F422" s="105"/>
      <c r="G422" s="113"/>
      <c r="H422" s="114"/>
      <c r="I422" s="114"/>
      <c r="J422" s="114"/>
      <c r="K422" s="114"/>
      <c r="L422" s="114"/>
      <c r="M422" s="114"/>
      <c r="N422" s="114"/>
      <c r="O422" s="114"/>
      <c r="P422" s="114"/>
      <c r="Q422" s="114"/>
      <c r="R422" s="114"/>
      <c r="S422" s="114"/>
      <c r="T422" s="114"/>
      <c r="U422" s="114"/>
      <c r="V422" s="114"/>
      <c r="W422" s="114"/>
      <c r="X422" s="114"/>
      <c r="Y422" s="114"/>
      <c r="Z422" s="114"/>
      <c r="AA422" s="114"/>
      <c r="AB422" s="114"/>
      <c r="AC422" s="114"/>
      <c r="AD422" s="114"/>
      <c r="AE422" s="114"/>
    </row>
    <row r="423" spans="1:31" x14ac:dyDescent="0.25">
      <c r="A423" s="140" t="s">
        <v>182</v>
      </c>
      <c r="B423" s="140" t="s">
        <v>23</v>
      </c>
      <c r="C423" s="140" t="s">
        <v>38</v>
      </c>
      <c r="D423" s="149" t="s">
        <v>174</v>
      </c>
      <c r="E423" s="139" t="s">
        <v>175</v>
      </c>
      <c r="F423" s="105"/>
      <c r="G423" s="113"/>
      <c r="H423" s="114"/>
      <c r="I423" s="114"/>
      <c r="J423" s="114"/>
      <c r="K423" s="114"/>
      <c r="L423" s="114"/>
      <c r="M423" s="114"/>
      <c r="N423" s="114"/>
      <c r="O423" s="114"/>
      <c r="P423" s="114"/>
      <c r="Q423" s="114"/>
      <c r="R423" s="114"/>
      <c r="S423" s="114"/>
      <c r="T423" s="114"/>
      <c r="U423" s="114"/>
      <c r="V423" s="114"/>
      <c r="W423" s="114"/>
      <c r="X423" s="114"/>
      <c r="Y423" s="114"/>
      <c r="Z423" s="114"/>
      <c r="AA423" s="114"/>
      <c r="AB423" s="114"/>
      <c r="AC423" s="114"/>
      <c r="AD423" s="114"/>
      <c r="AE423" s="114"/>
    </row>
    <row r="424" spans="1:31" x14ac:dyDescent="0.25">
      <c r="A424" s="140" t="s">
        <v>182</v>
      </c>
      <c r="B424" s="140" t="s">
        <v>23</v>
      </c>
      <c r="C424" s="140" t="s">
        <v>38</v>
      </c>
      <c r="D424" s="149" t="s">
        <v>91</v>
      </c>
      <c r="E424" s="139" t="s">
        <v>92</v>
      </c>
      <c r="F424" s="105"/>
      <c r="G424" s="113"/>
      <c r="H424" s="114"/>
      <c r="I424" s="114"/>
      <c r="J424" s="114"/>
      <c r="K424" s="114"/>
      <c r="L424" s="114"/>
      <c r="M424" s="114"/>
      <c r="N424" s="114"/>
      <c r="O424" s="114"/>
      <c r="P424" s="114"/>
      <c r="Q424" s="114"/>
      <c r="R424" s="114"/>
      <c r="S424" s="114"/>
      <c r="T424" s="114"/>
      <c r="U424" s="114"/>
      <c r="V424" s="114"/>
      <c r="W424" s="114"/>
      <c r="X424" s="114"/>
      <c r="Y424" s="114"/>
      <c r="Z424" s="114"/>
      <c r="AA424" s="114"/>
      <c r="AB424" s="114"/>
      <c r="AC424" s="114"/>
      <c r="AD424" s="114"/>
      <c r="AE424" s="114"/>
    </row>
    <row r="425" spans="1:31" x14ac:dyDescent="0.25">
      <c r="A425" s="140" t="s">
        <v>182</v>
      </c>
      <c r="B425" s="140" t="s">
        <v>23</v>
      </c>
      <c r="C425" s="140" t="s">
        <v>38</v>
      </c>
      <c r="D425" s="149" t="s">
        <v>95</v>
      </c>
      <c r="E425" s="139" t="s">
        <v>96</v>
      </c>
      <c r="F425" s="105"/>
      <c r="G425" s="113"/>
      <c r="H425" s="114"/>
      <c r="I425" s="114"/>
      <c r="J425" s="114"/>
      <c r="K425" s="114"/>
      <c r="L425" s="114"/>
      <c r="M425" s="114"/>
      <c r="N425" s="114"/>
      <c r="O425" s="114"/>
      <c r="P425" s="114"/>
      <c r="Q425" s="114"/>
      <c r="R425" s="114"/>
      <c r="S425" s="114"/>
      <c r="T425" s="114"/>
      <c r="U425" s="114"/>
      <c r="V425" s="114"/>
      <c r="W425" s="114"/>
      <c r="X425" s="114"/>
      <c r="Y425" s="114"/>
      <c r="Z425" s="114"/>
      <c r="AA425" s="114"/>
      <c r="AB425" s="114"/>
      <c r="AC425" s="114"/>
      <c r="AD425" s="114"/>
      <c r="AE425" s="114"/>
    </row>
    <row r="426" spans="1:31" x14ac:dyDescent="0.25">
      <c r="A426" s="140" t="s">
        <v>182</v>
      </c>
      <c r="B426" s="140" t="s">
        <v>23</v>
      </c>
      <c r="C426" s="140" t="s">
        <v>38</v>
      </c>
      <c r="D426" s="149" t="s">
        <v>825</v>
      </c>
      <c r="E426" s="139" t="s">
        <v>179</v>
      </c>
      <c r="F426" s="105"/>
      <c r="G426" s="113"/>
      <c r="H426" s="114"/>
      <c r="I426" s="114"/>
      <c r="J426" s="114"/>
      <c r="K426" s="114"/>
      <c r="L426" s="114"/>
      <c r="M426" s="114"/>
      <c r="N426" s="114"/>
      <c r="O426" s="114"/>
      <c r="P426" s="114"/>
      <c r="Q426" s="114"/>
      <c r="R426" s="114"/>
      <c r="S426" s="114"/>
      <c r="T426" s="114"/>
      <c r="U426" s="114"/>
      <c r="V426" s="114"/>
      <c r="W426" s="114"/>
      <c r="X426" s="114"/>
      <c r="Y426" s="114"/>
      <c r="Z426" s="114"/>
      <c r="AA426" s="114"/>
      <c r="AB426" s="114"/>
      <c r="AC426" s="114"/>
      <c r="AD426" s="114"/>
      <c r="AE426" s="114"/>
    </row>
    <row r="427" spans="1:31" x14ac:dyDescent="0.25">
      <c r="A427" s="140" t="s">
        <v>182</v>
      </c>
      <c r="B427" s="140" t="s">
        <v>23</v>
      </c>
      <c r="C427" s="140" t="s">
        <v>38</v>
      </c>
      <c r="D427" s="149" t="s">
        <v>134</v>
      </c>
      <c r="E427" s="139" t="s">
        <v>135</v>
      </c>
      <c r="F427" s="105"/>
      <c r="G427" s="113"/>
      <c r="H427" s="114"/>
      <c r="I427" s="114"/>
      <c r="J427" s="114"/>
      <c r="K427" s="114"/>
      <c r="L427" s="114"/>
      <c r="M427" s="114"/>
      <c r="N427" s="114"/>
      <c r="O427" s="114"/>
      <c r="P427" s="114"/>
      <c r="Q427" s="114"/>
      <c r="R427" s="114"/>
      <c r="S427" s="114"/>
      <c r="T427" s="114"/>
      <c r="U427" s="114"/>
      <c r="V427" s="114"/>
      <c r="W427" s="114"/>
      <c r="X427" s="114"/>
      <c r="Y427" s="114"/>
      <c r="Z427" s="114"/>
      <c r="AA427" s="114"/>
      <c r="AB427" s="114"/>
      <c r="AC427" s="114"/>
      <c r="AD427" s="114"/>
      <c r="AE427" s="114"/>
    </row>
    <row r="428" spans="1:31" x14ac:dyDescent="0.25">
      <c r="A428" s="140" t="s">
        <v>182</v>
      </c>
      <c r="B428" s="140" t="s">
        <v>23</v>
      </c>
      <c r="C428" s="140" t="s">
        <v>38</v>
      </c>
      <c r="D428" s="149" t="s">
        <v>138</v>
      </c>
      <c r="E428" s="139" t="s">
        <v>139</v>
      </c>
      <c r="F428" s="105"/>
      <c r="G428" s="113"/>
      <c r="H428" s="114"/>
      <c r="I428" s="114"/>
      <c r="J428" s="114"/>
      <c r="K428" s="114"/>
      <c r="L428" s="114"/>
      <c r="M428" s="114"/>
      <c r="N428" s="114"/>
      <c r="O428" s="114"/>
      <c r="P428" s="114"/>
      <c r="Q428" s="114"/>
      <c r="R428" s="114"/>
      <c r="S428" s="114"/>
      <c r="T428" s="114"/>
      <c r="U428" s="114"/>
      <c r="V428" s="114"/>
      <c r="W428" s="114"/>
      <c r="X428" s="114"/>
      <c r="Y428" s="114"/>
      <c r="Z428" s="114"/>
      <c r="AA428" s="114"/>
      <c r="AB428" s="114"/>
      <c r="AC428" s="114"/>
      <c r="AD428" s="114"/>
      <c r="AE428" s="114"/>
    </row>
    <row r="429" spans="1:31" x14ac:dyDescent="0.25">
      <c r="A429" s="140" t="s">
        <v>182</v>
      </c>
      <c r="B429" s="140" t="s">
        <v>27</v>
      </c>
      <c r="C429" s="140" t="s">
        <v>66</v>
      </c>
      <c r="D429" s="149" t="s">
        <v>614</v>
      </c>
      <c r="E429" s="139" t="s">
        <v>674</v>
      </c>
      <c r="F429" s="105"/>
      <c r="G429" s="113"/>
      <c r="H429" s="114"/>
      <c r="I429" s="114"/>
      <c r="J429" s="114"/>
      <c r="K429" s="114"/>
      <c r="L429" s="114"/>
      <c r="M429" s="114"/>
      <c r="N429" s="114"/>
      <c r="O429" s="114"/>
      <c r="P429" s="114"/>
      <c r="Q429" s="114"/>
      <c r="R429" s="114"/>
      <c r="S429" s="114"/>
      <c r="T429" s="114"/>
      <c r="U429" s="114"/>
      <c r="V429" s="114"/>
      <c r="W429" s="114"/>
      <c r="X429" s="114"/>
      <c r="Y429" s="114"/>
      <c r="Z429" s="114"/>
      <c r="AA429" s="114"/>
      <c r="AB429" s="114"/>
      <c r="AC429" s="114"/>
      <c r="AD429" s="114"/>
      <c r="AE429" s="114"/>
    </row>
    <row r="430" spans="1:31" x14ac:dyDescent="0.25">
      <c r="A430" s="140" t="s">
        <v>182</v>
      </c>
      <c r="B430" s="140" t="s">
        <v>27</v>
      </c>
      <c r="C430" s="140" t="s">
        <v>813</v>
      </c>
      <c r="D430" s="149" t="s">
        <v>218</v>
      </c>
      <c r="E430" s="139" t="s">
        <v>219</v>
      </c>
      <c r="F430" s="105"/>
      <c r="G430" s="113"/>
      <c r="H430" s="114"/>
      <c r="I430" s="114"/>
      <c r="J430" s="114"/>
      <c r="K430" s="114"/>
      <c r="L430" s="114"/>
      <c r="M430" s="114"/>
      <c r="N430" s="114"/>
      <c r="O430" s="114"/>
      <c r="P430" s="114"/>
      <c r="Q430" s="114"/>
      <c r="R430" s="114"/>
      <c r="S430" s="114"/>
      <c r="T430" s="114"/>
      <c r="U430" s="114"/>
      <c r="V430" s="114"/>
      <c r="W430" s="114"/>
      <c r="X430" s="114"/>
      <c r="Y430" s="114"/>
      <c r="Z430" s="114"/>
      <c r="AA430" s="114"/>
      <c r="AB430" s="114"/>
      <c r="AC430" s="114"/>
      <c r="AD430" s="114"/>
      <c r="AE430" s="114"/>
    </row>
    <row r="431" spans="1:31" x14ac:dyDescent="0.25">
      <c r="A431" s="140" t="s">
        <v>182</v>
      </c>
      <c r="B431" s="140" t="s">
        <v>27</v>
      </c>
      <c r="C431" s="140" t="s">
        <v>28</v>
      </c>
      <c r="D431" s="149" t="s">
        <v>817</v>
      </c>
      <c r="E431" s="139" t="s">
        <v>734</v>
      </c>
      <c r="F431" s="105"/>
      <c r="G431" s="113"/>
      <c r="H431" s="114"/>
      <c r="I431" s="114"/>
      <c r="J431" s="114"/>
      <c r="K431" s="114"/>
      <c r="L431" s="114"/>
      <c r="M431" s="114"/>
      <c r="N431" s="114"/>
      <c r="O431" s="114"/>
      <c r="P431" s="114"/>
      <c r="Q431" s="114"/>
      <c r="R431" s="114"/>
      <c r="S431" s="114"/>
      <c r="T431" s="114"/>
      <c r="U431" s="114"/>
      <c r="V431" s="114"/>
      <c r="W431" s="114"/>
      <c r="X431" s="114"/>
      <c r="Y431" s="114"/>
      <c r="Z431" s="114"/>
      <c r="AA431" s="114"/>
      <c r="AB431" s="114"/>
      <c r="AC431" s="114"/>
      <c r="AD431" s="114"/>
      <c r="AE431" s="114"/>
    </row>
    <row r="432" spans="1:31" x14ac:dyDescent="0.25">
      <c r="A432" s="140" t="s">
        <v>182</v>
      </c>
      <c r="B432" s="140" t="s">
        <v>27</v>
      </c>
      <c r="C432" s="140" t="s">
        <v>28</v>
      </c>
      <c r="D432" s="149" t="s">
        <v>356</v>
      </c>
      <c r="E432" s="139" t="s">
        <v>735</v>
      </c>
      <c r="F432" s="105"/>
      <c r="G432" s="113"/>
      <c r="H432" s="114"/>
      <c r="I432" s="114"/>
      <c r="J432" s="114"/>
      <c r="K432" s="114"/>
      <c r="L432" s="114"/>
      <c r="M432" s="114"/>
      <c r="N432" s="114"/>
      <c r="O432" s="114"/>
      <c r="P432" s="114"/>
      <c r="Q432" s="114"/>
      <c r="R432" s="114"/>
      <c r="S432" s="114"/>
      <c r="T432" s="114"/>
      <c r="U432" s="114"/>
      <c r="V432" s="114"/>
      <c r="W432" s="114"/>
      <c r="X432" s="114"/>
      <c r="Y432" s="114"/>
      <c r="Z432" s="114"/>
      <c r="AA432" s="114"/>
      <c r="AB432" s="114"/>
      <c r="AC432" s="114"/>
      <c r="AD432" s="114"/>
      <c r="AE432" s="114"/>
    </row>
    <row r="433" spans="1:31" x14ac:dyDescent="0.25">
      <c r="A433" s="140" t="s">
        <v>182</v>
      </c>
      <c r="B433" s="140" t="s">
        <v>27</v>
      </c>
      <c r="C433" s="140" t="s">
        <v>28</v>
      </c>
      <c r="D433" s="149" t="s">
        <v>358</v>
      </c>
      <c r="E433" s="139" t="s">
        <v>736</v>
      </c>
      <c r="F433" s="105"/>
      <c r="G433" s="113"/>
      <c r="H433" s="114"/>
      <c r="I433" s="114"/>
      <c r="J433" s="114"/>
      <c r="K433" s="114"/>
      <c r="L433" s="114"/>
      <c r="M433" s="114"/>
      <c r="N433" s="114"/>
      <c r="O433" s="114"/>
      <c r="P433" s="114"/>
      <c r="Q433" s="114"/>
      <c r="R433" s="114"/>
      <c r="S433" s="114"/>
      <c r="T433" s="114"/>
      <c r="U433" s="114"/>
      <c r="V433" s="114"/>
      <c r="W433" s="114"/>
      <c r="X433" s="114"/>
      <c r="Y433" s="114"/>
      <c r="Z433" s="114"/>
      <c r="AA433" s="114"/>
      <c r="AB433" s="114"/>
      <c r="AC433" s="114"/>
      <c r="AD433" s="114"/>
      <c r="AE433" s="114"/>
    </row>
    <row r="434" spans="1:31" x14ac:dyDescent="0.25">
      <c r="A434" s="140" t="s">
        <v>182</v>
      </c>
      <c r="B434" s="140" t="s">
        <v>27</v>
      </c>
      <c r="C434" s="140" t="s">
        <v>28</v>
      </c>
      <c r="D434" s="149" t="s">
        <v>29</v>
      </c>
      <c r="E434" s="139" t="s">
        <v>30</v>
      </c>
      <c r="F434" s="105"/>
      <c r="G434" s="113"/>
      <c r="H434" s="114"/>
      <c r="I434" s="114"/>
      <c r="J434" s="114"/>
      <c r="K434" s="114"/>
      <c r="L434" s="114"/>
      <c r="M434" s="114"/>
      <c r="N434" s="114"/>
      <c r="O434" s="114"/>
      <c r="P434" s="114"/>
      <c r="Q434" s="114"/>
      <c r="R434" s="114"/>
      <c r="S434" s="114"/>
      <c r="T434" s="114"/>
      <c r="U434" s="114"/>
      <c r="V434" s="114"/>
      <c r="W434" s="114"/>
      <c r="X434" s="114"/>
      <c r="Y434" s="114"/>
      <c r="Z434" s="114"/>
      <c r="AA434" s="114"/>
      <c r="AB434" s="114"/>
      <c r="AC434" s="114"/>
      <c r="AD434" s="114"/>
      <c r="AE434" s="114"/>
    </row>
    <row r="435" spans="1:31" x14ac:dyDescent="0.25">
      <c r="A435" s="140" t="s">
        <v>182</v>
      </c>
      <c r="B435" s="140" t="s">
        <v>27</v>
      </c>
      <c r="C435" s="140" t="s">
        <v>28</v>
      </c>
      <c r="D435" s="149" t="s">
        <v>361</v>
      </c>
      <c r="E435" s="139" t="s">
        <v>737</v>
      </c>
      <c r="F435" s="105"/>
      <c r="G435" s="113"/>
      <c r="H435" s="114"/>
      <c r="I435" s="114"/>
      <c r="J435" s="114"/>
      <c r="K435" s="114"/>
      <c r="L435" s="114"/>
      <c r="M435" s="114"/>
      <c r="N435" s="114"/>
      <c r="O435" s="114"/>
      <c r="P435" s="114"/>
      <c r="Q435" s="114"/>
      <c r="R435" s="114"/>
      <c r="S435" s="114"/>
      <c r="T435" s="114"/>
      <c r="U435" s="114"/>
      <c r="V435" s="114"/>
      <c r="W435" s="114"/>
      <c r="X435" s="114"/>
      <c r="Y435" s="114"/>
      <c r="Z435" s="114"/>
      <c r="AA435" s="114"/>
      <c r="AB435" s="114"/>
      <c r="AC435" s="114"/>
      <c r="AD435" s="114"/>
      <c r="AE435" s="114"/>
    </row>
    <row r="436" spans="1:31" x14ac:dyDescent="0.25">
      <c r="A436" s="140" t="s">
        <v>182</v>
      </c>
      <c r="B436" s="140" t="s">
        <v>27</v>
      </c>
      <c r="C436" s="140" t="s">
        <v>28</v>
      </c>
      <c r="D436" s="149" t="s">
        <v>363</v>
      </c>
      <c r="E436" s="139" t="s">
        <v>738</v>
      </c>
      <c r="F436" s="105"/>
      <c r="G436" s="113"/>
      <c r="H436" s="114"/>
      <c r="I436" s="114"/>
      <c r="J436" s="114"/>
      <c r="K436" s="114"/>
      <c r="L436" s="114"/>
      <c r="M436" s="114"/>
      <c r="N436" s="114"/>
      <c r="O436" s="114"/>
      <c r="P436" s="114"/>
      <c r="Q436" s="114"/>
      <c r="R436" s="114"/>
      <c r="S436" s="114"/>
      <c r="T436" s="114"/>
      <c r="U436" s="114"/>
      <c r="V436" s="114"/>
      <c r="W436" s="114"/>
      <c r="X436" s="114"/>
      <c r="Y436" s="114"/>
      <c r="Z436" s="114"/>
      <c r="AA436" s="114"/>
      <c r="AB436" s="114"/>
      <c r="AC436" s="114"/>
      <c r="AD436" s="114"/>
      <c r="AE436" s="114"/>
    </row>
    <row r="437" spans="1:31" x14ac:dyDescent="0.25">
      <c r="A437" s="140" t="s">
        <v>182</v>
      </c>
      <c r="B437" s="140" t="s">
        <v>27</v>
      </c>
      <c r="C437" s="140" t="s">
        <v>28</v>
      </c>
      <c r="D437" s="149" t="s">
        <v>816</v>
      </c>
      <c r="E437" s="139" t="s">
        <v>739</v>
      </c>
      <c r="F437" s="105"/>
      <c r="G437" s="113"/>
      <c r="H437" s="114"/>
      <c r="I437" s="114"/>
      <c r="J437" s="114"/>
      <c r="K437" s="114"/>
      <c r="L437" s="114"/>
      <c r="M437" s="114"/>
      <c r="N437" s="114"/>
      <c r="O437" s="114"/>
      <c r="P437" s="114"/>
      <c r="Q437" s="114"/>
      <c r="R437" s="114"/>
      <c r="S437" s="114"/>
      <c r="T437" s="114"/>
      <c r="U437" s="114"/>
      <c r="V437" s="114"/>
      <c r="W437" s="114"/>
      <c r="X437" s="114"/>
      <c r="Y437" s="114"/>
      <c r="Z437" s="114"/>
      <c r="AA437" s="114"/>
      <c r="AB437" s="114"/>
      <c r="AC437" s="114"/>
      <c r="AD437" s="114"/>
      <c r="AE437" s="114"/>
    </row>
    <row r="438" spans="1:31" x14ac:dyDescent="0.25">
      <c r="A438" s="140" t="s">
        <v>182</v>
      </c>
      <c r="B438" s="140" t="s">
        <v>27</v>
      </c>
      <c r="C438" s="140" t="s">
        <v>28</v>
      </c>
      <c r="D438" s="149" t="s">
        <v>824</v>
      </c>
      <c r="E438" s="139" t="s">
        <v>740</v>
      </c>
      <c r="F438" s="105"/>
      <c r="G438" s="113"/>
      <c r="H438" s="114"/>
      <c r="I438" s="114"/>
      <c r="J438" s="114"/>
      <c r="K438" s="114"/>
      <c r="L438" s="114"/>
      <c r="M438" s="114"/>
      <c r="N438" s="114"/>
      <c r="O438" s="114"/>
      <c r="P438" s="114"/>
      <c r="Q438" s="114"/>
      <c r="R438" s="114"/>
      <c r="S438" s="114"/>
      <c r="T438" s="114"/>
      <c r="U438" s="114"/>
      <c r="V438" s="114"/>
      <c r="W438" s="114"/>
      <c r="X438" s="114"/>
      <c r="Y438" s="114"/>
      <c r="Z438" s="114"/>
      <c r="AA438" s="114"/>
      <c r="AB438" s="114"/>
      <c r="AC438" s="114"/>
      <c r="AD438" s="114"/>
      <c r="AE438" s="114"/>
    </row>
    <row r="439" spans="1:31" x14ac:dyDescent="0.25">
      <c r="A439" s="140" t="s">
        <v>182</v>
      </c>
      <c r="B439" s="140" t="s">
        <v>27</v>
      </c>
      <c r="C439" s="140" t="s">
        <v>28</v>
      </c>
      <c r="D439" s="149" t="s">
        <v>367</v>
      </c>
      <c r="E439" s="139" t="s">
        <v>741</v>
      </c>
      <c r="F439" s="105"/>
      <c r="G439" s="113"/>
      <c r="H439" s="114"/>
      <c r="I439" s="114"/>
      <c r="J439" s="114"/>
      <c r="K439" s="114"/>
      <c r="L439" s="114"/>
      <c r="M439" s="114"/>
      <c r="N439" s="114"/>
      <c r="O439" s="114"/>
      <c r="P439" s="114"/>
      <c r="Q439" s="114"/>
      <c r="R439" s="114"/>
      <c r="S439" s="114"/>
      <c r="T439" s="114"/>
      <c r="U439" s="114"/>
      <c r="V439" s="114"/>
      <c r="W439" s="114"/>
      <c r="X439" s="114"/>
      <c r="Y439" s="114"/>
      <c r="Z439" s="114"/>
      <c r="AA439" s="114"/>
      <c r="AB439" s="114"/>
      <c r="AC439" s="114"/>
      <c r="AD439" s="114"/>
      <c r="AE439" s="114"/>
    </row>
    <row r="440" spans="1:31" x14ac:dyDescent="0.25">
      <c r="A440" s="140" t="s">
        <v>182</v>
      </c>
      <c r="B440" s="140" t="s">
        <v>27</v>
      </c>
      <c r="C440" s="140" t="s">
        <v>28</v>
      </c>
      <c r="D440" s="149" t="s">
        <v>232</v>
      </c>
      <c r="E440" s="139" t="s">
        <v>233</v>
      </c>
      <c r="F440" s="105"/>
      <c r="G440" s="113"/>
      <c r="H440" s="114"/>
      <c r="I440" s="114"/>
      <c r="J440" s="114"/>
      <c r="K440" s="114"/>
      <c r="L440" s="114"/>
      <c r="M440" s="114"/>
      <c r="N440" s="114"/>
      <c r="O440" s="114"/>
      <c r="P440" s="114"/>
      <c r="Q440" s="114"/>
      <c r="R440" s="114"/>
      <c r="S440" s="114"/>
      <c r="T440" s="114"/>
      <c r="U440" s="114"/>
      <c r="V440" s="114"/>
      <c r="W440" s="114"/>
      <c r="X440" s="114"/>
      <c r="Y440" s="114"/>
      <c r="Z440" s="114"/>
      <c r="AA440" s="114"/>
      <c r="AB440" s="114"/>
      <c r="AC440" s="114"/>
      <c r="AD440" s="114"/>
      <c r="AE440" s="114"/>
    </row>
    <row r="441" spans="1:31" x14ac:dyDescent="0.25">
      <c r="A441" s="140" t="s">
        <v>182</v>
      </c>
      <c r="B441" s="140" t="s">
        <v>27</v>
      </c>
      <c r="C441" s="140" t="s">
        <v>28</v>
      </c>
      <c r="D441" s="149" t="s">
        <v>818</v>
      </c>
      <c r="E441" s="139" t="s">
        <v>742</v>
      </c>
      <c r="F441" s="105"/>
      <c r="G441" s="113"/>
      <c r="H441" s="114"/>
      <c r="I441" s="114"/>
      <c r="J441" s="114"/>
      <c r="K441" s="114"/>
      <c r="L441" s="114"/>
      <c r="M441" s="114"/>
      <c r="N441" s="114"/>
      <c r="O441" s="114"/>
      <c r="P441" s="114"/>
      <c r="Q441" s="114"/>
      <c r="R441" s="114"/>
      <c r="S441" s="114"/>
      <c r="T441" s="114"/>
      <c r="U441" s="114"/>
      <c r="V441" s="114"/>
      <c r="W441" s="114"/>
      <c r="X441" s="114"/>
      <c r="Y441" s="114"/>
      <c r="Z441" s="114"/>
      <c r="AA441" s="114"/>
      <c r="AB441" s="114"/>
      <c r="AC441" s="114"/>
      <c r="AD441" s="114"/>
      <c r="AE441" s="114"/>
    </row>
    <row r="442" spans="1:31" x14ac:dyDescent="0.25">
      <c r="A442" s="140" t="s">
        <v>182</v>
      </c>
      <c r="B442" s="140" t="s">
        <v>27</v>
      </c>
      <c r="C442" s="140" t="s">
        <v>28</v>
      </c>
      <c r="D442" s="149" t="s">
        <v>819</v>
      </c>
      <c r="E442" s="139" t="s">
        <v>743</v>
      </c>
      <c r="F442" s="105"/>
      <c r="G442" s="113"/>
      <c r="H442" s="114"/>
      <c r="I442" s="114"/>
      <c r="J442" s="114"/>
      <c r="K442" s="114"/>
      <c r="L442" s="114"/>
      <c r="M442" s="114"/>
      <c r="N442" s="114"/>
      <c r="O442" s="114"/>
      <c r="P442" s="114"/>
      <c r="Q442" s="114"/>
      <c r="R442" s="114"/>
      <c r="S442" s="114"/>
      <c r="T442" s="114"/>
      <c r="U442" s="114"/>
      <c r="V442" s="114"/>
      <c r="W442" s="114"/>
      <c r="X442" s="114"/>
      <c r="Y442" s="114"/>
      <c r="Z442" s="114"/>
      <c r="AA442" s="114"/>
      <c r="AB442" s="114"/>
      <c r="AC442" s="114"/>
      <c r="AD442" s="114"/>
      <c r="AE442" s="114"/>
    </row>
    <row r="443" spans="1:31" x14ac:dyDescent="0.25">
      <c r="A443" s="140" t="s">
        <v>182</v>
      </c>
      <c r="B443" s="140" t="s">
        <v>27</v>
      </c>
      <c r="C443" s="140" t="s">
        <v>28</v>
      </c>
      <c r="D443" s="149" t="s">
        <v>820</v>
      </c>
      <c r="E443" s="139" t="s">
        <v>744</v>
      </c>
      <c r="F443" s="105"/>
      <c r="G443" s="113"/>
      <c r="H443" s="114"/>
      <c r="I443" s="114"/>
      <c r="J443" s="114"/>
      <c r="K443" s="114"/>
      <c r="L443" s="114"/>
      <c r="M443" s="114"/>
      <c r="N443" s="114"/>
      <c r="O443" s="114"/>
      <c r="P443" s="114"/>
      <c r="Q443" s="114"/>
      <c r="R443" s="114"/>
      <c r="S443" s="114"/>
      <c r="T443" s="114"/>
      <c r="U443" s="114"/>
      <c r="V443" s="114"/>
      <c r="W443" s="114"/>
      <c r="X443" s="114"/>
      <c r="Y443" s="114"/>
      <c r="Z443" s="114"/>
      <c r="AA443" s="114"/>
      <c r="AB443" s="114"/>
      <c r="AC443" s="114"/>
      <c r="AD443" s="114"/>
      <c r="AE443" s="114"/>
    </row>
    <row r="444" spans="1:31" x14ac:dyDescent="0.25">
      <c r="A444" s="140" t="s">
        <v>182</v>
      </c>
      <c r="B444" s="140" t="s">
        <v>27</v>
      </c>
      <c r="C444" s="140" t="s">
        <v>28</v>
      </c>
      <c r="D444" s="149" t="s">
        <v>378</v>
      </c>
      <c r="E444" s="139" t="s">
        <v>745</v>
      </c>
      <c r="F444" s="105"/>
      <c r="G444" s="113"/>
      <c r="H444" s="114"/>
      <c r="I444" s="114"/>
      <c r="J444" s="114"/>
      <c r="K444" s="114"/>
      <c r="L444" s="114"/>
      <c r="M444" s="114"/>
      <c r="N444" s="114"/>
      <c r="O444" s="114"/>
      <c r="P444" s="114"/>
      <c r="Q444" s="114"/>
      <c r="R444" s="114"/>
      <c r="S444" s="114"/>
      <c r="T444" s="114"/>
      <c r="U444" s="114"/>
      <c r="V444" s="114"/>
      <c r="W444" s="114"/>
      <c r="X444" s="114"/>
      <c r="Y444" s="114"/>
      <c r="Z444" s="114"/>
      <c r="AA444" s="114"/>
      <c r="AB444" s="114"/>
      <c r="AC444" s="114"/>
      <c r="AD444" s="114"/>
      <c r="AE444" s="114"/>
    </row>
    <row r="445" spans="1:31" x14ac:dyDescent="0.25">
      <c r="A445" s="140" t="s">
        <v>182</v>
      </c>
      <c r="B445" s="140" t="s">
        <v>27</v>
      </c>
      <c r="C445" s="140" t="s">
        <v>28</v>
      </c>
      <c r="D445" s="149" t="s">
        <v>381</v>
      </c>
      <c r="E445" s="139" t="s">
        <v>97</v>
      </c>
      <c r="F445" s="105"/>
      <c r="G445" s="113"/>
      <c r="H445" s="114"/>
      <c r="I445" s="114"/>
      <c r="J445" s="114"/>
      <c r="K445" s="114"/>
      <c r="L445" s="114"/>
      <c r="M445" s="114"/>
      <c r="N445" s="114"/>
      <c r="O445" s="114"/>
      <c r="P445" s="114"/>
      <c r="Q445" s="114"/>
      <c r="R445" s="114"/>
      <c r="S445" s="114"/>
      <c r="T445" s="114"/>
      <c r="U445" s="114"/>
      <c r="V445" s="114"/>
      <c r="W445" s="114"/>
      <c r="X445" s="114"/>
      <c r="Y445" s="114"/>
      <c r="Z445" s="114"/>
      <c r="AA445" s="114"/>
      <c r="AB445" s="114"/>
      <c r="AC445" s="114"/>
      <c r="AD445" s="114"/>
      <c r="AE445" s="114"/>
    </row>
    <row r="446" spans="1:31" x14ac:dyDescent="0.25">
      <c r="A446" s="140" t="s">
        <v>182</v>
      </c>
      <c r="B446" s="140" t="s">
        <v>27</v>
      </c>
      <c r="C446" s="140" t="s">
        <v>28</v>
      </c>
      <c r="D446" s="149" t="s">
        <v>109</v>
      </c>
      <c r="E446" s="139" t="s">
        <v>110</v>
      </c>
      <c r="F446" s="105"/>
      <c r="G446" s="113"/>
      <c r="H446" s="114"/>
      <c r="I446" s="114"/>
      <c r="J446" s="114"/>
      <c r="K446" s="114"/>
      <c r="L446" s="114"/>
      <c r="M446" s="114"/>
      <c r="N446" s="114"/>
      <c r="O446" s="114"/>
      <c r="P446" s="114"/>
      <c r="Q446" s="114"/>
      <c r="R446" s="114"/>
      <c r="S446" s="114"/>
      <c r="T446" s="114"/>
      <c r="U446" s="114"/>
      <c r="V446" s="114"/>
      <c r="W446" s="114"/>
      <c r="X446" s="114"/>
      <c r="Y446" s="114"/>
      <c r="Z446" s="114"/>
      <c r="AA446" s="114"/>
      <c r="AB446" s="114"/>
      <c r="AC446" s="114"/>
      <c r="AD446" s="114"/>
      <c r="AE446" s="114"/>
    </row>
    <row r="447" spans="1:31" x14ac:dyDescent="0.25">
      <c r="A447" s="140" t="s">
        <v>182</v>
      </c>
      <c r="B447" s="140" t="s">
        <v>27</v>
      </c>
      <c r="C447" s="140" t="s">
        <v>28</v>
      </c>
      <c r="D447" s="149" t="s">
        <v>386</v>
      </c>
      <c r="E447" s="139" t="s">
        <v>746</v>
      </c>
      <c r="F447" s="105"/>
      <c r="G447" s="113"/>
      <c r="H447" s="114"/>
      <c r="I447" s="114"/>
      <c r="J447" s="114"/>
      <c r="K447" s="114"/>
      <c r="L447" s="114"/>
      <c r="M447" s="114"/>
      <c r="N447" s="114"/>
      <c r="O447" s="114"/>
      <c r="P447" s="114"/>
      <c r="Q447" s="114"/>
      <c r="R447" s="114"/>
      <c r="S447" s="114"/>
      <c r="T447" s="114"/>
      <c r="U447" s="114"/>
      <c r="V447" s="114"/>
      <c r="W447" s="114"/>
      <c r="X447" s="114"/>
      <c r="Y447" s="114"/>
      <c r="Z447" s="114"/>
      <c r="AA447" s="114"/>
      <c r="AB447" s="114"/>
      <c r="AC447" s="114"/>
      <c r="AD447" s="114"/>
      <c r="AE447" s="114"/>
    </row>
    <row r="448" spans="1:31" x14ac:dyDescent="0.25">
      <c r="A448" s="140" t="s">
        <v>182</v>
      </c>
      <c r="B448" s="140" t="s">
        <v>27</v>
      </c>
      <c r="C448" s="140" t="s">
        <v>28</v>
      </c>
      <c r="D448" s="149" t="s">
        <v>821</v>
      </c>
      <c r="E448" s="139" t="s">
        <v>747</v>
      </c>
      <c r="F448" s="105"/>
      <c r="G448" s="113"/>
      <c r="H448" s="114"/>
      <c r="I448" s="114"/>
      <c r="J448" s="114"/>
      <c r="K448" s="114"/>
      <c r="L448" s="114"/>
      <c r="M448" s="114"/>
      <c r="N448" s="114"/>
      <c r="O448" s="114"/>
      <c r="P448" s="114"/>
      <c r="Q448" s="114"/>
      <c r="R448" s="114"/>
      <c r="S448" s="114"/>
      <c r="T448" s="114"/>
      <c r="U448" s="114"/>
      <c r="V448" s="114"/>
      <c r="W448" s="114"/>
      <c r="X448" s="114"/>
      <c r="Y448" s="114"/>
      <c r="Z448" s="114"/>
      <c r="AA448" s="114"/>
      <c r="AB448" s="114"/>
      <c r="AC448" s="114"/>
      <c r="AD448" s="114"/>
      <c r="AE448" s="114"/>
    </row>
    <row r="449" spans="1:31" x14ac:dyDescent="0.25">
      <c r="A449" s="140" t="s">
        <v>182</v>
      </c>
      <c r="B449" s="140" t="s">
        <v>27</v>
      </c>
      <c r="C449" s="140" t="s">
        <v>28</v>
      </c>
      <c r="D449" s="149" t="s">
        <v>391</v>
      </c>
      <c r="E449" s="139" t="s">
        <v>748</v>
      </c>
      <c r="F449" s="105"/>
      <c r="G449" s="113"/>
      <c r="H449" s="114"/>
      <c r="I449" s="114"/>
      <c r="J449" s="114"/>
      <c r="K449" s="114"/>
      <c r="L449" s="114"/>
      <c r="M449" s="114"/>
      <c r="N449" s="114"/>
      <c r="O449" s="114"/>
      <c r="P449" s="114"/>
      <c r="Q449" s="114"/>
      <c r="R449" s="114"/>
      <c r="S449" s="114"/>
      <c r="T449" s="114"/>
      <c r="U449" s="114"/>
      <c r="V449" s="114"/>
      <c r="W449" s="114"/>
      <c r="X449" s="114"/>
      <c r="Y449" s="114"/>
      <c r="Z449" s="114"/>
      <c r="AA449" s="114"/>
      <c r="AB449" s="114"/>
      <c r="AC449" s="114"/>
      <c r="AD449" s="114"/>
      <c r="AE449" s="114"/>
    </row>
    <row r="450" spans="1:31" x14ac:dyDescent="0.25">
      <c r="A450" s="140" t="s">
        <v>182</v>
      </c>
      <c r="B450" s="140" t="s">
        <v>27</v>
      </c>
      <c r="C450" s="140" t="s">
        <v>28</v>
      </c>
      <c r="D450" s="149" t="s">
        <v>822</v>
      </c>
      <c r="E450" s="139" t="s">
        <v>749</v>
      </c>
      <c r="F450" s="105"/>
      <c r="G450" s="113"/>
      <c r="H450" s="114"/>
      <c r="I450" s="114"/>
      <c r="J450" s="114"/>
      <c r="K450" s="114"/>
      <c r="L450" s="114"/>
      <c r="M450" s="114"/>
      <c r="N450" s="114"/>
      <c r="O450" s="114"/>
      <c r="P450" s="114"/>
      <c r="Q450" s="114"/>
      <c r="R450" s="114"/>
      <c r="S450" s="114"/>
      <c r="T450" s="114"/>
      <c r="U450" s="114"/>
      <c r="V450" s="114"/>
      <c r="W450" s="114"/>
      <c r="X450" s="114"/>
      <c r="Y450" s="114"/>
      <c r="Z450" s="114"/>
      <c r="AA450" s="114"/>
      <c r="AB450" s="114"/>
      <c r="AC450" s="114"/>
      <c r="AD450" s="114"/>
      <c r="AE450" s="114"/>
    </row>
    <row r="451" spans="1:31" x14ac:dyDescent="0.25">
      <c r="A451" s="140" t="s">
        <v>182</v>
      </c>
      <c r="B451" s="140" t="s">
        <v>27</v>
      </c>
      <c r="C451" s="140" t="s">
        <v>28</v>
      </c>
      <c r="D451" s="149" t="s">
        <v>28</v>
      </c>
      <c r="E451" s="139" t="s">
        <v>130</v>
      </c>
      <c r="F451" s="105"/>
      <c r="G451" s="113"/>
      <c r="H451" s="114"/>
      <c r="I451" s="114"/>
      <c r="J451" s="114"/>
      <c r="K451" s="114"/>
      <c r="L451" s="114"/>
      <c r="M451" s="114"/>
      <c r="N451" s="114"/>
      <c r="O451" s="114"/>
      <c r="P451" s="114"/>
      <c r="Q451" s="114"/>
      <c r="R451" s="114"/>
      <c r="S451" s="114"/>
      <c r="T451" s="114"/>
      <c r="U451" s="114"/>
      <c r="V451" s="114"/>
      <c r="W451" s="114"/>
      <c r="X451" s="114"/>
      <c r="Y451" s="114"/>
      <c r="Z451" s="114"/>
      <c r="AA451" s="114"/>
      <c r="AB451" s="114"/>
      <c r="AC451" s="114"/>
      <c r="AD451" s="114"/>
      <c r="AE451" s="114"/>
    </row>
    <row r="452" spans="1:31" x14ac:dyDescent="0.25">
      <c r="A452" s="140" t="s">
        <v>182</v>
      </c>
      <c r="B452" s="140" t="s">
        <v>27</v>
      </c>
      <c r="C452" s="140" t="s">
        <v>28</v>
      </c>
      <c r="D452" s="149" t="s">
        <v>397</v>
      </c>
      <c r="E452" s="139" t="s">
        <v>750</v>
      </c>
      <c r="F452" s="105"/>
      <c r="G452" s="113"/>
      <c r="H452" s="114"/>
      <c r="I452" s="114"/>
      <c r="J452" s="114"/>
      <c r="K452" s="114"/>
      <c r="L452" s="114"/>
      <c r="M452" s="114"/>
      <c r="N452" s="114"/>
      <c r="O452" s="114"/>
      <c r="P452" s="114"/>
      <c r="Q452" s="114"/>
      <c r="R452" s="114"/>
      <c r="S452" s="114"/>
      <c r="T452" s="114"/>
      <c r="U452" s="114"/>
      <c r="V452" s="114"/>
      <c r="W452" s="114"/>
      <c r="X452" s="114"/>
      <c r="Y452" s="114"/>
      <c r="Z452" s="114"/>
      <c r="AA452" s="114"/>
      <c r="AB452" s="114"/>
      <c r="AC452" s="114"/>
      <c r="AD452" s="114"/>
      <c r="AE452" s="114"/>
    </row>
    <row r="453" spans="1:31" x14ac:dyDescent="0.25">
      <c r="A453" s="140" t="s">
        <v>182</v>
      </c>
      <c r="B453" s="140" t="s">
        <v>27</v>
      </c>
      <c r="C453" s="140" t="s">
        <v>28</v>
      </c>
      <c r="D453" s="149" t="s">
        <v>400</v>
      </c>
      <c r="E453" s="139" t="s">
        <v>751</v>
      </c>
      <c r="F453" s="105"/>
      <c r="G453" s="113"/>
      <c r="H453" s="114"/>
      <c r="I453" s="114"/>
      <c r="J453" s="114"/>
      <c r="K453" s="114"/>
      <c r="L453" s="114"/>
      <c r="M453" s="114"/>
      <c r="N453" s="114"/>
      <c r="O453" s="114"/>
      <c r="P453" s="114"/>
      <c r="Q453" s="114"/>
      <c r="R453" s="114"/>
      <c r="S453" s="114"/>
      <c r="T453" s="114"/>
      <c r="U453" s="114"/>
      <c r="V453" s="114"/>
      <c r="W453" s="114"/>
      <c r="X453" s="114"/>
      <c r="Y453" s="114"/>
      <c r="Z453" s="114"/>
      <c r="AA453" s="114"/>
      <c r="AB453" s="114"/>
      <c r="AC453" s="114"/>
      <c r="AD453" s="114"/>
      <c r="AE453" s="114"/>
    </row>
    <row r="454" spans="1:31" x14ac:dyDescent="0.25">
      <c r="A454" s="140" t="s">
        <v>182</v>
      </c>
      <c r="B454" s="140" t="s">
        <v>27</v>
      </c>
      <c r="C454" s="140" t="s">
        <v>28</v>
      </c>
      <c r="D454" s="149" t="s">
        <v>142</v>
      </c>
      <c r="E454" s="139" t="s">
        <v>143</v>
      </c>
      <c r="F454" s="105"/>
      <c r="G454" s="113"/>
      <c r="H454" s="114"/>
      <c r="I454" s="114"/>
      <c r="J454" s="114"/>
      <c r="K454" s="114"/>
      <c r="L454" s="114"/>
      <c r="M454" s="114"/>
      <c r="N454" s="114"/>
      <c r="O454" s="114"/>
      <c r="P454" s="114"/>
      <c r="Q454" s="114"/>
      <c r="R454" s="114"/>
      <c r="S454" s="114"/>
      <c r="T454" s="114"/>
      <c r="U454" s="114"/>
      <c r="V454" s="114"/>
      <c r="W454" s="114"/>
      <c r="X454" s="114"/>
      <c r="Y454" s="114"/>
      <c r="Z454" s="114"/>
      <c r="AA454" s="114"/>
      <c r="AB454" s="114"/>
      <c r="AC454" s="114"/>
      <c r="AD454" s="114"/>
      <c r="AE454" s="114"/>
    </row>
    <row r="455" spans="1:31" x14ac:dyDescent="0.25">
      <c r="A455" s="140" t="s">
        <v>182</v>
      </c>
      <c r="B455" s="140" t="s">
        <v>27</v>
      </c>
      <c r="C455" s="140" t="s">
        <v>28</v>
      </c>
      <c r="D455" s="149" t="s">
        <v>404</v>
      </c>
      <c r="E455" s="139" t="s">
        <v>752</v>
      </c>
      <c r="F455" s="105"/>
      <c r="G455" s="113"/>
      <c r="H455" s="114"/>
      <c r="I455" s="114"/>
      <c r="J455" s="114"/>
      <c r="K455" s="114"/>
      <c r="L455" s="114"/>
      <c r="M455" s="114"/>
      <c r="N455" s="114"/>
      <c r="O455" s="114"/>
      <c r="P455" s="114"/>
      <c r="Q455" s="114"/>
      <c r="R455" s="114"/>
      <c r="S455" s="114"/>
      <c r="T455" s="114"/>
      <c r="U455" s="114"/>
      <c r="V455" s="114"/>
      <c r="W455" s="114"/>
      <c r="X455" s="114"/>
      <c r="Y455" s="114"/>
      <c r="Z455" s="114"/>
      <c r="AA455" s="114"/>
      <c r="AB455" s="114"/>
      <c r="AC455" s="114"/>
      <c r="AD455" s="114"/>
      <c r="AE455" s="114"/>
    </row>
    <row r="456" spans="1:31" x14ac:dyDescent="0.25">
      <c r="A456" s="140" t="s">
        <v>229</v>
      </c>
      <c r="B456" s="140" t="s">
        <v>71</v>
      </c>
      <c r="C456" s="140" t="s">
        <v>66</v>
      </c>
      <c r="D456" s="149" t="s">
        <v>564</v>
      </c>
      <c r="E456" s="139" t="s">
        <v>653</v>
      </c>
      <c r="F456" s="105"/>
      <c r="G456" s="113"/>
      <c r="H456" s="114"/>
      <c r="I456" s="114"/>
      <c r="J456" s="114"/>
      <c r="K456" s="114"/>
      <c r="L456" s="114"/>
      <c r="M456" s="114"/>
      <c r="N456" s="114"/>
      <c r="O456" s="114"/>
      <c r="P456" s="114"/>
      <c r="Q456" s="114"/>
      <c r="R456" s="114"/>
      <c r="S456" s="114"/>
      <c r="T456" s="114"/>
      <c r="U456" s="114"/>
      <c r="V456" s="114"/>
      <c r="W456" s="114"/>
      <c r="X456" s="114"/>
      <c r="Y456" s="114"/>
      <c r="Z456" s="114"/>
      <c r="AA456" s="114"/>
      <c r="AB456" s="114"/>
      <c r="AC456" s="114"/>
      <c r="AD456" s="114"/>
      <c r="AE456" s="114"/>
    </row>
    <row r="457" spans="1:31" x14ac:dyDescent="0.25">
      <c r="A457" s="140" t="s">
        <v>229</v>
      </c>
      <c r="B457" s="140" t="s">
        <v>71</v>
      </c>
      <c r="C457" s="140" t="s">
        <v>66</v>
      </c>
      <c r="D457" s="149" t="s">
        <v>568</v>
      </c>
      <c r="E457" s="139" t="s">
        <v>654</v>
      </c>
      <c r="F457" s="105"/>
      <c r="G457" s="113"/>
      <c r="H457" s="114"/>
      <c r="I457" s="114"/>
      <c r="J457" s="114"/>
      <c r="K457" s="114"/>
      <c r="L457" s="114"/>
      <c r="M457" s="114"/>
      <c r="N457" s="114"/>
      <c r="O457" s="114"/>
      <c r="P457" s="114"/>
      <c r="Q457" s="114"/>
      <c r="R457" s="114"/>
      <c r="S457" s="114"/>
      <c r="T457" s="114"/>
      <c r="U457" s="114"/>
      <c r="V457" s="114"/>
      <c r="W457" s="114"/>
      <c r="X457" s="114"/>
      <c r="Y457" s="114"/>
      <c r="Z457" s="114"/>
      <c r="AA457" s="114"/>
      <c r="AB457" s="114"/>
      <c r="AC457" s="114"/>
      <c r="AD457" s="114"/>
      <c r="AE457" s="114"/>
    </row>
    <row r="458" spans="1:31" x14ac:dyDescent="0.25">
      <c r="A458" s="140" t="s">
        <v>229</v>
      </c>
      <c r="B458" s="140" t="s">
        <v>71</v>
      </c>
      <c r="C458" s="140" t="s">
        <v>66</v>
      </c>
      <c r="D458" s="149" t="s">
        <v>183</v>
      </c>
      <c r="E458" s="139" t="s">
        <v>184</v>
      </c>
      <c r="F458" s="105"/>
      <c r="G458" s="113"/>
      <c r="H458" s="114"/>
      <c r="I458" s="114"/>
      <c r="J458" s="114"/>
      <c r="K458" s="114"/>
      <c r="L458" s="114"/>
      <c r="M458" s="114"/>
      <c r="N458" s="114"/>
      <c r="O458" s="114"/>
      <c r="P458" s="114"/>
      <c r="Q458" s="114"/>
      <c r="R458" s="114"/>
      <c r="S458" s="114"/>
      <c r="T458" s="114"/>
      <c r="U458" s="114"/>
      <c r="V458" s="114"/>
      <c r="W458" s="114"/>
      <c r="X458" s="114"/>
      <c r="Y458" s="114"/>
      <c r="Z458" s="114"/>
      <c r="AA458" s="114"/>
      <c r="AB458" s="114"/>
      <c r="AC458" s="114"/>
      <c r="AD458" s="114"/>
      <c r="AE458" s="114"/>
    </row>
    <row r="459" spans="1:31" x14ac:dyDescent="0.25">
      <c r="A459" s="140" t="s">
        <v>229</v>
      </c>
      <c r="B459" s="140" t="s">
        <v>71</v>
      </c>
      <c r="C459" s="140" t="s">
        <v>66</v>
      </c>
      <c r="D459" s="149" t="s">
        <v>185</v>
      </c>
      <c r="E459" s="139" t="s">
        <v>72</v>
      </c>
      <c r="F459" s="105"/>
      <c r="G459" s="113"/>
      <c r="H459" s="114"/>
      <c r="I459" s="114"/>
      <c r="J459" s="114"/>
      <c r="K459" s="114"/>
      <c r="L459" s="114"/>
      <c r="M459" s="114"/>
      <c r="N459" s="114"/>
      <c r="O459" s="114"/>
      <c r="P459" s="114"/>
      <c r="Q459" s="114"/>
      <c r="R459" s="114"/>
      <c r="S459" s="114"/>
      <c r="T459" s="114"/>
      <c r="U459" s="114"/>
      <c r="V459" s="114"/>
      <c r="W459" s="114"/>
      <c r="X459" s="114"/>
      <c r="Y459" s="114"/>
      <c r="Z459" s="114"/>
      <c r="AA459" s="114"/>
      <c r="AB459" s="114"/>
      <c r="AC459" s="114"/>
      <c r="AD459" s="114"/>
      <c r="AE459" s="114"/>
    </row>
    <row r="460" spans="1:31" x14ac:dyDescent="0.25">
      <c r="A460" s="140" t="s">
        <v>229</v>
      </c>
      <c r="B460" s="140" t="s">
        <v>71</v>
      </c>
      <c r="C460" s="140" t="s">
        <v>66</v>
      </c>
      <c r="D460" s="149" t="s">
        <v>572</v>
      </c>
      <c r="E460" s="139" t="s">
        <v>655</v>
      </c>
      <c r="F460" s="105"/>
      <c r="G460" s="113"/>
      <c r="H460" s="114"/>
      <c r="I460" s="114"/>
      <c r="J460" s="114"/>
      <c r="K460" s="114"/>
      <c r="L460" s="114"/>
      <c r="M460" s="114"/>
      <c r="N460" s="114"/>
      <c r="O460" s="114"/>
      <c r="P460" s="114"/>
      <c r="Q460" s="114"/>
      <c r="R460" s="114"/>
      <c r="S460" s="114"/>
      <c r="T460" s="114"/>
      <c r="U460" s="114"/>
      <c r="V460" s="114"/>
      <c r="W460" s="114"/>
      <c r="X460" s="114"/>
      <c r="Y460" s="114"/>
      <c r="Z460" s="114"/>
      <c r="AA460" s="114"/>
      <c r="AB460" s="114"/>
      <c r="AC460" s="114"/>
      <c r="AD460" s="114"/>
      <c r="AE460" s="114"/>
    </row>
    <row r="461" spans="1:31" x14ac:dyDescent="0.25">
      <c r="A461" s="140" t="s">
        <v>229</v>
      </c>
      <c r="B461" s="140" t="s">
        <v>71</v>
      </c>
      <c r="C461" s="140" t="s">
        <v>66</v>
      </c>
      <c r="D461" s="149" t="s">
        <v>230</v>
      </c>
      <c r="E461" s="139" t="s">
        <v>231</v>
      </c>
      <c r="F461" s="105"/>
      <c r="G461" s="113"/>
      <c r="H461" s="114"/>
      <c r="I461" s="114"/>
      <c r="J461" s="114"/>
      <c r="K461" s="114"/>
      <c r="L461" s="114"/>
      <c r="M461" s="114"/>
      <c r="N461" s="114"/>
      <c r="O461" s="114"/>
      <c r="P461" s="114"/>
      <c r="Q461" s="114"/>
      <c r="R461" s="114"/>
      <c r="S461" s="114"/>
      <c r="T461" s="114"/>
      <c r="U461" s="114"/>
      <c r="V461" s="114"/>
      <c r="W461" s="114"/>
      <c r="X461" s="114"/>
      <c r="Y461" s="114"/>
      <c r="Z461" s="114"/>
      <c r="AA461" s="114"/>
      <c r="AB461" s="114"/>
      <c r="AC461" s="114"/>
      <c r="AD461" s="114"/>
      <c r="AE461" s="114"/>
    </row>
    <row r="462" spans="1:31" x14ac:dyDescent="0.25">
      <c r="A462" s="140" t="s">
        <v>229</v>
      </c>
      <c r="B462" s="140" t="s">
        <v>71</v>
      </c>
      <c r="C462" s="140" t="s">
        <v>66</v>
      </c>
      <c r="D462" s="149" t="s">
        <v>575</v>
      </c>
      <c r="E462" s="139" t="s">
        <v>656</v>
      </c>
      <c r="F462" s="105"/>
      <c r="G462" s="113"/>
      <c r="H462" s="114"/>
      <c r="I462" s="114"/>
      <c r="J462" s="114"/>
      <c r="K462" s="114"/>
      <c r="L462" s="114"/>
      <c r="M462" s="114"/>
      <c r="N462" s="114"/>
      <c r="O462" s="114"/>
      <c r="P462" s="114"/>
      <c r="Q462" s="114"/>
      <c r="R462" s="114"/>
      <c r="S462" s="114"/>
      <c r="T462" s="114"/>
      <c r="U462" s="114"/>
      <c r="V462" s="114"/>
      <c r="W462" s="114"/>
      <c r="X462" s="114"/>
      <c r="Y462" s="114"/>
      <c r="Z462" s="114"/>
      <c r="AA462" s="114"/>
      <c r="AB462" s="114"/>
      <c r="AC462" s="114"/>
      <c r="AD462" s="114"/>
      <c r="AE462" s="114"/>
    </row>
    <row r="463" spans="1:31" x14ac:dyDescent="0.25">
      <c r="A463" s="140" t="s">
        <v>229</v>
      </c>
      <c r="B463" s="140" t="s">
        <v>71</v>
      </c>
      <c r="C463" s="140" t="s">
        <v>66</v>
      </c>
      <c r="D463" s="149" t="s">
        <v>577</v>
      </c>
      <c r="E463" s="139" t="s">
        <v>657</v>
      </c>
      <c r="F463" s="105"/>
      <c r="G463" s="113"/>
      <c r="H463" s="114"/>
      <c r="I463" s="114"/>
      <c r="J463" s="114"/>
      <c r="K463" s="114"/>
      <c r="L463" s="114"/>
      <c r="M463" s="114"/>
      <c r="N463" s="114"/>
      <c r="O463" s="114"/>
      <c r="P463" s="114"/>
      <c r="Q463" s="114"/>
      <c r="R463" s="114"/>
      <c r="S463" s="114"/>
      <c r="T463" s="114"/>
      <c r="U463" s="114"/>
      <c r="V463" s="114"/>
      <c r="W463" s="114"/>
      <c r="X463" s="114"/>
      <c r="Y463" s="114"/>
      <c r="Z463" s="114"/>
      <c r="AA463" s="114"/>
      <c r="AB463" s="114"/>
      <c r="AC463" s="114"/>
      <c r="AD463" s="114"/>
      <c r="AE463" s="114"/>
    </row>
    <row r="464" spans="1:31" x14ac:dyDescent="0.25">
      <c r="A464" s="140" t="s">
        <v>229</v>
      </c>
      <c r="B464" s="140" t="s">
        <v>71</v>
      </c>
      <c r="C464" s="140" t="s">
        <v>66</v>
      </c>
      <c r="D464" s="149" t="s">
        <v>579</v>
      </c>
      <c r="E464" s="139" t="s">
        <v>658</v>
      </c>
      <c r="F464" s="105"/>
      <c r="G464" s="113"/>
      <c r="H464" s="114"/>
      <c r="I464" s="114"/>
      <c r="J464" s="114"/>
      <c r="K464" s="114"/>
      <c r="L464" s="114"/>
      <c r="M464" s="114"/>
      <c r="N464" s="114"/>
      <c r="O464" s="114"/>
      <c r="P464" s="114"/>
      <c r="Q464" s="114"/>
      <c r="R464" s="114"/>
      <c r="S464" s="114"/>
      <c r="T464" s="114"/>
      <c r="U464" s="114"/>
      <c r="V464" s="114"/>
      <c r="W464" s="114"/>
      <c r="X464" s="114"/>
      <c r="Y464" s="114"/>
      <c r="Z464" s="114"/>
      <c r="AA464" s="114"/>
      <c r="AB464" s="114"/>
      <c r="AC464" s="114"/>
      <c r="AD464" s="114"/>
      <c r="AE464" s="114"/>
    </row>
    <row r="465" spans="1:31" x14ac:dyDescent="0.25">
      <c r="A465" s="140" t="s">
        <v>229</v>
      </c>
      <c r="B465" s="140" t="s">
        <v>71</v>
      </c>
      <c r="C465" s="140" t="s">
        <v>66</v>
      </c>
      <c r="D465" s="149" t="s">
        <v>581</v>
      </c>
      <c r="E465" s="139" t="s">
        <v>659</v>
      </c>
      <c r="F465" s="105"/>
      <c r="G465" s="113"/>
      <c r="H465" s="114"/>
      <c r="I465" s="114"/>
      <c r="J465" s="114"/>
      <c r="K465" s="114"/>
      <c r="L465" s="114"/>
      <c r="M465" s="114"/>
      <c r="N465" s="114"/>
      <c r="O465" s="114"/>
      <c r="P465" s="114"/>
      <c r="Q465" s="114"/>
      <c r="R465" s="114"/>
      <c r="S465" s="114"/>
      <c r="T465" s="114"/>
      <c r="U465" s="114"/>
      <c r="V465" s="114"/>
      <c r="W465" s="114"/>
      <c r="X465" s="114"/>
      <c r="Y465" s="114"/>
      <c r="Z465" s="114"/>
      <c r="AA465" s="114"/>
      <c r="AB465" s="114"/>
      <c r="AC465" s="114"/>
      <c r="AD465" s="114"/>
      <c r="AE465" s="114"/>
    </row>
    <row r="466" spans="1:31" x14ac:dyDescent="0.25">
      <c r="A466" s="140" t="s">
        <v>229</v>
      </c>
      <c r="B466" s="140" t="s">
        <v>20</v>
      </c>
      <c r="C466" s="140" t="s">
        <v>66</v>
      </c>
      <c r="D466" s="149" t="s">
        <v>21</v>
      </c>
      <c r="E466" s="139" t="s">
        <v>22</v>
      </c>
      <c r="F466" s="105"/>
      <c r="G466" s="113"/>
      <c r="H466" s="114"/>
      <c r="I466" s="114"/>
      <c r="J466" s="114"/>
      <c r="K466" s="114"/>
      <c r="L466" s="114"/>
      <c r="M466" s="114"/>
      <c r="N466" s="114"/>
      <c r="O466" s="114"/>
      <c r="P466" s="114"/>
      <c r="Q466" s="114"/>
      <c r="R466" s="114"/>
      <c r="S466" s="114"/>
      <c r="T466" s="114"/>
      <c r="U466" s="114"/>
      <c r="V466" s="114"/>
      <c r="W466" s="114"/>
      <c r="X466" s="114"/>
      <c r="Y466" s="114"/>
      <c r="Z466" s="114"/>
      <c r="AA466" s="114"/>
      <c r="AB466" s="114"/>
      <c r="AC466" s="114"/>
      <c r="AD466" s="114"/>
      <c r="AE466" s="114"/>
    </row>
    <row r="467" spans="1:31" x14ac:dyDescent="0.25">
      <c r="A467" s="140" t="s">
        <v>229</v>
      </c>
      <c r="B467" s="140" t="s">
        <v>20</v>
      </c>
      <c r="C467" s="140" t="s">
        <v>34</v>
      </c>
      <c r="D467" s="149" t="s">
        <v>35</v>
      </c>
      <c r="E467" s="139" t="s">
        <v>36</v>
      </c>
      <c r="F467" s="105"/>
      <c r="G467" s="113"/>
      <c r="H467" s="114"/>
      <c r="I467" s="114"/>
      <c r="J467" s="114"/>
      <c r="K467" s="114"/>
      <c r="L467" s="114"/>
      <c r="M467" s="114"/>
      <c r="N467" s="114"/>
      <c r="O467" s="114"/>
      <c r="P467" s="114"/>
      <c r="Q467" s="114"/>
      <c r="R467" s="114"/>
      <c r="S467" s="114"/>
      <c r="T467" s="114"/>
      <c r="U467" s="114"/>
      <c r="V467" s="114"/>
      <c r="W467" s="114"/>
      <c r="X467" s="114"/>
      <c r="Y467" s="114"/>
      <c r="Z467" s="114"/>
      <c r="AA467" s="114"/>
      <c r="AB467" s="114"/>
      <c r="AC467" s="114"/>
      <c r="AD467" s="114"/>
      <c r="AE467" s="114"/>
    </row>
    <row r="468" spans="1:31" x14ac:dyDescent="0.25">
      <c r="A468" s="140" t="s">
        <v>229</v>
      </c>
      <c r="B468" s="140" t="s">
        <v>20</v>
      </c>
      <c r="C468" s="140" t="s">
        <v>34</v>
      </c>
      <c r="D468" s="149" t="s">
        <v>164</v>
      </c>
      <c r="E468" s="139" t="s">
        <v>165</v>
      </c>
      <c r="F468" s="105"/>
      <c r="G468" s="113"/>
      <c r="H468" s="114"/>
      <c r="I468" s="114"/>
      <c r="J468" s="114"/>
      <c r="K468" s="114"/>
      <c r="L468" s="114"/>
      <c r="M468" s="114"/>
      <c r="N468" s="114"/>
      <c r="O468" s="114"/>
      <c r="P468" s="114"/>
      <c r="Q468" s="114"/>
      <c r="R468" s="114"/>
      <c r="S468" s="114"/>
      <c r="T468" s="114"/>
      <c r="U468" s="114"/>
      <c r="V468" s="114"/>
      <c r="W468" s="114"/>
      <c r="X468" s="114"/>
      <c r="Y468" s="114"/>
      <c r="Z468" s="114"/>
      <c r="AA468" s="114"/>
      <c r="AB468" s="114"/>
      <c r="AC468" s="114"/>
      <c r="AD468" s="114"/>
      <c r="AE468" s="114"/>
    </row>
    <row r="469" spans="1:31" x14ac:dyDescent="0.25">
      <c r="A469" s="140" t="s">
        <v>229</v>
      </c>
      <c r="B469" s="140" t="s">
        <v>20</v>
      </c>
      <c r="C469" s="140" t="s">
        <v>34</v>
      </c>
      <c r="D469" s="149" t="s">
        <v>49</v>
      </c>
      <c r="E469" s="139" t="s">
        <v>50</v>
      </c>
      <c r="F469" s="105"/>
      <c r="G469" s="113"/>
      <c r="H469" s="114"/>
      <c r="I469" s="114"/>
      <c r="J469" s="114"/>
      <c r="K469" s="114"/>
      <c r="L469" s="114"/>
      <c r="M469" s="114"/>
      <c r="N469" s="114"/>
      <c r="O469" s="114"/>
      <c r="P469" s="114"/>
      <c r="Q469" s="114"/>
      <c r="R469" s="114"/>
      <c r="S469" s="114"/>
      <c r="T469" s="114"/>
      <c r="U469" s="114"/>
      <c r="V469" s="114"/>
      <c r="W469" s="114"/>
      <c r="X469" s="114"/>
      <c r="Y469" s="114"/>
      <c r="Z469" s="114"/>
      <c r="AA469" s="114"/>
      <c r="AB469" s="114"/>
      <c r="AC469" s="114"/>
      <c r="AD469" s="114"/>
      <c r="AE469" s="114"/>
    </row>
    <row r="470" spans="1:31" x14ac:dyDescent="0.25">
      <c r="A470" s="140" t="s">
        <v>229</v>
      </c>
      <c r="B470" s="140" t="s">
        <v>20</v>
      </c>
      <c r="C470" s="140" t="s">
        <v>34</v>
      </c>
      <c r="D470" s="149" t="s">
        <v>62</v>
      </c>
      <c r="E470" s="139" t="s">
        <v>63</v>
      </c>
      <c r="F470" s="105"/>
      <c r="G470" s="113"/>
      <c r="H470" s="114"/>
      <c r="I470" s="114"/>
      <c r="J470" s="114"/>
      <c r="K470" s="114"/>
      <c r="L470" s="114"/>
      <c r="M470" s="114"/>
      <c r="N470" s="114"/>
      <c r="O470" s="114"/>
      <c r="P470" s="114"/>
      <c r="Q470" s="114"/>
      <c r="R470" s="114"/>
      <c r="S470" s="114"/>
      <c r="T470" s="114"/>
      <c r="U470" s="114"/>
      <c r="V470" s="114"/>
      <c r="W470" s="114"/>
      <c r="X470" s="114"/>
      <c r="Y470" s="114"/>
      <c r="Z470" s="114"/>
      <c r="AA470" s="114"/>
      <c r="AB470" s="114"/>
      <c r="AC470" s="114"/>
      <c r="AD470" s="114"/>
      <c r="AE470" s="114"/>
    </row>
    <row r="471" spans="1:31" x14ac:dyDescent="0.25">
      <c r="A471" s="140" t="s">
        <v>229</v>
      </c>
      <c r="B471" s="140" t="s">
        <v>20</v>
      </c>
      <c r="C471" s="140" t="s">
        <v>34</v>
      </c>
      <c r="D471" s="149" t="s">
        <v>441</v>
      </c>
      <c r="E471" s="139" t="s">
        <v>729</v>
      </c>
      <c r="F471" s="105"/>
      <c r="G471" s="113"/>
      <c r="H471" s="114"/>
      <c r="I471" s="114"/>
      <c r="J471" s="114"/>
      <c r="K471" s="114"/>
      <c r="L471" s="114"/>
      <c r="M471" s="114"/>
      <c r="N471" s="114"/>
      <c r="O471" s="114"/>
      <c r="P471" s="114"/>
      <c r="Q471" s="114"/>
      <c r="R471" s="114"/>
      <c r="S471" s="114"/>
      <c r="T471" s="114"/>
      <c r="U471" s="114"/>
      <c r="V471" s="114"/>
      <c r="W471" s="114"/>
      <c r="X471" s="114"/>
      <c r="Y471" s="114"/>
      <c r="Z471" s="114"/>
      <c r="AA471" s="114"/>
      <c r="AB471" s="114"/>
      <c r="AC471" s="114"/>
      <c r="AD471" s="114"/>
      <c r="AE471" s="114"/>
    </row>
    <row r="472" spans="1:31" x14ac:dyDescent="0.25">
      <c r="A472" s="140" t="s">
        <v>229</v>
      </c>
      <c r="B472" s="140" t="s">
        <v>20</v>
      </c>
      <c r="C472" s="140" t="s">
        <v>34</v>
      </c>
      <c r="D472" s="149" t="s">
        <v>113</v>
      </c>
      <c r="E472" s="139" t="s">
        <v>114</v>
      </c>
      <c r="F472" s="105"/>
      <c r="G472" s="113"/>
      <c r="H472" s="114"/>
      <c r="I472" s="114"/>
      <c r="J472" s="114"/>
      <c r="K472" s="114"/>
      <c r="L472" s="114"/>
      <c r="M472" s="114"/>
      <c r="N472" s="114"/>
      <c r="O472" s="114"/>
      <c r="P472" s="114"/>
      <c r="Q472" s="114"/>
      <c r="R472" s="114"/>
      <c r="S472" s="114"/>
      <c r="T472" s="114"/>
      <c r="U472" s="114"/>
      <c r="V472" s="114"/>
      <c r="W472" s="114"/>
      <c r="X472" s="114"/>
      <c r="Y472" s="114"/>
      <c r="Z472" s="114"/>
      <c r="AA472" s="114"/>
      <c r="AB472" s="114"/>
      <c r="AC472" s="114"/>
      <c r="AD472" s="114"/>
      <c r="AE472" s="114"/>
    </row>
    <row r="473" spans="1:31" x14ac:dyDescent="0.25">
      <c r="A473" s="140" t="s">
        <v>229</v>
      </c>
      <c r="B473" s="140" t="s">
        <v>20</v>
      </c>
      <c r="C473" s="140" t="s">
        <v>34</v>
      </c>
      <c r="D473" s="149" t="s">
        <v>144</v>
      </c>
      <c r="E473" s="139" t="s">
        <v>145</v>
      </c>
      <c r="F473" s="105"/>
      <c r="G473" s="113"/>
      <c r="H473" s="114"/>
      <c r="I473" s="114"/>
      <c r="J473" s="114"/>
      <c r="K473" s="114"/>
      <c r="L473" s="114"/>
      <c r="M473" s="114"/>
      <c r="N473" s="114"/>
      <c r="O473" s="114"/>
      <c r="P473" s="114"/>
      <c r="Q473" s="114"/>
      <c r="R473" s="114"/>
      <c r="S473" s="114"/>
      <c r="T473" s="114"/>
      <c r="U473" s="114"/>
      <c r="V473" s="114"/>
      <c r="W473" s="114"/>
      <c r="X473" s="114"/>
      <c r="Y473" s="114"/>
      <c r="Z473" s="114"/>
      <c r="AA473" s="114"/>
      <c r="AB473" s="114"/>
      <c r="AC473" s="114"/>
      <c r="AD473" s="114"/>
      <c r="AE473" s="114"/>
    </row>
    <row r="474" spans="1:31" x14ac:dyDescent="0.25">
      <c r="A474" s="140" t="s">
        <v>229</v>
      </c>
      <c r="B474" s="140" t="s">
        <v>20</v>
      </c>
      <c r="C474" s="140" t="s">
        <v>34</v>
      </c>
      <c r="D474" s="149" t="s">
        <v>827</v>
      </c>
      <c r="E474" s="139" t="s">
        <v>151</v>
      </c>
      <c r="F474" s="105"/>
      <c r="G474" s="113"/>
      <c r="H474" s="114"/>
      <c r="I474" s="114"/>
      <c r="J474" s="114"/>
      <c r="K474" s="114"/>
      <c r="L474" s="114"/>
      <c r="M474" s="114"/>
      <c r="N474" s="114"/>
      <c r="O474" s="114"/>
      <c r="P474" s="114"/>
      <c r="Q474" s="114"/>
      <c r="R474" s="114"/>
      <c r="S474" s="114"/>
      <c r="T474" s="114"/>
      <c r="U474" s="114"/>
      <c r="V474" s="114"/>
      <c r="W474" s="114"/>
      <c r="X474" s="114"/>
      <c r="Y474" s="114"/>
      <c r="Z474" s="114"/>
      <c r="AA474" s="114"/>
      <c r="AB474" s="114"/>
      <c r="AC474" s="114"/>
      <c r="AD474" s="114"/>
      <c r="AE474" s="114"/>
    </row>
    <row r="475" spans="1:31" x14ac:dyDescent="0.25">
      <c r="A475" s="140" t="s">
        <v>229</v>
      </c>
      <c r="B475" s="140" t="s">
        <v>20</v>
      </c>
      <c r="C475" s="140" t="s">
        <v>37</v>
      </c>
      <c r="D475" s="149" t="s">
        <v>828</v>
      </c>
      <c r="E475" s="139" t="s">
        <v>163</v>
      </c>
      <c r="F475" s="105"/>
      <c r="G475" s="113"/>
      <c r="H475" s="114"/>
      <c r="I475" s="114"/>
      <c r="J475" s="114"/>
      <c r="K475" s="114"/>
      <c r="L475" s="114"/>
      <c r="M475" s="114"/>
      <c r="N475" s="114"/>
      <c r="O475" s="114"/>
      <c r="P475" s="114"/>
      <c r="Q475" s="114"/>
      <c r="R475" s="114"/>
      <c r="S475" s="114"/>
      <c r="T475" s="114"/>
      <c r="U475" s="114"/>
      <c r="V475" s="114"/>
      <c r="W475" s="114"/>
      <c r="X475" s="114"/>
      <c r="Y475" s="114"/>
      <c r="Z475" s="114"/>
      <c r="AA475" s="114"/>
      <c r="AB475" s="114"/>
      <c r="AC475" s="114"/>
      <c r="AD475" s="114"/>
      <c r="AE475" s="114"/>
    </row>
    <row r="476" spans="1:31" x14ac:dyDescent="0.25">
      <c r="A476" s="140" t="s">
        <v>229</v>
      </c>
      <c r="B476" s="140" t="s">
        <v>20</v>
      </c>
      <c r="C476" s="140" t="s">
        <v>37</v>
      </c>
      <c r="D476" s="149" t="s">
        <v>37</v>
      </c>
      <c r="E476" s="139" t="s">
        <v>77</v>
      </c>
      <c r="F476" s="105"/>
      <c r="G476" s="113"/>
      <c r="H476" s="114"/>
      <c r="I476" s="114"/>
      <c r="J476" s="114"/>
      <c r="K476" s="114"/>
      <c r="L476" s="114"/>
      <c r="M476" s="114"/>
      <c r="N476" s="114"/>
      <c r="O476" s="114"/>
      <c r="P476" s="114"/>
      <c r="Q476" s="114"/>
      <c r="R476" s="114"/>
      <c r="S476" s="114"/>
      <c r="T476" s="114"/>
      <c r="U476" s="114"/>
      <c r="V476" s="114"/>
      <c r="W476" s="114"/>
      <c r="X476" s="114"/>
      <c r="Y476" s="114"/>
      <c r="Z476" s="114"/>
      <c r="AA476" s="114"/>
      <c r="AB476" s="114"/>
      <c r="AC476" s="114"/>
      <c r="AD476" s="114"/>
      <c r="AE476" s="114"/>
    </row>
    <row r="477" spans="1:31" x14ac:dyDescent="0.25">
      <c r="A477" s="140" t="s">
        <v>229</v>
      </c>
      <c r="B477" s="140" t="s">
        <v>20</v>
      </c>
      <c r="C477" s="140" t="s">
        <v>37</v>
      </c>
      <c r="D477" s="149" t="s">
        <v>76</v>
      </c>
      <c r="E477" s="139" t="s">
        <v>77</v>
      </c>
      <c r="F477" s="105"/>
      <c r="G477" s="113"/>
      <c r="H477" s="114"/>
      <c r="I477" s="114"/>
      <c r="J477" s="114"/>
      <c r="K477" s="114"/>
      <c r="L477" s="114"/>
      <c r="M477" s="114"/>
      <c r="N477" s="114"/>
      <c r="O477" s="114"/>
      <c r="P477" s="114"/>
      <c r="Q477" s="114"/>
      <c r="R477" s="114"/>
      <c r="S477" s="114"/>
      <c r="T477" s="114"/>
      <c r="U477" s="114"/>
      <c r="V477" s="114"/>
      <c r="W477" s="114"/>
      <c r="X477" s="114"/>
      <c r="Y477" s="114"/>
      <c r="Z477" s="114"/>
      <c r="AA477" s="114"/>
      <c r="AB477" s="114"/>
      <c r="AC477" s="114"/>
      <c r="AD477" s="114"/>
      <c r="AE477" s="114"/>
    </row>
    <row r="478" spans="1:31" x14ac:dyDescent="0.25">
      <c r="A478" s="140" t="s">
        <v>229</v>
      </c>
      <c r="B478" s="140" t="s">
        <v>20</v>
      </c>
      <c r="C478" s="140" t="s">
        <v>37</v>
      </c>
      <c r="D478" s="149" t="s">
        <v>829</v>
      </c>
      <c r="E478" s="139" t="s">
        <v>122</v>
      </c>
      <c r="F478" s="105"/>
      <c r="G478" s="113"/>
      <c r="H478" s="114"/>
      <c r="I478" s="114"/>
      <c r="J478" s="114"/>
      <c r="K478" s="114"/>
      <c r="L478" s="114"/>
      <c r="M478" s="114"/>
      <c r="N478" s="114"/>
      <c r="O478" s="114"/>
      <c r="P478" s="114"/>
      <c r="Q478" s="114"/>
      <c r="R478" s="114"/>
      <c r="S478" s="114"/>
      <c r="T478" s="114"/>
      <c r="U478" s="114"/>
      <c r="V478" s="114"/>
      <c r="W478" s="114"/>
      <c r="X478" s="114"/>
      <c r="Y478" s="114"/>
      <c r="Z478" s="114"/>
      <c r="AA478" s="114"/>
      <c r="AB478" s="114"/>
      <c r="AC478" s="114"/>
      <c r="AD478" s="114"/>
      <c r="AE478" s="114"/>
    </row>
    <row r="479" spans="1:31" x14ac:dyDescent="0.25">
      <c r="A479" s="140" t="s">
        <v>229</v>
      </c>
      <c r="B479" s="140" t="s">
        <v>20</v>
      </c>
      <c r="C479" s="140" t="s">
        <v>37</v>
      </c>
      <c r="D479" s="149" t="s">
        <v>152</v>
      </c>
      <c r="E479" s="139" t="s">
        <v>153</v>
      </c>
      <c r="F479" s="105"/>
      <c r="G479" s="113"/>
      <c r="H479" s="114"/>
      <c r="I479" s="114"/>
      <c r="J479" s="114"/>
      <c r="K479" s="114"/>
      <c r="L479" s="114"/>
      <c r="M479" s="114"/>
      <c r="N479" s="114"/>
      <c r="O479" s="114"/>
      <c r="P479" s="114"/>
      <c r="Q479" s="114"/>
      <c r="R479" s="114"/>
      <c r="S479" s="114"/>
      <c r="T479" s="114"/>
      <c r="U479" s="114"/>
      <c r="V479" s="114"/>
      <c r="W479" s="114"/>
      <c r="X479" s="114"/>
      <c r="Y479" s="114"/>
      <c r="Z479" s="114"/>
      <c r="AA479" s="114"/>
      <c r="AB479" s="114"/>
      <c r="AC479" s="114"/>
      <c r="AD479" s="114"/>
      <c r="AE479" s="114"/>
    </row>
    <row r="480" spans="1:31" x14ac:dyDescent="0.25">
      <c r="A480" s="140" t="s">
        <v>229</v>
      </c>
      <c r="B480" s="140" t="s">
        <v>155</v>
      </c>
      <c r="C480" s="140" t="s">
        <v>66</v>
      </c>
      <c r="D480" s="149" t="s">
        <v>186</v>
      </c>
      <c r="E480" s="139" t="s">
        <v>187</v>
      </c>
      <c r="F480" s="105"/>
      <c r="G480" s="113"/>
      <c r="H480" s="114"/>
      <c r="I480" s="114"/>
      <c r="J480" s="114"/>
      <c r="K480" s="114"/>
      <c r="L480" s="114"/>
      <c r="M480" s="114"/>
      <c r="N480" s="114"/>
      <c r="O480" s="114"/>
      <c r="P480" s="114"/>
      <c r="Q480" s="114"/>
      <c r="R480" s="114"/>
      <c r="S480" s="114"/>
      <c r="T480" s="114"/>
      <c r="U480" s="114"/>
      <c r="V480" s="114"/>
      <c r="W480" s="114"/>
      <c r="X480" s="114"/>
      <c r="Y480" s="114"/>
      <c r="Z480" s="114"/>
      <c r="AA480" s="114"/>
      <c r="AB480" s="114"/>
      <c r="AC480" s="114"/>
      <c r="AD480" s="114"/>
      <c r="AE480" s="114"/>
    </row>
    <row r="481" spans="1:31" x14ac:dyDescent="0.25">
      <c r="A481" s="140" t="s">
        <v>229</v>
      </c>
      <c r="B481" s="140" t="s">
        <v>155</v>
      </c>
      <c r="C481" s="140" t="s">
        <v>66</v>
      </c>
      <c r="D481" s="149" t="s">
        <v>159</v>
      </c>
      <c r="E481" s="139" t="s">
        <v>160</v>
      </c>
      <c r="F481" s="105"/>
      <c r="G481" s="113"/>
      <c r="H481" s="114"/>
      <c r="I481" s="114"/>
      <c r="J481" s="114"/>
      <c r="K481" s="114"/>
      <c r="L481" s="114"/>
      <c r="M481" s="114"/>
      <c r="N481" s="114"/>
      <c r="O481" s="114"/>
      <c r="P481" s="114"/>
      <c r="Q481" s="114"/>
      <c r="R481" s="114"/>
      <c r="S481" s="114"/>
      <c r="T481" s="114"/>
      <c r="U481" s="114"/>
      <c r="V481" s="114"/>
      <c r="W481" s="114"/>
      <c r="X481" s="114"/>
      <c r="Y481" s="114"/>
      <c r="Z481" s="114"/>
      <c r="AA481" s="114"/>
      <c r="AB481" s="114"/>
      <c r="AC481" s="114"/>
      <c r="AD481" s="114"/>
      <c r="AE481" s="114"/>
    </row>
    <row r="482" spans="1:31" x14ac:dyDescent="0.25">
      <c r="A482" s="140" t="s">
        <v>229</v>
      </c>
      <c r="B482" s="140" t="s">
        <v>155</v>
      </c>
      <c r="C482" s="140" t="s">
        <v>66</v>
      </c>
      <c r="D482" s="149" t="s">
        <v>188</v>
      </c>
      <c r="E482" s="139" t="s">
        <v>189</v>
      </c>
      <c r="F482" s="105"/>
      <c r="G482" s="113"/>
      <c r="H482" s="114"/>
      <c r="I482" s="114"/>
      <c r="J482" s="114"/>
      <c r="K482" s="114"/>
      <c r="L482" s="114"/>
      <c r="M482" s="114"/>
      <c r="N482" s="114"/>
      <c r="O482" s="114"/>
      <c r="P482" s="114"/>
      <c r="Q482" s="114"/>
      <c r="R482" s="114"/>
      <c r="S482" s="114"/>
      <c r="T482" s="114"/>
      <c r="U482" s="114"/>
      <c r="V482" s="114"/>
      <c r="W482" s="114"/>
      <c r="X482" s="114"/>
      <c r="Y482" s="114"/>
      <c r="Z482" s="114"/>
      <c r="AA482" s="114"/>
      <c r="AB482" s="114"/>
      <c r="AC482" s="114"/>
      <c r="AD482" s="114"/>
      <c r="AE482" s="114"/>
    </row>
    <row r="483" spans="1:31" x14ac:dyDescent="0.25">
      <c r="A483" s="140" t="s">
        <v>229</v>
      </c>
      <c r="B483" s="140" t="s">
        <v>155</v>
      </c>
      <c r="C483" s="140" t="s">
        <v>66</v>
      </c>
      <c r="D483" s="149" t="s">
        <v>190</v>
      </c>
      <c r="E483" s="139" t="s">
        <v>191</v>
      </c>
      <c r="F483" s="105"/>
      <c r="G483" s="113"/>
      <c r="H483" s="114"/>
      <c r="I483" s="114"/>
      <c r="J483" s="114"/>
      <c r="K483" s="114"/>
      <c r="L483" s="114"/>
      <c r="M483" s="114"/>
      <c r="N483" s="114"/>
      <c r="O483" s="114"/>
      <c r="P483" s="114"/>
      <c r="Q483" s="114"/>
      <c r="R483" s="114"/>
      <c r="S483" s="114"/>
      <c r="T483" s="114"/>
      <c r="U483" s="114"/>
      <c r="V483" s="114"/>
      <c r="W483" s="114"/>
      <c r="X483" s="114"/>
      <c r="Y483" s="114"/>
      <c r="Z483" s="114"/>
      <c r="AA483" s="114"/>
      <c r="AB483" s="114"/>
      <c r="AC483" s="114"/>
      <c r="AD483" s="114"/>
      <c r="AE483" s="114"/>
    </row>
    <row r="484" spans="1:31" x14ac:dyDescent="0.25">
      <c r="A484" s="140" t="s">
        <v>229</v>
      </c>
      <c r="B484" s="140" t="s">
        <v>155</v>
      </c>
      <c r="C484" s="140" t="s">
        <v>66</v>
      </c>
      <c r="D484" s="149" t="s">
        <v>192</v>
      </c>
      <c r="E484" s="139" t="s">
        <v>193</v>
      </c>
      <c r="F484" s="105"/>
      <c r="G484" s="113"/>
      <c r="H484" s="114"/>
      <c r="I484" s="114"/>
      <c r="J484" s="114"/>
      <c r="K484" s="114"/>
      <c r="L484" s="114"/>
      <c r="M484" s="114"/>
      <c r="N484" s="114"/>
      <c r="O484" s="114"/>
      <c r="P484" s="114"/>
      <c r="Q484" s="114"/>
      <c r="R484" s="114"/>
      <c r="S484" s="114"/>
      <c r="T484" s="114"/>
      <c r="U484" s="114"/>
      <c r="V484" s="114"/>
      <c r="W484" s="114"/>
      <c r="X484" s="114"/>
      <c r="Y484" s="114"/>
      <c r="Z484" s="114"/>
      <c r="AA484" s="114"/>
      <c r="AB484" s="114"/>
      <c r="AC484" s="114"/>
      <c r="AD484" s="114"/>
      <c r="AE484" s="114"/>
    </row>
    <row r="485" spans="1:31" x14ac:dyDescent="0.25">
      <c r="A485" s="140" t="s">
        <v>229</v>
      </c>
      <c r="B485" s="140" t="s">
        <v>155</v>
      </c>
      <c r="C485" s="140" t="s">
        <v>66</v>
      </c>
      <c r="D485" s="149" t="s">
        <v>194</v>
      </c>
      <c r="E485" s="139" t="s">
        <v>195</v>
      </c>
      <c r="F485" s="105"/>
      <c r="G485" s="113"/>
      <c r="H485" s="114"/>
      <c r="I485" s="114"/>
      <c r="J485" s="114"/>
      <c r="K485" s="114"/>
      <c r="L485" s="114"/>
      <c r="M485" s="114"/>
      <c r="N485" s="114"/>
      <c r="O485" s="114"/>
      <c r="P485" s="114"/>
      <c r="Q485" s="114"/>
      <c r="R485" s="114"/>
      <c r="S485" s="114"/>
      <c r="T485" s="114"/>
      <c r="U485" s="114"/>
      <c r="V485" s="114"/>
      <c r="W485" s="114"/>
      <c r="X485" s="114"/>
      <c r="Y485" s="114"/>
      <c r="Z485" s="114"/>
      <c r="AA485" s="114"/>
      <c r="AB485" s="114"/>
      <c r="AC485" s="114"/>
      <c r="AD485" s="114"/>
      <c r="AE485" s="114"/>
    </row>
    <row r="486" spans="1:31" x14ac:dyDescent="0.25">
      <c r="A486" s="140" t="s">
        <v>229</v>
      </c>
      <c r="B486" s="140" t="s">
        <v>155</v>
      </c>
      <c r="C486" s="140" t="s">
        <v>66</v>
      </c>
      <c r="D486" s="149" t="s">
        <v>156</v>
      </c>
      <c r="E486" s="139" t="s">
        <v>157</v>
      </c>
      <c r="F486" s="105"/>
      <c r="G486" s="113"/>
      <c r="H486" s="114"/>
      <c r="I486" s="114"/>
      <c r="J486" s="114"/>
      <c r="K486" s="114"/>
      <c r="L486" s="114"/>
      <c r="M486" s="114"/>
      <c r="N486" s="114"/>
      <c r="O486" s="114"/>
      <c r="P486" s="114"/>
      <c r="Q486" s="114"/>
      <c r="R486" s="114"/>
      <c r="S486" s="114"/>
      <c r="T486" s="114"/>
      <c r="U486" s="114"/>
      <c r="V486" s="114"/>
      <c r="W486" s="114"/>
      <c r="X486" s="114"/>
      <c r="Y486" s="114"/>
      <c r="Z486" s="114"/>
      <c r="AA486" s="114"/>
      <c r="AB486" s="114"/>
      <c r="AC486" s="114"/>
      <c r="AD486" s="114"/>
      <c r="AE486" s="114"/>
    </row>
    <row r="487" spans="1:31" x14ac:dyDescent="0.25">
      <c r="A487" s="140" t="s">
        <v>229</v>
      </c>
      <c r="B487" s="140" t="s">
        <v>155</v>
      </c>
      <c r="C487" s="140" t="s">
        <v>66</v>
      </c>
      <c r="D487" s="149" t="s">
        <v>196</v>
      </c>
      <c r="E487" s="139" t="s">
        <v>197</v>
      </c>
      <c r="F487" s="105"/>
      <c r="G487" s="113"/>
      <c r="H487" s="114"/>
      <c r="I487" s="114"/>
      <c r="J487" s="114"/>
      <c r="K487" s="114"/>
      <c r="L487" s="114"/>
      <c r="M487" s="114"/>
      <c r="N487" s="114"/>
      <c r="O487" s="114"/>
      <c r="P487" s="114"/>
      <c r="Q487" s="114"/>
      <c r="R487" s="114"/>
      <c r="S487" s="114"/>
      <c r="T487" s="114"/>
      <c r="U487" s="114"/>
      <c r="V487" s="114"/>
      <c r="W487" s="114"/>
      <c r="X487" s="114"/>
      <c r="Y487" s="114"/>
      <c r="Z487" s="114"/>
      <c r="AA487" s="114"/>
      <c r="AB487" s="114"/>
      <c r="AC487" s="114"/>
      <c r="AD487" s="114"/>
      <c r="AE487" s="114"/>
    </row>
    <row r="488" spans="1:31" x14ac:dyDescent="0.25">
      <c r="A488" s="140" t="s">
        <v>229</v>
      </c>
      <c r="B488" s="140" t="s">
        <v>44</v>
      </c>
      <c r="C488" s="140" t="s">
        <v>812</v>
      </c>
      <c r="D488" s="149" t="s">
        <v>517</v>
      </c>
      <c r="E488" s="139" t="s">
        <v>676</v>
      </c>
      <c r="F488" s="105"/>
      <c r="G488" s="113"/>
      <c r="H488" s="114"/>
      <c r="I488" s="114"/>
      <c r="J488" s="114"/>
      <c r="K488" s="114"/>
      <c r="L488" s="114"/>
      <c r="M488" s="114"/>
      <c r="N488" s="114"/>
      <c r="O488" s="114"/>
      <c r="P488" s="114"/>
      <c r="Q488" s="114"/>
      <c r="R488" s="114"/>
      <c r="S488" s="114"/>
      <c r="T488" s="114"/>
      <c r="U488" s="114"/>
      <c r="V488" s="114"/>
      <c r="W488" s="114"/>
      <c r="X488" s="114"/>
      <c r="Y488" s="114"/>
      <c r="Z488" s="114"/>
      <c r="AA488" s="114"/>
      <c r="AB488" s="114"/>
      <c r="AC488" s="114"/>
      <c r="AD488" s="114"/>
      <c r="AE488" s="114"/>
    </row>
    <row r="489" spans="1:31" x14ac:dyDescent="0.25">
      <c r="A489" s="140" t="s">
        <v>229</v>
      </c>
      <c r="B489" s="140" t="s">
        <v>44</v>
      </c>
      <c r="C489" s="140" t="s">
        <v>812</v>
      </c>
      <c r="D489" s="149" t="s">
        <v>830</v>
      </c>
      <c r="E489" s="139" t="s">
        <v>677</v>
      </c>
      <c r="F489" s="105"/>
      <c r="G489" s="113"/>
      <c r="H489" s="114"/>
      <c r="I489" s="114"/>
      <c r="J489" s="114"/>
      <c r="K489" s="114"/>
      <c r="L489" s="114"/>
      <c r="M489" s="114"/>
      <c r="N489" s="114"/>
      <c r="O489" s="114"/>
      <c r="P489" s="114"/>
      <c r="Q489" s="114"/>
      <c r="R489" s="114"/>
      <c r="S489" s="114"/>
      <c r="T489" s="114"/>
      <c r="U489" s="114"/>
      <c r="V489" s="114"/>
      <c r="W489" s="114"/>
      <c r="X489" s="114"/>
      <c r="Y489" s="114"/>
      <c r="Z489" s="114"/>
      <c r="AA489" s="114"/>
      <c r="AB489" s="114"/>
      <c r="AC489" s="114"/>
      <c r="AD489" s="114"/>
      <c r="AE489" s="114"/>
    </row>
    <row r="490" spans="1:31" x14ac:dyDescent="0.25">
      <c r="A490" s="140" t="s">
        <v>229</v>
      </c>
      <c r="B490" s="140" t="s">
        <v>44</v>
      </c>
      <c r="C490" s="140" t="s">
        <v>812</v>
      </c>
      <c r="D490" s="149" t="s">
        <v>831</v>
      </c>
      <c r="E490" s="139" t="s">
        <v>678</v>
      </c>
      <c r="F490" s="105"/>
      <c r="G490" s="113"/>
      <c r="H490" s="114"/>
      <c r="I490" s="114"/>
      <c r="J490" s="114"/>
      <c r="K490" s="114"/>
      <c r="L490" s="114"/>
      <c r="M490" s="114"/>
      <c r="N490" s="114"/>
      <c r="O490" s="114"/>
      <c r="P490" s="114"/>
      <c r="Q490" s="114"/>
      <c r="R490" s="114"/>
      <c r="S490" s="114"/>
      <c r="T490" s="114"/>
      <c r="U490" s="114"/>
      <c r="V490" s="114"/>
      <c r="W490" s="114"/>
      <c r="X490" s="114"/>
      <c r="Y490" s="114"/>
      <c r="Z490" s="114"/>
      <c r="AA490" s="114"/>
      <c r="AB490" s="114"/>
      <c r="AC490" s="114"/>
      <c r="AD490" s="114"/>
      <c r="AE490" s="114"/>
    </row>
    <row r="491" spans="1:31" x14ac:dyDescent="0.25">
      <c r="A491" s="140" t="s">
        <v>229</v>
      </c>
      <c r="B491" s="140" t="s">
        <v>44</v>
      </c>
      <c r="C491" s="140" t="s">
        <v>812</v>
      </c>
      <c r="D491" s="149" t="s">
        <v>204</v>
      </c>
      <c r="E491" s="139" t="s">
        <v>205</v>
      </c>
      <c r="F491" s="105"/>
      <c r="G491" s="113"/>
      <c r="H491" s="114"/>
      <c r="I491" s="114"/>
      <c r="J491" s="114"/>
      <c r="K491" s="114"/>
      <c r="L491" s="114"/>
      <c r="M491" s="114"/>
      <c r="N491" s="114"/>
      <c r="O491" s="114"/>
      <c r="P491" s="114"/>
      <c r="Q491" s="114"/>
      <c r="R491" s="114"/>
      <c r="S491" s="114"/>
      <c r="T491" s="114"/>
      <c r="U491" s="114"/>
      <c r="V491" s="114"/>
      <c r="W491" s="114"/>
      <c r="X491" s="114"/>
      <c r="Y491" s="114"/>
      <c r="Z491" s="114"/>
      <c r="AA491" s="114"/>
      <c r="AB491" s="114"/>
      <c r="AC491" s="114"/>
      <c r="AD491" s="114"/>
      <c r="AE491" s="114"/>
    </row>
    <row r="492" spans="1:31" x14ac:dyDescent="0.25">
      <c r="A492" s="140" t="s">
        <v>229</v>
      </c>
      <c r="B492" s="140" t="s">
        <v>44</v>
      </c>
      <c r="C492" s="140" t="s">
        <v>812</v>
      </c>
      <c r="D492" s="149" t="s">
        <v>198</v>
      </c>
      <c r="E492" s="139" t="s">
        <v>199</v>
      </c>
      <c r="F492" s="105"/>
      <c r="G492" s="113"/>
      <c r="H492" s="114"/>
      <c r="I492" s="114"/>
      <c r="J492" s="114"/>
      <c r="K492" s="114"/>
      <c r="L492" s="114"/>
      <c r="M492" s="114"/>
      <c r="N492" s="114"/>
      <c r="O492" s="114"/>
      <c r="P492" s="114"/>
      <c r="Q492" s="114"/>
      <c r="R492" s="114"/>
      <c r="S492" s="114"/>
      <c r="T492" s="114"/>
      <c r="U492" s="114"/>
      <c r="V492" s="114"/>
      <c r="W492" s="114"/>
      <c r="X492" s="114"/>
      <c r="Y492" s="114"/>
      <c r="Z492" s="114"/>
      <c r="AA492" s="114"/>
      <c r="AB492" s="114"/>
      <c r="AC492" s="114"/>
      <c r="AD492" s="114"/>
      <c r="AE492" s="114"/>
    </row>
    <row r="493" spans="1:31" x14ac:dyDescent="0.25">
      <c r="A493" s="140" t="s">
        <v>229</v>
      </c>
      <c r="B493" s="140" t="s">
        <v>44</v>
      </c>
      <c r="C493" s="140" t="s">
        <v>812</v>
      </c>
      <c r="D493" s="149" t="s">
        <v>200</v>
      </c>
      <c r="E493" s="139" t="s">
        <v>201</v>
      </c>
      <c r="F493" s="105"/>
      <c r="G493" s="113"/>
      <c r="H493" s="114"/>
      <c r="I493" s="114"/>
      <c r="J493" s="114"/>
      <c r="K493" s="114"/>
      <c r="L493" s="114"/>
      <c r="M493" s="114"/>
      <c r="N493" s="114"/>
      <c r="O493" s="114"/>
      <c r="P493" s="114"/>
      <c r="Q493" s="114"/>
      <c r="R493" s="114"/>
      <c r="S493" s="114"/>
      <c r="T493" s="114"/>
      <c r="U493" s="114"/>
      <c r="V493" s="114"/>
      <c r="W493" s="114"/>
      <c r="X493" s="114"/>
      <c r="Y493" s="114"/>
      <c r="Z493" s="114"/>
      <c r="AA493" s="114"/>
      <c r="AB493" s="114"/>
      <c r="AC493" s="114"/>
      <c r="AD493" s="114"/>
      <c r="AE493" s="114"/>
    </row>
    <row r="494" spans="1:31" x14ac:dyDescent="0.25">
      <c r="A494" s="140" t="s">
        <v>229</v>
      </c>
      <c r="B494" s="140" t="s">
        <v>44</v>
      </c>
      <c r="C494" s="140" t="s">
        <v>812</v>
      </c>
      <c r="D494" s="149" t="s">
        <v>832</v>
      </c>
      <c r="E494" s="139" t="s">
        <v>679</v>
      </c>
      <c r="F494" s="105"/>
      <c r="G494" s="113"/>
      <c r="H494" s="114"/>
      <c r="I494" s="114"/>
      <c r="J494" s="114"/>
      <c r="K494" s="114"/>
      <c r="L494" s="114"/>
      <c r="M494" s="114"/>
      <c r="N494" s="114"/>
      <c r="O494" s="114"/>
      <c r="P494" s="114"/>
      <c r="Q494" s="114"/>
      <c r="R494" s="114"/>
      <c r="S494" s="114"/>
      <c r="T494" s="114"/>
      <c r="U494" s="114"/>
      <c r="V494" s="114"/>
      <c r="W494" s="114"/>
      <c r="X494" s="114"/>
      <c r="Y494" s="114"/>
      <c r="Z494" s="114"/>
      <c r="AA494" s="114"/>
      <c r="AB494" s="114"/>
      <c r="AC494" s="114"/>
      <c r="AD494" s="114"/>
      <c r="AE494" s="114"/>
    </row>
    <row r="495" spans="1:31" x14ac:dyDescent="0.25">
      <c r="A495" s="140" t="s">
        <v>229</v>
      </c>
      <c r="B495" s="140" t="s">
        <v>44</v>
      </c>
      <c r="C495" s="140" t="s">
        <v>812</v>
      </c>
      <c r="D495" s="149" t="s">
        <v>45</v>
      </c>
      <c r="E495" s="139" t="s">
        <v>46</v>
      </c>
      <c r="F495" s="105"/>
      <c r="G495" s="113"/>
      <c r="H495" s="114"/>
      <c r="I495" s="114"/>
      <c r="J495" s="114"/>
      <c r="K495" s="114"/>
      <c r="L495" s="114"/>
      <c r="M495" s="114"/>
      <c r="N495" s="114"/>
      <c r="O495" s="114"/>
      <c r="P495" s="114"/>
      <c r="Q495" s="114"/>
      <c r="R495" s="114"/>
      <c r="S495" s="114"/>
      <c r="T495" s="114"/>
      <c r="U495" s="114"/>
      <c r="V495" s="114"/>
      <c r="W495" s="114"/>
      <c r="X495" s="114"/>
      <c r="Y495" s="114"/>
      <c r="Z495" s="114"/>
      <c r="AA495" s="114"/>
      <c r="AB495" s="114"/>
      <c r="AC495" s="114"/>
      <c r="AD495" s="114"/>
      <c r="AE495" s="114"/>
    </row>
    <row r="496" spans="1:31" x14ac:dyDescent="0.25">
      <c r="A496" s="140" t="s">
        <v>229</v>
      </c>
      <c r="B496" s="140" t="s">
        <v>44</v>
      </c>
      <c r="C496" s="140" t="s">
        <v>812</v>
      </c>
      <c r="D496" s="149" t="s">
        <v>526</v>
      </c>
      <c r="E496" s="139" t="s">
        <v>680</v>
      </c>
      <c r="F496" s="105"/>
      <c r="G496" s="113"/>
      <c r="H496" s="114"/>
      <c r="I496" s="114"/>
      <c r="J496" s="114"/>
      <c r="K496" s="114"/>
      <c r="L496" s="114"/>
      <c r="M496" s="114"/>
      <c r="N496" s="114"/>
      <c r="O496" s="114"/>
      <c r="P496" s="114"/>
      <c r="Q496" s="114"/>
      <c r="R496" s="114"/>
      <c r="S496" s="114"/>
      <c r="T496" s="114"/>
      <c r="U496" s="114"/>
      <c r="V496" s="114"/>
      <c r="W496" s="114"/>
      <c r="X496" s="114"/>
      <c r="Y496" s="114"/>
      <c r="Z496" s="114"/>
      <c r="AA496" s="114"/>
      <c r="AB496" s="114"/>
      <c r="AC496" s="114"/>
      <c r="AD496" s="114"/>
      <c r="AE496" s="114"/>
    </row>
    <row r="497" spans="1:31" x14ac:dyDescent="0.25">
      <c r="A497" s="140" t="s">
        <v>229</v>
      </c>
      <c r="B497" s="140" t="s">
        <v>44</v>
      </c>
      <c r="C497" s="140" t="s">
        <v>812</v>
      </c>
      <c r="D497" s="149" t="s">
        <v>833</v>
      </c>
      <c r="E497" s="139" t="s">
        <v>681</v>
      </c>
      <c r="F497" s="105"/>
      <c r="G497" s="113"/>
      <c r="H497" s="114"/>
      <c r="I497" s="114"/>
      <c r="J497" s="114"/>
      <c r="K497" s="114"/>
      <c r="L497" s="114"/>
      <c r="M497" s="114"/>
      <c r="N497" s="114"/>
      <c r="O497" s="114"/>
      <c r="P497" s="114"/>
      <c r="Q497" s="114"/>
      <c r="R497" s="114"/>
      <c r="S497" s="114"/>
      <c r="T497" s="114"/>
      <c r="U497" s="114"/>
      <c r="V497" s="114"/>
      <c r="W497" s="114"/>
      <c r="X497" s="114"/>
      <c r="Y497" s="114"/>
      <c r="Z497" s="114"/>
      <c r="AA497" s="114"/>
      <c r="AB497" s="114"/>
      <c r="AC497" s="114"/>
      <c r="AD497" s="114"/>
      <c r="AE497" s="114"/>
    </row>
    <row r="498" spans="1:31" x14ac:dyDescent="0.25">
      <c r="A498" s="140" t="s">
        <v>229</v>
      </c>
      <c r="B498" s="140" t="s">
        <v>44</v>
      </c>
      <c r="C498" s="140" t="s">
        <v>812</v>
      </c>
      <c r="D498" s="149" t="s">
        <v>834</v>
      </c>
      <c r="E498" s="139" t="s">
        <v>682</v>
      </c>
      <c r="F498" s="105"/>
      <c r="G498" s="113"/>
      <c r="H498" s="114"/>
      <c r="I498" s="114"/>
      <c r="J498" s="114"/>
      <c r="K498" s="114"/>
      <c r="L498" s="114"/>
      <c r="M498" s="114"/>
      <c r="N498" s="114"/>
      <c r="O498" s="114"/>
      <c r="P498" s="114"/>
      <c r="Q498" s="114"/>
      <c r="R498" s="114"/>
      <c r="S498" s="114"/>
      <c r="T498" s="114"/>
      <c r="U498" s="114"/>
      <c r="V498" s="114"/>
      <c r="W498" s="114"/>
      <c r="X498" s="114"/>
      <c r="Y498" s="114"/>
      <c r="Z498" s="114"/>
      <c r="AA498" s="114"/>
      <c r="AB498" s="114"/>
      <c r="AC498" s="114"/>
      <c r="AD498" s="114"/>
      <c r="AE498" s="114"/>
    </row>
    <row r="499" spans="1:31" x14ac:dyDescent="0.25">
      <c r="A499" s="140" t="s">
        <v>229</v>
      </c>
      <c r="B499" s="140" t="s">
        <v>44</v>
      </c>
      <c r="C499" s="140" t="s">
        <v>812</v>
      </c>
      <c r="D499" s="149" t="s">
        <v>835</v>
      </c>
      <c r="E499" s="139" t="s">
        <v>683</v>
      </c>
      <c r="F499" s="105"/>
      <c r="G499" s="113"/>
      <c r="H499" s="114"/>
      <c r="I499" s="114"/>
      <c r="J499" s="114"/>
      <c r="K499" s="114"/>
      <c r="L499" s="114"/>
      <c r="M499" s="114"/>
      <c r="N499" s="114"/>
      <c r="O499" s="114"/>
      <c r="P499" s="114"/>
      <c r="Q499" s="114"/>
      <c r="R499" s="114"/>
      <c r="S499" s="114"/>
      <c r="T499" s="114"/>
      <c r="U499" s="114"/>
      <c r="V499" s="114"/>
      <c r="W499" s="114"/>
      <c r="X499" s="114"/>
      <c r="Y499" s="114"/>
      <c r="Z499" s="114"/>
      <c r="AA499" s="114"/>
      <c r="AB499" s="114"/>
      <c r="AC499" s="114"/>
      <c r="AD499" s="114"/>
      <c r="AE499" s="114"/>
    </row>
    <row r="500" spans="1:31" x14ac:dyDescent="0.25">
      <c r="A500" s="140" t="s">
        <v>229</v>
      </c>
      <c r="B500" s="140" t="s">
        <v>44</v>
      </c>
      <c r="C500" s="140" t="s">
        <v>812</v>
      </c>
      <c r="D500" s="149" t="s">
        <v>836</v>
      </c>
      <c r="E500" s="139" t="s">
        <v>684</v>
      </c>
      <c r="F500" s="105"/>
      <c r="G500" s="113"/>
      <c r="H500" s="114"/>
      <c r="I500" s="114"/>
      <c r="J500" s="114"/>
      <c r="K500" s="114"/>
      <c r="L500" s="114"/>
      <c r="M500" s="114"/>
      <c r="N500" s="114"/>
      <c r="O500" s="114"/>
      <c r="P500" s="114"/>
      <c r="Q500" s="114"/>
      <c r="R500" s="114"/>
      <c r="S500" s="114"/>
      <c r="T500" s="114"/>
      <c r="U500" s="114"/>
      <c r="V500" s="114"/>
      <c r="W500" s="114"/>
      <c r="X500" s="114"/>
      <c r="Y500" s="114"/>
      <c r="Z500" s="114"/>
      <c r="AA500" s="114"/>
      <c r="AB500" s="114"/>
      <c r="AC500" s="114"/>
      <c r="AD500" s="114"/>
      <c r="AE500" s="114"/>
    </row>
    <row r="501" spans="1:31" x14ac:dyDescent="0.25">
      <c r="A501" s="140" t="s">
        <v>229</v>
      </c>
      <c r="B501" s="140" t="s">
        <v>44</v>
      </c>
      <c r="C501" s="140" t="s">
        <v>812</v>
      </c>
      <c r="D501" s="149" t="s">
        <v>837</v>
      </c>
      <c r="E501" s="139" t="s">
        <v>685</v>
      </c>
      <c r="F501" s="105"/>
      <c r="G501" s="113"/>
      <c r="H501" s="114"/>
      <c r="I501" s="114"/>
      <c r="J501" s="114"/>
      <c r="K501" s="114"/>
      <c r="L501" s="114"/>
      <c r="M501" s="114"/>
      <c r="N501" s="114"/>
      <c r="O501" s="114"/>
      <c r="P501" s="114"/>
      <c r="Q501" s="114"/>
      <c r="R501" s="114"/>
      <c r="S501" s="114"/>
      <c r="T501" s="114"/>
      <c r="U501" s="114"/>
      <c r="V501" s="114"/>
      <c r="W501" s="114"/>
      <c r="X501" s="114"/>
      <c r="Y501" s="114"/>
      <c r="Z501" s="114"/>
      <c r="AA501" s="114"/>
      <c r="AB501" s="114"/>
      <c r="AC501" s="114"/>
      <c r="AD501" s="114"/>
      <c r="AE501" s="114"/>
    </row>
    <row r="502" spans="1:31" x14ac:dyDescent="0.25">
      <c r="A502" s="140" t="s">
        <v>229</v>
      </c>
      <c r="B502" s="140" t="s">
        <v>44</v>
      </c>
      <c r="C502" s="140" t="s">
        <v>812</v>
      </c>
      <c r="D502" s="149" t="s">
        <v>838</v>
      </c>
      <c r="E502" s="139" t="s">
        <v>686</v>
      </c>
      <c r="F502" s="105"/>
      <c r="G502" s="113"/>
      <c r="H502" s="114"/>
      <c r="I502" s="114"/>
      <c r="J502" s="114"/>
      <c r="K502" s="114"/>
      <c r="L502" s="114"/>
      <c r="M502" s="114"/>
      <c r="N502" s="114"/>
      <c r="O502" s="114"/>
      <c r="P502" s="114"/>
      <c r="Q502" s="114"/>
      <c r="R502" s="114"/>
      <c r="S502" s="114"/>
      <c r="T502" s="114"/>
      <c r="U502" s="114"/>
      <c r="V502" s="114"/>
      <c r="W502" s="114"/>
      <c r="X502" s="114"/>
      <c r="Y502" s="114"/>
      <c r="Z502" s="114"/>
      <c r="AA502" s="114"/>
      <c r="AB502" s="114"/>
      <c r="AC502" s="114"/>
      <c r="AD502" s="114"/>
      <c r="AE502" s="114"/>
    </row>
    <row r="503" spans="1:31" x14ac:dyDescent="0.25">
      <c r="A503" s="140" t="s">
        <v>229</v>
      </c>
      <c r="B503" s="140" t="s">
        <v>44</v>
      </c>
      <c r="C503" s="140" t="s">
        <v>812</v>
      </c>
      <c r="D503" s="149" t="s">
        <v>534</v>
      </c>
      <c r="E503" s="139" t="s">
        <v>687</v>
      </c>
      <c r="F503" s="105"/>
      <c r="G503" s="113"/>
      <c r="H503" s="114"/>
      <c r="I503" s="114"/>
      <c r="J503" s="114"/>
      <c r="K503" s="114"/>
      <c r="L503" s="114"/>
      <c r="M503" s="114"/>
      <c r="N503" s="114"/>
      <c r="O503" s="114"/>
      <c r="P503" s="114"/>
      <c r="Q503" s="114"/>
      <c r="R503" s="114"/>
      <c r="S503" s="114"/>
      <c r="T503" s="114"/>
      <c r="U503" s="114"/>
      <c r="V503" s="114"/>
      <c r="W503" s="114"/>
      <c r="X503" s="114"/>
      <c r="Y503" s="114"/>
      <c r="Z503" s="114"/>
      <c r="AA503" s="114"/>
      <c r="AB503" s="114"/>
      <c r="AC503" s="114"/>
      <c r="AD503" s="114"/>
      <c r="AE503" s="114"/>
    </row>
    <row r="504" spans="1:31" x14ac:dyDescent="0.25">
      <c r="A504" s="140" t="s">
        <v>229</v>
      </c>
      <c r="B504" s="140" t="s">
        <v>44</v>
      </c>
      <c r="C504" s="140" t="s">
        <v>812</v>
      </c>
      <c r="D504" s="149" t="s">
        <v>100</v>
      </c>
      <c r="E504" s="139" t="s">
        <v>101</v>
      </c>
      <c r="F504" s="105"/>
      <c r="G504" s="113"/>
      <c r="H504" s="114"/>
      <c r="I504" s="114"/>
      <c r="J504" s="114"/>
      <c r="K504" s="114"/>
      <c r="L504" s="114"/>
      <c r="M504" s="114"/>
      <c r="N504" s="114"/>
      <c r="O504" s="114"/>
      <c r="P504" s="114"/>
      <c r="Q504" s="114"/>
      <c r="R504" s="114"/>
      <c r="S504" s="114"/>
      <c r="T504" s="114"/>
      <c r="U504" s="114"/>
      <c r="V504" s="114"/>
      <c r="W504" s="114"/>
      <c r="X504" s="114"/>
      <c r="Y504" s="114"/>
      <c r="Z504" s="114"/>
      <c r="AA504" s="114"/>
      <c r="AB504" s="114"/>
      <c r="AC504" s="114"/>
      <c r="AD504" s="114"/>
      <c r="AE504" s="114"/>
    </row>
    <row r="505" spans="1:31" x14ac:dyDescent="0.25">
      <c r="A505" s="140" t="s">
        <v>229</v>
      </c>
      <c r="B505" s="140" t="s">
        <v>44</v>
      </c>
      <c r="C505" s="140" t="s">
        <v>812</v>
      </c>
      <c r="D505" s="149" t="s">
        <v>202</v>
      </c>
      <c r="E505" s="139" t="s">
        <v>203</v>
      </c>
      <c r="F505" s="105"/>
      <c r="G505" s="113"/>
      <c r="H505" s="114"/>
      <c r="I505" s="114"/>
      <c r="J505" s="114"/>
      <c r="K505" s="114"/>
      <c r="L505" s="114"/>
      <c r="M505" s="114"/>
      <c r="N505" s="114"/>
      <c r="O505" s="114"/>
      <c r="P505" s="114"/>
      <c r="Q505" s="114"/>
      <c r="R505" s="114"/>
      <c r="S505" s="114"/>
      <c r="T505" s="114"/>
      <c r="U505" s="114"/>
      <c r="V505" s="114"/>
      <c r="W505" s="114"/>
      <c r="X505" s="114"/>
      <c r="Y505" s="114"/>
      <c r="Z505" s="114"/>
      <c r="AA505" s="114"/>
      <c r="AB505" s="114"/>
      <c r="AC505" s="114"/>
      <c r="AD505" s="114"/>
      <c r="AE505" s="114"/>
    </row>
    <row r="506" spans="1:31" x14ac:dyDescent="0.25">
      <c r="A506" s="140" t="s">
        <v>229</v>
      </c>
      <c r="B506" s="140" t="s">
        <v>44</v>
      </c>
      <c r="C506" s="140" t="s">
        <v>812</v>
      </c>
      <c r="D506" s="149" t="s">
        <v>538</v>
      </c>
      <c r="E506" s="139" t="s">
        <v>115</v>
      </c>
      <c r="F506" s="105"/>
      <c r="G506" s="113"/>
      <c r="H506" s="114"/>
      <c r="I506" s="114"/>
      <c r="J506" s="114"/>
      <c r="K506" s="114"/>
      <c r="L506" s="114"/>
      <c r="M506" s="114"/>
      <c r="N506" s="114"/>
      <c r="O506" s="114"/>
      <c r="P506" s="114"/>
      <c r="Q506" s="114"/>
      <c r="R506" s="114"/>
      <c r="S506" s="114"/>
      <c r="T506" s="114"/>
      <c r="U506" s="114"/>
      <c r="V506" s="114"/>
      <c r="W506" s="114"/>
      <c r="X506" s="114"/>
      <c r="Y506" s="114"/>
      <c r="Z506" s="114"/>
      <c r="AA506" s="114"/>
      <c r="AB506" s="114"/>
      <c r="AC506" s="114"/>
      <c r="AD506" s="114"/>
      <c r="AE506" s="114"/>
    </row>
    <row r="507" spans="1:31" x14ac:dyDescent="0.25">
      <c r="A507" s="140" t="s">
        <v>229</v>
      </c>
      <c r="B507" s="140" t="s">
        <v>44</v>
      </c>
      <c r="C507" s="140" t="s">
        <v>812</v>
      </c>
      <c r="D507" s="149" t="s">
        <v>539</v>
      </c>
      <c r="E507" s="139" t="s">
        <v>688</v>
      </c>
      <c r="F507" s="105"/>
      <c r="G507" s="113"/>
      <c r="H507" s="114"/>
      <c r="I507" s="114"/>
      <c r="J507" s="114"/>
      <c r="K507" s="114"/>
      <c r="L507" s="114"/>
      <c r="M507" s="114"/>
      <c r="N507" s="114"/>
      <c r="O507" s="114"/>
      <c r="P507" s="114"/>
      <c r="Q507" s="114"/>
      <c r="R507" s="114"/>
      <c r="S507" s="114"/>
      <c r="T507" s="114"/>
      <c r="U507" s="114"/>
      <c r="V507" s="114"/>
      <c r="W507" s="114"/>
      <c r="X507" s="114"/>
      <c r="Y507" s="114"/>
      <c r="Z507" s="114"/>
      <c r="AA507" s="114"/>
      <c r="AB507" s="114"/>
      <c r="AC507" s="114"/>
      <c r="AD507" s="114"/>
      <c r="AE507" s="114"/>
    </row>
    <row r="508" spans="1:31" x14ac:dyDescent="0.25">
      <c r="A508" s="140" t="s">
        <v>229</v>
      </c>
      <c r="B508" s="140" t="s">
        <v>44</v>
      </c>
      <c r="C508" s="140" t="s">
        <v>812</v>
      </c>
      <c r="D508" s="149" t="s">
        <v>541</v>
      </c>
      <c r="E508" s="139" t="s">
        <v>689</v>
      </c>
      <c r="F508" s="105"/>
      <c r="G508" s="113"/>
      <c r="H508" s="114"/>
      <c r="I508" s="114"/>
      <c r="J508" s="114"/>
      <c r="K508" s="114"/>
      <c r="L508" s="114"/>
      <c r="M508" s="114"/>
      <c r="N508" s="114"/>
      <c r="O508" s="114"/>
      <c r="P508" s="114"/>
      <c r="Q508" s="114"/>
      <c r="R508" s="114"/>
      <c r="S508" s="114"/>
      <c r="T508" s="114"/>
      <c r="U508" s="114"/>
      <c r="V508" s="114"/>
      <c r="W508" s="114"/>
      <c r="X508" s="114"/>
      <c r="Y508" s="114"/>
      <c r="Z508" s="114"/>
      <c r="AA508" s="114"/>
      <c r="AB508" s="114"/>
      <c r="AC508" s="114"/>
      <c r="AD508" s="114"/>
      <c r="AE508" s="114"/>
    </row>
    <row r="509" spans="1:31" x14ac:dyDescent="0.25">
      <c r="A509" s="140" t="s">
        <v>229</v>
      </c>
      <c r="B509" s="140" t="s">
        <v>44</v>
      </c>
      <c r="C509" s="140" t="s">
        <v>812</v>
      </c>
      <c r="D509" s="149" t="s">
        <v>543</v>
      </c>
      <c r="E509" s="139" t="s">
        <v>690</v>
      </c>
      <c r="F509" s="105"/>
      <c r="G509" s="113"/>
      <c r="H509" s="114"/>
      <c r="I509" s="114"/>
      <c r="J509" s="114"/>
      <c r="K509" s="114"/>
      <c r="L509" s="114"/>
      <c r="M509" s="114"/>
      <c r="N509" s="114"/>
      <c r="O509" s="114"/>
      <c r="P509" s="114"/>
      <c r="Q509" s="114"/>
      <c r="R509" s="114"/>
      <c r="S509" s="114"/>
      <c r="T509" s="114"/>
      <c r="U509" s="114"/>
      <c r="V509" s="114"/>
      <c r="W509" s="114"/>
      <c r="X509" s="114"/>
      <c r="Y509" s="114"/>
      <c r="Z509" s="114"/>
      <c r="AA509" s="114"/>
      <c r="AB509" s="114"/>
      <c r="AC509" s="114"/>
      <c r="AD509" s="114"/>
      <c r="AE509" s="114"/>
    </row>
    <row r="510" spans="1:31" x14ac:dyDescent="0.25">
      <c r="A510" s="140" t="s">
        <v>229</v>
      </c>
      <c r="B510" s="140" t="s">
        <v>44</v>
      </c>
      <c r="C510" s="140" t="s">
        <v>812</v>
      </c>
      <c r="D510" s="149" t="s">
        <v>545</v>
      </c>
      <c r="E510" s="139" t="s">
        <v>691</v>
      </c>
      <c r="F510" s="105"/>
      <c r="G510" s="113"/>
      <c r="H510" s="114"/>
      <c r="I510" s="114"/>
      <c r="J510" s="114"/>
      <c r="K510" s="114"/>
      <c r="L510" s="114"/>
      <c r="M510" s="114"/>
      <c r="N510" s="114"/>
      <c r="O510" s="114"/>
      <c r="P510" s="114"/>
      <c r="Q510" s="114"/>
      <c r="R510" s="114"/>
      <c r="S510" s="114"/>
      <c r="T510" s="114"/>
      <c r="U510" s="114"/>
      <c r="V510" s="114"/>
      <c r="W510" s="114"/>
      <c r="X510" s="114"/>
      <c r="Y510" s="114"/>
      <c r="Z510" s="114"/>
      <c r="AA510" s="114"/>
      <c r="AB510" s="114"/>
      <c r="AC510" s="114"/>
      <c r="AD510" s="114"/>
      <c r="AE510" s="114"/>
    </row>
    <row r="511" spans="1:31" x14ac:dyDescent="0.25">
      <c r="A511" s="140" t="s">
        <v>229</v>
      </c>
      <c r="B511" s="140" t="s">
        <v>44</v>
      </c>
      <c r="C511" s="140" t="s">
        <v>812</v>
      </c>
      <c r="D511" s="149" t="s">
        <v>839</v>
      </c>
      <c r="E511" s="139" t="s">
        <v>692</v>
      </c>
      <c r="F511" s="105"/>
      <c r="G511" s="113"/>
      <c r="H511" s="114"/>
      <c r="I511" s="114"/>
      <c r="J511" s="114"/>
      <c r="K511" s="114"/>
      <c r="L511" s="114"/>
      <c r="M511" s="114"/>
      <c r="N511" s="114"/>
      <c r="O511" s="114"/>
      <c r="P511" s="114"/>
      <c r="Q511" s="114"/>
      <c r="R511" s="114"/>
      <c r="S511" s="114"/>
      <c r="T511" s="114"/>
      <c r="U511" s="114"/>
      <c r="V511" s="114"/>
      <c r="W511" s="114"/>
      <c r="X511" s="114"/>
      <c r="Y511" s="114"/>
      <c r="Z511" s="114"/>
      <c r="AA511" s="114"/>
      <c r="AB511" s="114"/>
      <c r="AC511" s="114"/>
      <c r="AD511" s="114"/>
      <c r="AE511" s="114"/>
    </row>
    <row r="512" spans="1:31" x14ac:dyDescent="0.25">
      <c r="A512" s="140" t="s">
        <v>229</v>
      </c>
      <c r="B512" s="140" t="s">
        <v>44</v>
      </c>
      <c r="C512" s="140" t="s">
        <v>812</v>
      </c>
      <c r="D512" s="149" t="s">
        <v>146</v>
      </c>
      <c r="E512" s="139" t="s">
        <v>147</v>
      </c>
      <c r="F512" s="105"/>
      <c r="G512" s="113"/>
      <c r="H512" s="114"/>
      <c r="I512" s="114"/>
      <c r="J512" s="114"/>
      <c r="K512" s="114"/>
      <c r="L512" s="114"/>
      <c r="M512" s="114"/>
      <c r="N512" s="114"/>
      <c r="O512" s="114"/>
      <c r="P512" s="114"/>
      <c r="Q512" s="114"/>
      <c r="R512" s="114"/>
      <c r="S512" s="114"/>
      <c r="T512" s="114"/>
      <c r="U512" s="114"/>
      <c r="V512" s="114"/>
      <c r="W512" s="114"/>
      <c r="X512" s="114"/>
      <c r="Y512" s="114"/>
      <c r="Z512" s="114"/>
      <c r="AA512" s="114"/>
      <c r="AB512" s="114"/>
      <c r="AC512" s="114"/>
      <c r="AD512" s="114"/>
      <c r="AE512" s="114"/>
    </row>
    <row r="513" spans="1:31" x14ac:dyDescent="0.25">
      <c r="A513" s="140" t="s">
        <v>229</v>
      </c>
      <c r="B513" s="140" t="s">
        <v>44</v>
      </c>
      <c r="C513" s="140" t="s">
        <v>69</v>
      </c>
      <c r="D513" s="149" t="s">
        <v>470</v>
      </c>
      <c r="E513" s="139" t="s">
        <v>718</v>
      </c>
      <c r="F513" s="105"/>
      <c r="G513" s="113"/>
      <c r="H513" s="114"/>
      <c r="I513" s="114"/>
      <c r="J513" s="114"/>
      <c r="K513" s="114"/>
      <c r="L513" s="114"/>
      <c r="M513" s="114"/>
      <c r="N513" s="114"/>
      <c r="O513" s="114"/>
      <c r="P513" s="114"/>
      <c r="Q513" s="114"/>
      <c r="R513" s="114"/>
      <c r="S513" s="114"/>
      <c r="T513" s="114"/>
      <c r="U513" s="114"/>
      <c r="V513" s="114"/>
      <c r="W513" s="114"/>
      <c r="X513" s="114"/>
      <c r="Y513" s="114"/>
      <c r="Z513" s="114"/>
      <c r="AA513" s="114"/>
      <c r="AB513" s="114"/>
      <c r="AC513" s="114"/>
      <c r="AD513" s="114"/>
      <c r="AE513" s="114"/>
    </row>
    <row r="514" spans="1:31" x14ac:dyDescent="0.25">
      <c r="A514" s="140" t="s">
        <v>229</v>
      </c>
      <c r="B514" s="140" t="s">
        <v>44</v>
      </c>
      <c r="C514" s="140" t="s">
        <v>69</v>
      </c>
      <c r="D514" s="149" t="s">
        <v>69</v>
      </c>
      <c r="E514" s="139" t="s">
        <v>70</v>
      </c>
      <c r="F514" s="105"/>
      <c r="G514" s="113"/>
      <c r="H514" s="114"/>
      <c r="I514" s="114"/>
      <c r="J514" s="114"/>
      <c r="K514" s="114"/>
      <c r="L514" s="114"/>
      <c r="M514" s="114"/>
      <c r="N514" s="114"/>
      <c r="O514" s="114"/>
      <c r="P514" s="114"/>
      <c r="Q514" s="114"/>
      <c r="R514" s="114"/>
      <c r="S514" s="114"/>
      <c r="T514" s="114"/>
      <c r="U514" s="114"/>
      <c r="V514" s="114"/>
      <c r="W514" s="114"/>
      <c r="X514" s="114"/>
      <c r="Y514" s="114"/>
      <c r="Z514" s="114"/>
      <c r="AA514" s="114"/>
      <c r="AB514" s="114"/>
      <c r="AC514" s="114"/>
      <c r="AD514" s="114"/>
      <c r="AE514" s="114"/>
    </row>
    <row r="515" spans="1:31" x14ac:dyDescent="0.25">
      <c r="A515" s="140" t="s">
        <v>229</v>
      </c>
      <c r="B515" s="140" t="s">
        <v>73</v>
      </c>
      <c r="C515" s="140" t="s">
        <v>74</v>
      </c>
      <c r="D515" s="149" t="s">
        <v>454</v>
      </c>
      <c r="E515" s="139" t="s">
        <v>724</v>
      </c>
      <c r="F515" s="105"/>
      <c r="G515" s="113"/>
      <c r="H515" s="114"/>
      <c r="I515" s="114"/>
      <c r="J515" s="114"/>
      <c r="K515" s="114"/>
      <c r="L515" s="114"/>
      <c r="M515" s="114"/>
      <c r="N515" s="114"/>
      <c r="O515" s="114"/>
      <c r="P515" s="114"/>
      <c r="Q515" s="114"/>
      <c r="R515" s="114"/>
      <c r="S515" s="114"/>
      <c r="T515" s="114"/>
      <c r="U515" s="114"/>
      <c r="V515" s="114"/>
      <c r="W515" s="114"/>
      <c r="X515" s="114"/>
      <c r="Y515" s="114"/>
      <c r="Z515" s="114"/>
      <c r="AA515" s="114"/>
      <c r="AB515" s="114"/>
      <c r="AC515" s="114"/>
      <c r="AD515" s="114"/>
      <c r="AE515" s="114"/>
    </row>
    <row r="516" spans="1:31" x14ac:dyDescent="0.25">
      <c r="A516" s="140" t="s">
        <v>229</v>
      </c>
      <c r="B516" s="140" t="s">
        <v>73</v>
      </c>
      <c r="C516" s="140" t="s">
        <v>74</v>
      </c>
      <c r="D516" s="149" t="s">
        <v>206</v>
      </c>
      <c r="E516" s="139" t="s">
        <v>207</v>
      </c>
      <c r="F516" s="105"/>
      <c r="G516" s="113"/>
      <c r="H516" s="114"/>
      <c r="I516" s="114"/>
      <c r="J516" s="114"/>
      <c r="K516" s="114"/>
      <c r="L516" s="114"/>
      <c r="M516" s="114"/>
      <c r="N516" s="114"/>
      <c r="O516" s="114"/>
      <c r="P516" s="114"/>
      <c r="Q516" s="114"/>
      <c r="R516" s="114"/>
      <c r="S516" s="114"/>
      <c r="T516" s="114"/>
      <c r="U516" s="114"/>
      <c r="V516" s="114"/>
      <c r="W516" s="114"/>
      <c r="X516" s="114"/>
      <c r="Y516" s="114"/>
      <c r="Z516" s="114"/>
      <c r="AA516" s="114"/>
      <c r="AB516" s="114"/>
      <c r="AC516" s="114"/>
      <c r="AD516" s="114"/>
      <c r="AE516" s="114"/>
    </row>
    <row r="517" spans="1:31" x14ac:dyDescent="0.25">
      <c r="A517" s="140" t="s">
        <v>229</v>
      </c>
      <c r="B517" s="140" t="s">
        <v>73</v>
      </c>
      <c r="C517" s="140" t="s">
        <v>74</v>
      </c>
      <c r="D517" s="149" t="s">
        <v>459</v>
      </c>
      <c r="E517" s="139" t="s">
        <v>725</v>
      </c>
      <c r="F517" s="105"/>
      <c r="G517" s="113"/>
      <c r="H517" s="114"/>
      <c r="I517" s="114"/>
      <c r="J517" s="114"/>
      <c r="K517" s="114"/>
      <c r="L517" s="114"/>
      <c r="M517" s="114"/>
      <c r="N517" s="114"/>
      <c r="O517" s="114"/>
      <c r="P517" s="114"/>
      <c r="Q517" s="114"/>
      <c r="R517" s="114"/>
      <c r="S517" s="114"/>
      <c r="T517" s="114"/>
      <c r="U517" s="114"/>
      <c r="V517" s="114"/>
      <c r="W517" s="114"/>
      <c r="X517" s="114"/>
      <c r="Y517" s="114"/>
      <c r="Z517" s="114"/>
      <c r="AA517" s="114"/>
      <c r="AB517" s="114"/>
      <c r="AC517" s="114"/>
      <c r="AD517" s="114"/>
      <c r="AE517" s="114"/>
    </row>
    <row r="518" spans="1:31" x14ac:dyDescent="0.25">
      <c r="A518" s="140" t="s">
        <v>229</v>
      </c>
      <c r="B518" s="140" t="s">
        <v>73</v>
      </c>
      <c r="C518" s="140" t="s">
        <v>74</v>
      </c>
      <c r="D518" s="149" t="s">
        <v>208</v>
      </c>
      <c r="E518" s="139" t="s">
        <v>209</v>
      </c>
      <c r="F518" s="105"/>
      <c r="G518" s="113"/>
      <c r="H518" s="114"/>
      <c r="I518" s="114"/>
      <c r="J518" s="114"/>
      <c r="K518" s="114"/>
      <c r="L518" s="114"/>
      <c r="M518" s="114"/>
      <c r="N518" s="114"/>
      <c r="O518" s="114"/>
      <c r="P518" s="114"/>
      <c r="Q518" s="114"/>
      <c r="R518" s="114"/>
      <c r="S518" s="114"/>
      <c r="T518" s="114"/>
      <c r="U518" s="114"/>
      <c r="V518" s="114"/>
      <c r="W518" s="114"/>
      <c r="X518" s="114"/>
      <c r="Y518" s="114"/>
      <c r="Z518" s="114"/>
      <c r="AA518" s="114"/>
      <c r="AB518" s="114"/>
      <c r="AC518" s="114"/>
      <c r="AD518" s="114"/>
      <c r="AE518" s="114"/>
    </row>
    <row r="519" spans="1:31" x14ac:dyDescent="0.25">
      <c r="A519" s="140" t="s">
        <v>229</v>
      </c>
      <c r="B519" s="140" t="s">
        <v>73</v>
      </c>
      <c r="C519" s="140" t="s">
        <v>74</v>
      </c>
      <c r="D519" s="149" t="s">
        <v>210</v>
      </c>
      <c r="E519" s="139" t="s">
        <v>211</v>
      </c>
      <c r="F519" s="105"/>
      <c r="G519" s="113"/>
      <c r="H519" s="114"/>
      <c r="I519" s="114"/>
      <c r="J519" s="114"/>
      <c r="K519" s="114"/>
      <c r="L519" s="114"/>
      <c r="M519" s="114"/>
      <c r="N519" s="114"/>
      <c r="O519" s="114"/>
      <c r="P519" s="114"/>
      <c r="Q519" s="114"/>
      <c r="R519" s="114"/>
      <c r="S519" s="114"/>
      <c r="T519" s="114"/>
      <c r="U519" s="114"/>
      <c r="V519" s="114"/>
      <c r="W519" s="114"/>
      <c r="X519" s="114"/>
      <c r="Y519" s="114"/>
      <c r="Z519" s="114"/>
      <c r="AA519" s="114"/>
      <c r="AB519" s="114"/>
      <c r="AC519" s="114"/>
      <c r="AD519" s="114"/>
      <c r="AE519" s="114"/>
    </row>
    <row r="520" spans="1:31" x14ac:dyDescent="0.25">
      <c r="A520" s="140" t="s">
        <v>229</v>
      </c>
      <c r="B520" s="140" t="s">
        <v>73</v>
      </c>
      <c r="C520" s="140" t="s">
        <v>74</v>
      </c>
      <c r="D520" s="149" t="s">
        <v>212</v>
      </c>
      <c r="E520" s="139" t="s">
        <v>213</v>
      </c>
      <c r="F520" s="105"/>
      <c r="G520" s="113"/>
      <c r="H520" s="114"/>
      <c r="I520" s="114"/>
      <c r="J520" s="114"/>
      <c r="K520" s="114"/>
      <c r="L520" s="114"/>
      <c r="M520" s="114"/>
      <c r="N520" s="114"/>
      <c r="O520" s="114"/>
      <c r="P520" s="114"/>
      <c r="Q520" s="114"/>
      <c r="R520" s="114"/>
      <c r="S520" s="114"/>
      <c r="T520" s="114"/>
      <c r="U520" s="114"/>
      <c r="V520" s="114"/>
      <c r="W520" s="114"/>
      <c r="X520" s="114"/>
      <c r="Y520" s="114"/>
      <c r="Z520" s="114"/>
      <c r="AA520" s="114"/>
      <c r="AB520" s="114"/>
      <c r="AC520" s="114"/>
      <c r="AD520" s="114"/>
      <c r="AE520" s="114"/>
    </row>
    <row r="521" spans="1:31" x14ac:dyDescent="0.25">
      <c r="A521" s="140" t="s">
        <v>229</v>
      </c>
      <c r="B521" s="140" t="s">
        <v>73</v>
      </c>
      <c r="C521" s="140" t="s">
        <v>74</v>
      </c>
      <c r="D521" s="149" t="s">
        <v>74</v>
      </c>
      <c r="E521" s="139" t="s">
        <v>75</v>
      </c>
      <c r="F521" s="105"/>
      <c r="G521" s="113"/>
      <c r="H521" s="114"/>
      <c r="I521" s="114"/>
      <c r="J521" s="114"/>
      <c r="K521" s="114"/>
      <c r="L521" s="114"/>
      <c r="M521" s="114"/>
      <c r="N521" s="114"/>
      <c r="O521" s="114"/>
      <c r="P521" s="114"/>
      <c r="Q521" s="114"/>
      <c r="R521" s="114"/>
      <c r="S521" s="114"/>
      <c r="T521" s="114"/>
      <c r="U521" s="114"/>
      <c r="V521" s="114"/>
      <c r="W521" s="114"/>
      <c r="X521" s="114"/>
      <c r="Y521" s="114"/>
      <c r="Z521" s="114"/>
      <c r="AA521" s="114"/>
      <c r="AB521" s="114"/>
      <c r="AC521" s="114"/>
      <c r="AD521" s="114"/>
      <c r="AE521" s="114"/>
    </row>
    <row r="522" spans="1:31" x14ac:dyDescent="0.25">
      <c r="A522" s="151" t="s">
        <v>229</v>
      </c>
      <c r="B522" s="151" t="s">
        <v>73</v>
      </c>
      <c r="C522" s="151" t="s">
        <v>74</v>
      </c>
      <c r="D522" s="151" t="s">
        <v>450</v>
      </c>
      <c r="E522" s="151" t="s">
        <v>126</v>
      </c>
      <c r="F522" s="105"/>
      <c r="G522" s="113"/>
      <c r="H522" s="114"/>
      <c r="I522" s="114"/>
      <c r="J522" s="114"/>
      <c r="K522" s="114"/>
      <c r="L522" s="114"/>
      <c r="M522" s="114"/>
      <c r="N522" s="114"/>
      <c r="O522" s="114"/>
      <c r="P522" s="114"/>
      <c r="Q522" s="114"/>
      <c r="R522" s="114"/>
      <c r="S522" s="114"/>
      <c r="T522" s="114"/>
      <c r="U522" s="114"/>
      <c r="V522" s="114"/>
      <c r="W522" s="114"/>
      <c r="X522" s="114"/>
      <c r="Y522" s="114"/>
      <c r="Z522" s="114"/>
      <c r="AA522" s="114"/>
      <c r="AB522" s="114"/>
      <c r="AC522" s="114"/>
      <c r="AD522" s="114"/>
      <c r="AE522" s="114"/>
    </row>
    <row r="523" spans="1:31" x14ac:dyDescent="0.25">
      <c r="A523" s="140" t="s">
        <v>229</v>
      </c>
      <c r="B523" s="140" t="s">
        <v>73</v>
      </c>
      <c r="C523" s="140" t="s">
        <v>74</v>
      </c>
      <c r="D523" s="149" t="s">
        <v>464</v>
      </c>
      <c r="E523" s="139" t="s">
        <v>726</v>
      </c>
      <c r="F523" s="105"/>
      <c r="G523" s="113"/>
      <c r="H523" s="114"/>
      <c r="I523" s="114"/>
      <c r="J523" s="114"/>
      <c r="K523" s="114"/>
      <c r="L523" s="114"/>
      <c r="M523" s="114"/>
      <c r="N523" s="114"/>
      <c r="O523" s="114"/>
      <c r="P523" s="114"/>
      <c r="Q523" s="114"/>
      <c r="R523" s="114"/>
      <c r="S523" s="114"/>
      <c r="T523" s="114"/>
      <c r="U523" s="114"/>
      <c r="V523" s="114"/>
      <c r="W523" s="114"/>
      <c r="X523" s="114"/>
      <c r="Y523" s="114"/>
      <c r="Z523" s="114"/>
      <c r="AA523" s="114"/>
      <c r="AB523" s="114"/>
      <c r="AC523" s="114"/>
      <c r="AD523" s="114"/>
      <c r="AE523" s="114"/>
    </row>
    <row r="524" spans="1:31" x14ac:dyDescent="0.25">
      <c r="A524" s="140" t="s">
        <v>229</v>
      </c>
      <c r="B524" s="140" t="s">
        <v>73</v>
      </c>
      <c r="C524" s="140" t="s">
        <v>74</v>
      </c>
      <c r="D524" s="149" t="s">
        <v>214</v>
      </c>
      <c r="E524" s="139" t="s">
        <v>215</v>
      </c>
      <c r="F524" s="105"/>
      <c r="G524" s="113"/>
      <c r="H524" s="114"/>
      <c r="I524" s="114"/>
      <c r="J524" s="114"/>
      <c r="K524" s="114"/>
      <c r="L524" s="114"/>
      <c r="M524" s="114"/>
      <c r="N524" s="114"/>
      <c r="O524" s="114"/>
      <c r="P524" s="114"/>
      <c r="Q524" s="114"/>
      <c r="R524" s="114"/>
      <c r="S524" s="114"/>
      <c r="T524" s="114"/>
      <c r="U524" s="114"/>
      <c r="V524" s="114"/>
      <c r="W524" s="114"/>
      <c r="X524" s="114"/>
      <c r="Y524" s="114"/>
      <c r="Z524" s="114"/>
      <c r="AA524" s="114"/>
      <c r="AB524" s="114"/>
      <c r="AC524" s="114"/>
      <c r="AD524" s="114"/>
      <c r="AE524" s="114"/>
    </row>
    <row r="525" spans="1:31" x14ac:dyDescent="0.25">
      <c r="A525" s="140" t="s">
        <v>229</v>
      </c>
      <c r="B525" s="140" t="s">
        <v>73</v>
      </c>
      <c r="C525" s="140" t="s">
        <v>74</v>
      </c>
      <c r="D525" s="149" t="s">
        <v>466</v>
      </c>
      <c r="E525" s="139" t="s">
        <v>727</v>
      </c>
      <c r="F525" s="105"/>
      <c r="G525" s="113"/>
      <c r="H525" s="114"/>
      <c r="I525" s="114"/>
      <c r="J525" s="114"/>
      <c r="K525" s="114"/>
      <c r="L525" s="114"/>
      <c r="M525" s="114"/>
      <c r="N525" s="114"/>
      <c r="O525" s="114"/>
      <c r="P525" s="114"/>
      <c r="Q525" s="114"/>
      <c r="R525" s="114"/>
      <c r="S525" s="114"/>
      <c r="T525" s="114"/>
      <c r="U525" s="114"/>
      <c r="V525" s="114"/>
      <c r="W525" s="114"/>
      <c r="X525" s="114"/>
      <c r="Y525" s="114"/>
      <c r="Z525" s="114"/>
      <c r="AA525" s="114"/>
      <c r="AB525" s="114"/>
      <c r="AC525" s="114"/>
      <c r="AD525" s="114"/>
      <c r="AE525" s="114"/>
    </row>
    <row r="526" spans="1:31" x14ac:dyDescent="0.25">
      <c r="A526" s="140" t="s">
        <v>229</v>
      </c>
      <c r="B526" s="140" t="s">
        <v>73</v>
      </c>
      <c r="C526" s="140" t="s">
        <v>74</v>
      </c>
      <c r="D526" s="149" t="s">
        <v>125</v>
      </c>
      <c r="E526" s="139" t="s">
        <v>126</v>
      </c>
      <c r="F526" s="105"/>
      <c r="G526" s="113"/>
      <c r="H526" s="114"/>
      <c r="I526" s="114"/>
      <c r="J526" s="114"/>
      <c r="K526" s="114"/>
      <c r="L526" s="114"/>
      <c r="M526" s="114"/>
      <c r="N526" s="114"/>
      <c r="O526" s="114"/>
      <c r="P526" s="114"/>
      <c r="Q526" s="114"/>
      <c r="R526" s="114"/>
      <c r="S526" s="114"/>
      <c r="T526" s="114"/>
      <c r="U526" s="114"/>
      <c r="V526" s="114"/>
      <c r="W526" s="114"/>
      <c r="X526" s="114"/>
      <c r="Y526" s="114"/>
      <c r="Z526" s="114"/>
      <c r="AA526" s="114"/>
      <c r="AB526" s="114"/>
      <c r="AC526" s="114"/>
      <c r="AD526" s="114"/>
      <c r="AE526" s="114"/>
    </row>
    <row r="527" spans="1:31" x14ac:dyDescent="0.25">
      <c r="A527" s="140" t="s">
        <v>229</v>
      </c>
      <c r="B527" s="140" t="s">
        <v>73</v>
      </c>
      <c r="C527" s="140" t="s">
        <v>74</v>
      </c>
      <c r="D527" s="149" t="s">
        <v>840</v>
      </c>
      <c r="E527" s="139" t="s">
        <v>728</v>
      </c>
      <c r="F527" s="105"/>
      <c r="G527" s="113"/>
      <c r="H527" s="114"/>
      <c r="I527" s="114"/>
      <c r="J527" s="114"/>
      <c r="K527" s="114"/>
      <c r="L527" s="114"/>
      <c r="M527" s="114"/>
      <c r="N527" s="114"/>
      <c r="O527" s="114"/>
      <c r="P527" s="114"/>
      <c r="Q527" s="114"/>
      <c r="R527" s="114"/>
      <c r="S527" s="114"/>
      <c r="T527" s="114"/>
      <c r="U527" s="114"/>
      <c r="V527" s="114"/>
      <c r="W527" s="114"/>
      <c r="X527" s="114"/>
      <c r="Y527" s="114"/>
      <c r="Z527" s="114"/>
      <c r="AA527" s="114"/>
      <c r="AB527" s="114"/>
      <c r="AC527" s="114"/>
      <c r="AD527" s="114"/>
      <c r="AE527" s="114"/>
    </row>
    <row r="528" spans="1:31" x14ac:dyDescent="0.25">
      <c r="A528" s="140" t="s">
        <v>229</v>
      </c>
      <c r="B528" s="140" t="s">
        <v>73</v>
      </c>
      <c r="C528" s="140" t="s">
        <v>116</v>
      </c>
      <c r="D528" s="149" t="s">
        <v>117</v>
      </c>
      <c r="E528" s="139" t="s">
        <v>118</v>
      </c>
      <c r="F528" s="105"/>
      <c r="G528" s="113"/>
      <c r="H528" s="114"/>
      <c r="I528" s="114"/>
      <c r="J528" s="114"/>
      <c r="K528" s="114"/>
      <c r="L528" s="114"/>
      <c r="M528" s="114"/>
      <c r="N528" s="114"/>
      <c r="O528" s="114"/>
      <c r="P528" s="114"/>
      <c r="Q528" s="114"/>
      <c r="R528" s="114"/>
      <c r="S528" s="114"/>
      <c r="T528" s="114"/>
      <c r="U528" s="114"/>
      <c r="V528" s="114"/>
      <c r="W528" s="114"/>
      <c r="X528" s="114"/>
      <c r="Y528" s="114"/>
      <c r="Z528" s="114"/>
      <c r="AA528" s="114"/>
      <c r="AB528" s="114"/>
      <c r="AC528" s="114"/>
      <c r="AD528" s="114"/>
      <c r="AE528" s="114"/>
    </row>
    <row r="529" spans="1:31" x14ac:dyDescent="0.25">
      <c r="A529" s="140" t="s">
        <v>229</v>
      </c>
      <c r="B529" s="140" t="s">
        <v>73</v>
      </c>
      <c r="C529" s="140" t="s">
        <v>116</v>
      </c>
      <c r="D529" s="149" t="s">
        <v>216</v>
      </c>
      <c r="E529" s="139" t="s">
        <v>217</v>
      </c>
      <c r="F529" s="105"/>
      <c r="G529" s="113"/>
      <c r="H529" s="114"/>
      <c r="I529" s="114"/>
      <c r="J529" s="114"/>
      <c r="K529" s="114"/>
      <c r="L529" s="114"/>
      <c r="M529" s="114"/>
      <c r="N529" s="114"/>
      <c r="O529" s="114"/>
      <c r="P529" s="114"/>
      <c r="Q529" s="114"/>
      <c r="R529" s="114"/>
      <c r="S529" s="114"/>
      <c r="T529" s="114"/>
      <c r="U529" s="114"/>
      <c r="V529" s="114"/>
      <c r="W529" s="114"/>
      <c r="X529" s="114"/>
      <c r="Y529" s="114"/>
      <c r="Z529" s="114"/>
      <c r="AA529" s="114"/>
      <c r="AB529" s="114"/>
      <c r="AC529" s="114"/>
      <c r="AD529" s="114"/>
      <c r="AE529" s="114"/>
    </row>
    <row r="530" spans="1:31" x14ac:dyDescent="0.25">
      <c r="A530" s="140" t="s">
        <v>229</v>
      </c>
      <c r="B530" s="140" t="s">
        <v>73</v>
      </c>
      <c r="C530" s="140" t="s">
        <v>116</v>
      </c>
      <c r="D530" s="149" t="s">
        <v>841</v>
      </c>
      <c r="E530" s="139" t="s">
        <v>753</v>
      </c>
      <c r="F530" s="105"/>
      <c r="G530" s="113"/>
      <c r="H530" s="114"/>
      <c r="I530" s="114"/>
      <c r="J530" s="114"/>
      <c r="K530" s="114"/>
      <c r="L530" s="114"/>
      <c r="M530" s="114"/>
      <c r="N530" s="114"/>
      <c r="O530" s="114"/>
      <c r="P530" s="114"/>
      <c r="Q530" s="114"/>
      <c r="R530" s="114"/>
      <c r="S530" s="114"/>
      <c r="T530" s="114"/>
      <c r="U530" s="114"/>
      <c r="V530" s="114"/>
      <c r="W530" s="114"/>
      <c r="X530" s="114"/>
      <c r="Y530" s="114"/>
      <c r="Z530" s="114"/>
      <c r="AA530" s="114"/>
      <c r="AB530" s="114"/>
      <c r="AC530" s="114"/>
      <c r="AD530" s="114"/>
      <c r="AE530" s="114"/>
    </row>
    <row r="531" spans="1:31" x14ac:dyDescent="0.25">
      <c r="A531" s="140" t="s">
        <v>229</v>
      </c>
      <c r="B531" s="140" t="s">
        <v>73</v>
      </c>
      <c r="C531" s="140" t="s">
        <v>119</v>
      </c>
      <c r="D531" s="149" t="s">
        <v>119</v>
      </c>
      <c r="E531" s="139" t="s">
        <v>120</v>
      </c>
      <c r="F531" s="105"/>
      <c r="G531" s="113"/>
      <c r="H531" s="114"/>
      <c r="I531" s="114"/>
      <c r="J531" s="114"/>
      <c r="K531" s="114"/>
      <c r="L531" s="114"/>
      <c r="M531" s="114"/>
      <c r="N531" s="114"/>
      <c r="O531" s="114"/>
      <c r="P531" s="114"/>
      <c r="Q531" s="114"/>
      <c r="R531" s="114"/>
      <c r="S531" s="114"/>
      <c r="T531" s="114"/>
      <c r="U531" s="114"/>
      <c r="V531" s="114"/>
      <c r="W531" s="114"/>
      <c r="X531" s="114"/>
      <c r="Y531" s="114"/>
      <c r="Z531" s="114"/>
      <c r="AA531" s="114"/>
      <c r="AB531" s="114"/>
      <c r="AC531" s="114"/>
      <c r="AD531" s="114"/>
      <c r="AE531" s="114"/>
    </row>
    <row r="532" spans="1:31" x14ac:dyDescent="0.25">
      <c r="A532" s="140" t="s">
        <v>229</v>
      </c>
      <c r="B532" s="140" t="s">
        <v>73</v>
      </c>
      <c r="C532" s="140" t="s">
        <v>119</v>
      </c>
      <c r="D532" s="149" t="s">
        <v>148</v>
      </c>
      <c r="E532" s="139" t="s">
        <v>149</v>
      </c>
      <c r="F532" s="105"/>
      <c r="G532" s="113"/>
      <c r="H532" s="114"/>
      <c r="I532" s="114"/>
      <c r="J532" s="114"/>
      <c r="K532" s="114"/>
      <c r="L532" s="114"/>
      <c r="M532" s="114"/>
      <c r="N532" s="114"/>
      <c r="O532" s="114"/>
      <c r="P532" s="114"/>
      <c r="Q532" s="114"/>
      <c r="R532" s="114"/>
      <c r="S532" s="114"/>
      <c r="T532" s="114"/>
      <c r="U532" s="114"/>
      <c r="V532" s="114"/>
      <c r="W532" s="114"/>
      <c r="X532" s="114"/>
      <c r="Y532" s="114"/>
      <c r="Z532" s="114"/>
      <c r="AA532" s="114"/>
      <c r="AB532" s="114"/>
      <c r="AC532" s="114"/>
      <c r="AD532" s="114"/>
      <c r="AE532" s="114"/>
    </row>
    <row r="533" spans="1:31" x14ac:dyDescent="0.25">
      <c r="A533" s="140" t="s">
        <v>229</v>
      </c>
      <c r="B533" s="140" t="s">
        <v>41</v>
      </c>
      <c r="C533" s="140" t="s">
        <v>813</v>
      </c>
      <c r="D533" s="149" t="s">
        <v>842</v>
      </c>
      <c r="E533" s="139" t="s">
        <v>698</v>
      </c>
      <c r="F533" s="105"/>
      <c r="G533" s="113"/>
      <c r="H533" s="114"/>
      <c r="I533" s="114"/>
      <c r="J533" s="114"/>
      <c r="K533" s="114"/>
      <c r="L533" s="114"/>
      <c r="M533" s="114"/>
      <c r="N533" s="114"/>
      <c r="O533" s="114"/>
      <c r="P533" s="114"/>
      <c r="Q533" s="114"/>
      <c r="R533" s="114"/>
      <c r="S533" s="114"/>
      <c r="T533" s="114"/>
      <c r="U533" s="114"/>
      <c r="V533" s="114"/>
      <c r="W533" s="114"/>
      <c r="X533" s="114"/>
      <c r="Y533" s="114"/>
      <c r="Z533" s="114"/>
      <c r="AA533" s="114"/>
      <c r="AB533" s="114"/>
      <c r="AC533" s="114"/>
      <c r="AD533" s="114"/>
      <c r="AE533" s="114"/>
    </row>
    <row r="534" spans="1:31" x14ac:dyDescent="0.25">
      <c r="A534" s="140" t="s">
        <v>229</v>
      </c>
      <c r="B534" s="140" t="s">
        <v>41</v>
      </c>
      <c r="C534" s="140" t="s">
        <v>813</v>
      </c>
      <c r="D534" s="149" t="s">
        <v>843</v>
      </c>
      <c r="E534" s="139" t="s">
        <v>699</v>
      </c>
      <c r="F534" s="105"/>
      <c r="G534" s="113"/>
      <c r="H534" s="114"/>
      <c r="I534" s="114"/>
      <c r="J534" s="114"/>
      <c r="K534" s="114"/>
      <c r="L534" s="114"/>
      <c r="M534" s="114"/>
      <c r="N534" s="114"/>
      <c r="O534" s="114"/>
      <c r="P534" s="114"/>
      <c r="Q534" s="114"/>
      <c r="R534" s="114"/>
      <c r="S534" s="114"/>
      <c r="T534" s="114"/>
      <c r="U534" s="114"/>
      <c r="V534" s="114"/>
      <c r="W534" s="114"/>
      <c r="X534" s="114"/>
      <c r="Y534" s="114"/>
      <c r="Z534" s="114"/>
      <c r="AA534" s="114"/>
      <c r="AB534" s="114"/>
      <c r="AC534" s="114"/>
      <c r="AD534" s="114"/>
      <c r="AE534" s="114"/>
    </row>
    <row r="535" spans="1:31" x14ac:dyDescent="0.25">
      <c r="A535" s="140" t="s">
        <v>229</v>
      </c>
      <c r="B535" s="140" t="s">
        <v>41</v>
      </c>
      <c r="C535" s="140" t="s">
        <v>813</v>
      </c>
      <c r="D535" s="149" t="s">
        <v>497</v>
      </c>
      <c r="E535" s="139" t="s">
        <v>700</v>
      </c>
      <c r="F535" s="105"/>
      <c r="G535" s="113"/>
      <c r="H535" s="114"/>
      <c r="I535" s="114"/>
      <c r="J535" s="114"/>
      <c r="K535" s="114"/>
      <c r="L535" s="114"/>
      <c r="M535" s="114"/>
      <c r="N535" s="114"/>
      <c r="O535" s="114"/>
      <c r="P535" s="114"/>
      <c r="Q535" s="114"/>
      <c r="R535" s="114"/>
      <c r="S535" s="114"/>
      <c r="T535" s="114"/>
      <c r="U535" s="114"/>
      <c r="V535" s="114"/>
      <c r="W535" s="114"/>
      <c r="X535" s="114"/>
      <c r="Y535" s="114"/>
      <c r="Z535" s="114"/>
      <c r="AA535" s="114"/>
      <c r="AB535" s="114"/>
      <c r="AC535" s="114"/>
      <c r="AD535" s="114"/>
      <c r="AE535" s="114"/>
    </row>
    <row r="536" spans="1:31" x14ac:dyDescent="0.25">
      <c r="A536" s="140" t="s">
        <v>229</v>
      </c>
      <c r="B536" s="140" t="s">
        <v>41</v>
      </c>
      <c r="C536" s="140" t="s">
        <v>813</v>
      </c>
      <c r="D536" s="149" t="s">
        <v>42</v>
      </c>
      <c r="E536" s="139" t="s">
        <v>43</v>
      </c>
      <c r="F536" s="105"/>
      <c r="G536" s="113"/>
      <c r="H536" s="114"/>
      <c r="I536" s="114"/>
      <c r="J536" s="114"/>
      <c r="K536" s="114"/>
      <c r="L536" s="114"/>
      <c r="M536" s="114"/>
      <c r="N536" s="114"/>
      <c r="O536" s="114"/>
      <c r="P536" s="114"/>
      <c r="Q536" s="114"/>
      <c r="R536" s="114"/>
      <c r="S536" s="114"/>
      <c r="T536" s="114"/>
      <c r="U536" s="114"/>
      <c r="V536" s="114"/>
      <c r="W536" s="114"/>
      <c r="X536" s="114"/>
      <c r="Y536" s="114"/>
      <c r="Z536" s="114"/>
      <c r="AA536" s="114"/>
      <c r="AB536" s="114"/>
      <c r="AC536" s="114"/>
      <c r="AD536" s="114"/>
      <c r="AE536" s="114"/>
    </row>
    <row r="537" spans="1:31" x14ac:dyDescent="0.25">
      <c r="A537" s="140" t="s">
        <v>229</v>
      </c>
      <c r="B537" s="140" t="s">
        <v>41</v>
      </c>
      <c r="C537" s="140" t="s">
        <v>813</v>
      </c>
      <c r="D537" s="149" t="s">
        <v>844</v>
      </c>
      <c r="E537" s="139" t="s">
        <v>701</v>
      </c>
      <c r="F537" s="105"/>
      <c r="G537" s="113"/>
      <c r="H537" s="114"/>
      <c r="I537" s="114"/>
      <c r="J537" s="114"/>
      <c r="K537" s="114"/>
      <c r="L537" s="114"/>
      <c r="M537" s="114"/>
      <c r="N537" s="114"/>
      <c r="O537" s="114"/>
      <c r="P537" s="114"/>
      <c r="Q537" s="114"/>
      <c r="R537" s="114"/>
      <c r="S537" s="114"/>
      <c r="T537" s="114"/>
      <c r="U537" s="114"/>
      <c r="V537" s="114"/>
      <c r="W537" s="114"/>
      <c r="X537" s="114"/>
      <c r="Y537" s="114"/>
      <c r="Z537" s="114"/>
      <c r="AA537" s="114"/>
      <c r="AB537" s="114"/>
      <c r="AC537" s="114"/>
      <c r="AD537" s="114"/>
      <c r="AE537" s="114"/>
    </row>
    <row r="538" spans="1:31" x14ac:dyDescent="0.25">
      <c r="A538" s="140" t="s">
        <v>229</v>
      </c>
      <c r="B538" s="140" t="s">
        <v>41</v>
      </c>
      <c r="C538" s="140" t="s">
        <v>813</v>
      </c>
      <c r="D538" s="149" t="s">
        <v>845</v>
      </c>
      <c r="E538" s="139" t="s">
        <v>702</v>
      </c>
      <c r="F538" s="105"/>
      <c r="G538" s="113"/>
      <c r="H538" s="114"/>
      <c r="I538" s="114"/>
      <c r="J538" s="114"/>
      <c r="K538" s="114"/>
      <c r="L538" s="114"/>
      <c r="M538" s="114"/>
      <c r="N538" s="114"/>
      <c r="O538" s="114"/>
      <c r="P538" s="114"/>
      <c r="Q538" s="114"/>
      <c r="R538" s="114"/>
      <c r="S538" s="114"/>
      <c r="T538" s="114"/>
      <c r="U538" s="114"/>
      <c r="V538" s="114"/>
      <c r="W538" s="114"/>
      <c r="X538" s="114"/>
      <c r="Y538" s="114"/>
      <c r="Z538" s="114"/>
      <c r="AA538" s="114"/>
      <c r="AB538" s="114"/>
      <c r="AC538" s="114"/>
      <c r="AD538" s="114"/>
      <c r="AE538" s="114"/>
    </row>
    <row r="539" spans="1:31" x14ac:dyDescent="0.25">
      <c r="A539" s="140" t="s">
        <v>229</v>
      </c>
      <c r="B539" s="140" t="s">
        <v>41</v>
      </c>
      <c r="C539" s="140" t="s">
        <v>813</v>
      </c>
      <c r="D539" s="149" t="s">
        <v>846</v>
      </c>
      <c r="E539" s="139" t="s">
        <v>703</v>
      </c>
      <c r="F539" s="105"/>
      <c r="G539" s="113"/>
      <c r="H539" s="114"/>
      <c r="I539" s="114"/>
      <c r="J539" s="114"/>
      <c r="K539" s="114"/>
      <c r="L539" s="114"/>
      <c r="M539" s="114"/>
      <c r="N539" s="114"/>
      <c r="O539" s="114"/>
      <c r="P539" s="114"/>
      <c r="Q539" s="114"/>
      <c r="R539" s="114"/>
      <c r="S539" s="114"/>
      <c r="T539" s="114"/>
      <c r="U539" s="114"/>
      <c r="V539" s="114"/>
      <c r="W539" s="114"/>
      <c r="X539" s="114"/>
      <c r="Y539" s="114"/>
      <c r="Z539" s="114"/>
      <c r="AA539" s="114"/>
      <c r="AB539" s="114"/>
      <c r="AC539" s="114"/>
      <c r="AD539" s="114"/>
      <c r="AE539" s="114"/>
    </row>
    <row r="540" spans="1:31" x14ac:dyDescent="0.25">
      <c r="A540" s="140" t="s">
        <v>229</v>
      </c>
      <c r="B540" s="140" t="s">
        <v>41</v>
      </c>
      <c r="C540" s="140" t="s">
        <v>813</v>
      </c>
      <c r="D540" s="149" t="s">
        <v>64</v>
      </c>
      <c r="E540" s="139" t="s">
        <v>65</v>
      </c>
      <c r="F540" s="105"/>
      <c r="G540" s="113"/>
      <c r="H540" s="114"/>
      <c r="I540" s="114"/>
      <c r="J540" s="114"/>
      <c r="K540" s="114"/>
      <c r="L540" s="114"/>
      <c r="M540" s="114"/>
      <c r="N540" s="114"/>
      <c r="O540" s="114"/>
      <c r="P540" s="114"/>
      <c r="Q540" s="114"/>
      <c r="R540" s="114"/>
      <c r="S540" s="114"/>
      <c r="T540" s="114"/>
      <c r="U540" s="114"/>
      <c r="V540" s="114"/>
      <c r="W540" s="114"/>
      <c r="X540" s="114"/>
      <c r="Y540" s="114"/>
      <c r="Z540" s="114"/>
      <c r="AA540" s="114"/>
      <c r="AB540" s="114"/>
      <c r="AC540" s="114"/>
      <c r="AD540" s="114"/>
      <c r="AE540" s="114"/>
    </row>
    <row r="541" spans="1:31" x14ac:dyDescent="0.25">
      <c r="A541" s="140" t="s">
        <v>229</v>
      </c>
      <c r="B541" s="140" t="s">
        <v>41</v>
      </c>
      <c r="C541" s="140" t="s">
        <v>813</v>
      </c>
      <c r="D541" s="149" t="s">
        <v>847</v>
      </c>
      <c r="E541" s="139" t="s">
        <v>704</v>
      </c>
      <c r="F541" s="105"/>
      <c r="G541" s="113"/>
      <c r="H541" s="114"/>
      <c r="I541" s="114"/>
      <c r="J541" s="114"/>
      <c r="K541" s="114"/>
      <c r="L541" s="114"/>
      <c r="M541" s="114"/>
      <c r="N541" s="114"/>
      <c r="O541" s="114"/>
      <c r="P541" s="114"/>
      <c r="Q541" s="114"/>
      <c r="R541" s="114"/>
      <c r="S541" s="114"/>
      <c r="T541" s="114"/>
      <c r="U541" s="114"/>
      <c r="V541" s="114"/>
      <c r="W541" s="114"/>
      <c r="X541" s="114"/>
      <c r="Y541" s="114"/>
      <c r="Z541" s="114"/>
      <c r="AA541" s="114"/>
      <c r="AB541" s="114"/>
      <c r="AC541" s="114"/>
      <c r="AD541" s="114"/>
      <c r="AE541" s="114"/>
    </row>
    <row r="542" spans="1:31" x14ac:dyDescent="0.25">
      <c r="A542" s="140" t="s">
        <v>229</v>
      </c>
      <c r="B542" s="140" t="s">
        <v>41</v>
      </c>
      <c r="C542" s="140" t="s">
        <v>813</v>
      </c>
      <c r="D542" s="149" t="s">
        <v>504</v>
      </c>
      <c r="E542" s="139" t="s">
        <v>705</v>
      </c>
      <c r="F542" s="105"/>
      <c r="G542" s="113"/>
      <c r="H542" s="114"/>
      <c r="I542" s="114"/>
      <c r="J542" s="114"/>
      <c r="K542" s="114"/>
      <c r="L542" s="114"/>
      <c r="M542" s="114"/>
      <c r="N542" s="114"/>
      <c r="O542" s="114"/>
      <c r="P542" s="114"/>
      <c r="Q542" s="114"/>
      <c r="R542" s="114"/>
      <c r="S542" s="114"/>
      <c r="T542" s="114"/>
      <c r="U542" s="114"/>
      <c r="V542" s="114"/>
      <c r="W542" s="114"/>
      <c r="X542" s="114"/>
      <c r="Y542" s="114"/>
      <c r="Z542" s="114"/>
      <c r="AA542" s="114"/>
      <c r="AB542" s="114"/>
      <c r="AC542" s="114"/>
      <c r="AD542" s="114"/>
      <c r="AE542" s="114"/>
    </row>
    <row r="543" spans="1:31" x14ac:dyDescent="0.25">
      <c r="A543" s="140" t="s">
        <v>229</v>
      </c>
      <c r="B543" s="140" t="s">
        <v>41</v>
      </c>
      <c r="C543" s="140" t="s">
        <v>813</v>
      </c>
      <c r="D543" s="149" t="s">
        <v>848</v>
      </c>
      <c r="E543" s="139" t="s">
        <v>706</v>
      </c>
      <c r="F543" s="105"/>
      <c r="G543" s="113"/>
      <c r="H543" s="114"/>
      <c r="I543" s="114"/>
      <c r="J543" s="114"/>
      <c r="K543" s="114"/>
      <c r="L543" s="114"/>
      <c r="M543" s="114"/>
      <c r="N543" s="114"/>
      <c r="O543" s="114"/>
      <c r="P543" s="114"/>
      <c r="Q543" s="114"/>
      <c r="R543" s="114"/>
      <c r="S543" s="114"/>
      <c r="T543" s="114"/>
      <c r="U543" s="114"/>
      <c r="V543" s="114"/>
      <c r="W543" s="114"/>
      <c r="X543" s="114"/>
      <c r="Y543" s="114"/>
      <c r="Z543" s="114"/>
      <c r="AA543" s="114"/>
      <c r="AB543" s="114"/>
      <c r="AC543" s="114"/>
      <c r="AD543" s="114"/>
      <c r="AE543" s="114"/>
    </row>
    <row r="544" spans="1:31" x14ac:dyDescent="0.25">
      <c r="A544" s="140" t="s">
        <v>229</v>
      </c>
      <c r="B544" s="140" t="s">
        <v>41</v>
      </c>
      <c r="C544" s="140" t="s">
        <v>813</v>
      </c>
      <c r="D544" s="149" t="s">
        <v>849</v>
      </c>
      <c r="E544" s="139" t="s">
        <v>707</v>
      </c>
      <c r="F544" s="105"/>
      <c r="G544" s="113"/>
      <c r="H544" s="114"/>
      <c r="I544" s="114"/>
      <c r="J544" s="114"/>
      <c r="K544" s="114"/>
      <c r="L544" s="114"/>
      <c r="M544" s="114"/>
      <c r="N544" s="114"/>
      <c r="O544" s="114"/>
      <c r="P544" s="114"/>
      <c r="Q544" s="114"/>
      <c r="R544" s="114"/>
      <c r="S544" s="114"/>
      <c r="T544" s="114"/>
      <c r="U544" s="114"/>
      <c r="V544" s="114"/>
      <c r="W544" s="114"/>
      <c r="X544" s="114"/>
      <c r="Y544" s="114"/>
      <c r="Z544" s="114"/>
      <c r="AA544" s="114"/>
      <c r="AB544" s="114"/>
      <c r="AC544" s="114"/>
      <c r="AD544" s="114"/>
      <c r="AE544" s="114"/>
    </row>
    <row r="545" spans="1:31" x14ac:dyDescent="0.25">
      <c r="A545" s="140" t="s">
        <v>229</v>
      </c>
      <c r="B545" s="140" t="s">
        <v>41</v>
      </c>
      <c r="C545" s="140" t="s">
        <v>813</v>
      </c>
      <c r="D545" s="149" t="s">
        <v>850</v>
      </c>
      <c r="E545" s="139" t="s">
        <v>708</v>
      </c>
      <c r="F545" s="105"/>
      <c r="G545" s="113"/>
      <c r="H545" s="114"/>
      <c r="I545" s="114"/>
      <c r="J545" s="114"/>
      <c r="K545" s="114"/>
      <c r="L545" s="114"/>
      <c r="M545" s="114"/>
      <c r="N545" s="114"/>
      <c r="O545" s="114"/>
      <c r="P545" s="114"/>
      <c r="Q545" s="114"/>
      <c r="R545" s="114"/>
      <c r="S545" s="114"/>
      <c r="T545" s="114"/>
      <c r="U545" s="114"/>
      <c r="V545" s="114"/>
      <c r="W545" s="114"/>
      <c r="X545" s="114"/>
      <c r="Y545" s="114"/>
      <c r="Z545" s="114"/>
      <c r="AA545" s="114"/>
      <c r="AB545" s="114"/>
      <c r="AC545" s="114"/>
      <c r="AD545" s="114"/>
      <c r="AE545" s="114"/>
    </row>
    <row r="546" spans="1:31" x14ac:dyDescent="0.25">
      <c r="A546" s="140" t="s">
        <v>229</v>
      </c>
      <c r="B546" s="140" t="s">
        <v>41</v>
      </c>
      <c r="C546" s="140" t="s">
        <v>813</v>
      </c>
      <c r="D546" s="149" t="s">
        <v>851</v>
      </c>
      <c r="E546" s="139" t="s">
        <v>709</v>
      </c>
      <c r="F546" s="105"/>
      <c r="G546" s="113"/>
      <c r="H546" s="114"/>
      <c r="I546" s="114"/>
      <c r="J546" s="114"/>
      <c r="K546" s="114"/>
      <c r="L546" s="114"/>
      <c r="M546" s="114"/>
      <c r="N546" s="114"/>
      <c r="O546" s="114"/>
      <c r="P546" s="114"/>
      <c r="Q546" s="114"/>
      <c r="R546" s="114"/>
      <c r="S546" s="114"/>
      <c r="T546" s="114"/>
      <c r="U546" s="114"/>
      <c r="V546" s="114"/>
      <c r="W546" s="114"/>
      <c r="X546" s="114"/>
      <c r="Y546" s="114"/>
      <c r="Z546" s="114"/>
      <c r="AA546" s="114"/>
      <c r="AB546" s="114"/>
      <c r="AC546" s="114"/>
      <c r="AD546" s="114"/>
      <c r="AE546" s="114"/>
    </row>
    <row r="547" spans="1:31" x14ac:dyDescent="0.25">
      <c r="A547" s="140" t="s">
        <v>229</v>
      </c>
      <c r="B547" s="140" t="s">
        <v>55</v>
      </c>
      <c r="C547" s="140" t="s">
        <v>220</v>
      </c>
      <c r="D547" s="149" t="s">
        <v>220</v>
      </c>
      <c r="E547" s="139" t="s">
        <v>221</v>
      </c>
      <c r="F547" s="105"/>
      <c r="G547" s="113"/>
      <c r="H547" s="114"/>
      <c r="I547" s="114"/>
      <c r="J547" s="114"/>
      <c r="K547" s="114"/>
      <c r="L547" s="114"/>
      <c r="M547" s="114"/>
      <c r="N547" s="114"/>
      <c r="O547" s="114"/>
      <c r="P547" s="114"/>
      <c r="Q547" s="114"/>
      <c r="R547" s="114"/>
      <c r="S547" s="114"/>
      <c r="T547" s="114"/>
      <c r="U547" s="114"/>
      <c r="V547" s="114"/>
      <c r="W547" s="114"/>
      <c r="X547" s="114"/>
      <c r="Y547" s="114"/>
      <c r="Z547" s="114"/>
      <c r="AA547" s="114"/>
      <c r="AB547" s="114"/>
      <c r="AC547" s="114"/>
      <c r="AD547" s="114"/>
      <c r="AE547" s="114"/>
    </row>
    <row r="548" spans="1:31" x14ac:dyDescent="0.25">
      <c r="A548" s="140" t="s">
        <v>229</v>
      </c>
      <c r="B548" s="140" t="s">
        <v>55</v>
      </c>
      <c r="C548" s="140" t="s">
        <v>220</v>
      </c>
      <c r="D548" s="149" t="s">
        <v>852</v>
      </c>
      <c r="E548" s="139" t="s">
        <v>696</v>
      </c>
      <c r="F548" s="105"/>
      <c r="G548" s="113"/>
      <c r="H548" s="114"/>
      <c r="I548" s="114"/>
      <c r="J548" s="114"/>
      <c r="K548" s="114"/>
      <c r="L548" s="114"/>
      <c r="M548" s="114"/>
      <c r="N548" s="114"/>
      <c r="O548" s="114"/>
      <c r="P548" s="114"/>
      <c r="Q548" s="114"/>
      <c r="R548" s="114"/>
      <c r="S548" s="114"/>
      <c r="T548" s="114"/>
      <c r="U548" s="114"/>
      <c r="V548" s="114"/>
      <c r="W548" s="114"/>
      <c r="X548" s="114"/>
      <c r="Y548" s="114"/>
      <c r="Z548" s="114"/>
      <c r="AA548" s="114"/>
      <c r="AB548" s="114"/>
      <c r="AC548" s="114"/>
      <c r="AD548" s="114"/>
      <c r="AE548" s="114"/>
    </row>
    <row r="549" spans="1:31" x14ac:dyDescent="0.25">
      <c r="A549" s="140" t="s">
        <v>229</v>
      </c>
      <c r="B549" s="140" t="s">
        <v>55</v>
      </c>
      <c r="C549" s="140" t="s">
        <v>220</v>
      </c>
      <c r="D549" s="149" t="s">
        <v>515</v>
      </c>
      <c r="E549" s="139" t="s">
        <v>697</v>
      </c>
      <c r="F549" s="105"/>
      <c r="G549" s="113"/>
      <c r="H549" s="114"/>
      <c r="I549" s="114"/>
      <c r="J549" s="114"/>
      <c r="K549" s="114"/>
      <c r="L549" s="114"/>
      <c r="M549" s="114"/>
      <c r="N549" s="114"/>
      <c r="O549" s="114"/>
      <c r="P549" s="114"/>
      <c r="Q549" s="114"/>
      <c r="R549" s="114"/>
      <c r="S549" s="114"/>
      <c r="T549" s="114"/>
      <c r="U549" s="114"/>
      <c r="V549" s="114"/>
      <c r="W549" s="114"/>
      <c r="X549" s="114"/>
      <c r="Y549" s="114"/>
      <c r="Z549" s="114"/>
      <c r="AA549" s="114"/>
      <c r="AB549" s="114"/>
      <c r="AC549" s="114"/>
      <c r="AD549" s="114"/>
      <c r="AE549" s="114"/>
    </row>
    <row r="550" spans="1:31" x14ac:dyDescent="0.25">
      <c r="A550" s="140" t="s">
        <v>229</v>
      </c>
      <c r="B550" s="140" t="s">
        <v>55</v>
      </c>
      <c r="C550" s="140" t="s">
        <v>56</v>
      </c>
      <c r="D550" s="149" t="s">
        <v>488</v>
      </c>
      <c r="E550" s="139" t="s">
        <v>711</v>
      </c>
      <c r="F550" s="105"/>
      <c r="G550" s="113"/>
      <c r="H550" s="114"/>
      <c r="I550" s="114"/>
      <c r="J550" s="114"/>
      <c r="K550" s="114"/>
      <c r="L550" s="114"/>
      <c r="M550" s="114"/>
      <c r="N550" s="114"/>
      <c r="O550" s="114"/>
      <c r="P550" s="114"/>
      <c r="Q550" s="114"/>
      <c r="R550" s="114"/>
      <c r="S550" s="114"/>
      <c r="T550" s="114"/>
      <c r="U550" s="114"/>
      <c r="V550" s="114"/>
      <c r="W550" s="114"/>
      <c r="X550" s="114"/>
      <c r="Y550" s="114"/>
      <c r="Z550" s="114"/>
      <c r="AA550" s="114"/>
      <c r="AB550" s="114"/>
      <c r="AC550" s="114"/>
      <c r="AD550" s="114"/>
      <c r="AE550" s="114"/>
    </row>
    <row r="551" spans="1:31" x14ac:dyDescent="0.25">
      <c r="A551" s="140" t="s">
        <v>229</v>
      </c>
      <c r="B551" s="140" t="s">
        <v>55</v>
      </c>
      <c r="C551" s="140" t="s">
        <v>56</v>
      </c>
      <c r="D551" s="149" t="s">
        <v>56</v>
      </c>
      <c r="E551" s="139" t="s">
        <v>57</v>
      </c>
      <c r="F551" s="105"/>
      <c r="G551" s="113"/>
      <c r="H551" s="114"/>
      <c r="I551" s="114"/>
      <c r="J551" s="114"/>
      <c r="K551" s="114"/>
      <c r="L551" s="114"/>
      <c r="M551" s="114"/>
      <c r="N551" s="114"/>
      <c r="O551" s="114"/>
      <c r="P551" s="114"/>
      <c r="Q551" s="114"/>
      <c r="R551" s="114"/>
      <c r="S551" s="114"/>
      <c r="T551" s="114"/>
      <c r="U551" s="114"/>
      <c r="V551" s="114"/>
      <c r="W551" s="114"/>
      <c r="X551" s="114"/>
      <c r="Y551" s="114"/>
      <c r="Z551" s="114"/>
      <c r="AA551" s="114"/>
      <c r="AB551" s="114"/>
      <c r="AC551" s="114"/>
      <c r="AD551" s="114"/>
      <c r="AE551" s="114"/>
    </row>
    <row r="552" spans="1:31" x14ac:dyDescent="0.25">
      <c r="A552" s="140" t="s">
        <v>229</v>
      </c>
      <c r="B552" s="140" t="s">
        <v>55</v>
      </c>
      <c r="C552" s="140" t="s">
        <v>86</v>
      </c>
      <c r="D552" s="149" t="s">
        <v>445</v>
      </c>
      <c r="E552" s="139" t="s">
        <v>719</v>
      </c>
      <c r="F552" s="105"/>
      <c r="G552" s="113"/>
      <c r="H552" s="114"/>
      <c r="I552" s="114"/>
      <c r="J552" s="114"/>
      <c r="K552" s="114"/>
      <c r="L552" s="114"/>
      <c r="M552" s="114"/>
      <c r="N552" s="114"/>
      <c r="O552" s="114"/>
      <c r="P552" s="114"/>
      <c r="Q552" s="114"/>
      <c r="R552" s="114"/>
      <c r="S552" s="114"/>
      <c r="T552" s="114"/>
      <c r="U552" s="114"/>
      <c r="V552" s="114"/>
      <c r="W552" s="114"/>
      <c r="X552" s="114"/>
      <c r="Y552" s="114"/>
      <c r="Z552" s="114"/>
      <c r="AA552" s="114"/>
      <c r="AB552" s="114"/>
      <c r="AC552" s="114"/>
      <c r="AD552" s="114"/>
      <c r="AE552" s="114"/>
    </row>
    <row r="553" spans="1:31" x14ac:dyDescent="0.25">
      <c r="A553" s="140" t="s">
        <v>229</v>
      </c>
      <c r="B553" s="140" t="s">
        <v>55</v>
      </c>
      <c r="C553" s="140" t="s">
        <v>86</v>
      </c>
      <c r="D553" s="149" t="s">
        <v>853</v>
      </c>
      <c r="E553" s="139" t="s">
        <v>720</v>
      </c>
      <c r="F553" s="105"/>
      <c r="G553" s="113"/>
      <c r="H553" s="114"/>
      <c r="I553" s="114"/>
      <c r="J553" s="114"/>
      <c r="K553" s="114"/>
      <c r="L553" s="114"/>
      <c r="M553" s="114"/>
      <c r="N553" s="114"/>
      <c r="O553" s="114"/>
      <c r="P553" s="114"/>
      <c r="Q553" s="114"/>
      <c r="R553" s="114"/>
      <c r="S553" s="114"/>
      <c r="T553" s="114"/>
      <c r="U553" s="114"/>
      <c r="V553" s="114"/>
      <c r="W553" s="114"/>
      <c r="X553" s="114"/>
      <c r="Y553" s="114"/>
      <c r="Z553" s="114"/>
      <c r="AA553" s="114"/>
      <c r="AB553" s="114"/>
      <c r="AC553" s="114"/>
      <c r="AD553" s="114"/>
      <c r="AE553" s="114"/>
    </row>
    <row r="554" spans="1:31" x14ac:dyDescent="0.25">
      <c r="A554" s="140" t="s">
        <v>229</v>
      </c>
      <c r="B554" s="140" t="s">
        <v>55</v>
      </c>
      <c r="C554" s="140" t="s">
        <v>86</v>
      </c>
      <c r="D554" s="149" t="s">
        <v>854</v>
      </c>
      <c r="E554" s="139" t="s">
        <v>721</v>
      </c>
      <c r="F554" s="105"/>
      <c r="G554" s="113"/>
      <c r="H554" s="114"/>
      <c r="I554" s="114"/>
      <c r="J554" s="114"/>
      <c r="K554" s="114"/>
      <c r="L554" s="114"/>
      <c r="M554" s="114"/>
      <c r="N554" s="114"/>
      <c r="O554" s="114"/>
      <c r="P554" s="114"/>
      <c r="Q554" s="114"/>
      <c r="R554" s="114"/>
      <c r="S554" s="114"/>
      <c r="T554" s="114"/>
      <c r="U554" s="114"/>
      <c r="V554" s="114"/>
      <c r="W554" s="114"/>
      <c r="X554" s="114"/>
      <c r="Y554" s="114"/>
      <c r="Z554" s="114"/>
      <c r="AA554" s="114"/>
      <c r="AB554" s="114"/>
      <c r="AC554" s="114"/>
      <c r="AD554" s="114"/>
      <c r="AE554" s="114"/>
    </row>
    <row r="555" spans="1:31" x14ac:dyDescent="0.25">
      <c r="A555" s="140" t="s">
        <v>229</v>
      </c>
      <c r="B555" s="140" t="s">
        <v>55</v>
      </c>
      <c r="C555" s="140" t="s">
        <v>86</v>
      </c>
      <c r="D555" s="149" t="s">
        <v>855</v>
      </c>
      <c r="E555" s="139" t="s">
        <v>722</v>
      </c>
      <c r="F555" s="105"/>
      <c r="G555" s="113"/>
      <c r="H555" s="114"/>
      <c r="I555" s="114"/>
      <c r="J555" s="114"/>
      <c r="K555" s="114"/>
      <c r="L555" s="114"/>
      <c r="M555" s="114"/>
      <c r="N555" s="114"/>
      <c r="O555" s="114"/>
      <c r="P555" s="114"/>
      <c r="Q555" s="114"/>
      <c r="R555" s="114"/>
      <c r="S555" s="114"/>
      <c r="T555" s="114"/>
      <c r="U555" s="114"/>
      <c r="V555" s="114"/>
      <c r="W555" s="114"/>
      <c r="X555" s="114"/>
      <c r="Y555" s="114"/>
      <c r="Z555" s="114"/>
      <c r="AA555" s="114"/>
      <c r="AB555" s="114"/>
      <c r="AC555" s="114"/>
      <c r="AD555" s="114"/>
      <c r="AE555" s="114"/>
    </row>
    <row r="556" spans="1:31" x14ac:dyDescent="0.25">
      <c r="A556" s="140" t="s">
        <v>229</v>
      </c>
      <c r="B556" s="140" t="s">
        <v>55</v>
      </c>
      <c r="C556" s="140" t="s">
        <v>86</v>
      </c>
      <c r="D556" s="149" t="s">
        <v>87</v>
      </c>
      <c r="E556" s="139" t="s">
        <v>88</v>
      </c>
      <c r="F556" s="105"/>
      <c r="G556" s="113"/>
      <c r="H556" s="114"/>
      <c r="I556" s="114"/>
      <c r="J556" s="114"/>
      <c r="K556" s="114"/>
      <c r="L556" s="114"/>
      <c r="M556" s="114"/>
      <c r="N556" s="114"/>
      <c r="O556" s="114"/>
      <c r="P556" s="114"/>
      <c r="Q556" s="114"/>
      <c r="R556" s="114"/>
      <c r="S556" s="114"/>
      <c r="T556" s="114"/>
      <c r="U556" s="114"/>
      <c r="V556" s="114"/>
      <c r="W556" s="114"/>
      <c r="X556" s="114"/>
      <c r="Y556" s="114"/>
      <c r="Z556" s="114"/>
      <c r="AA556" s="114"/>
      <c r="AB556" s="114"/>
      <c r="AC556" s="114"/>
      <c r="AD556" s="114"/>
      <c r="AE556" s="114"/>
    </row>
    <row r="557" spans="1:31" x14ac:dyDescent="0.25">
      <c r="A557" s="140" t="s">
        <v>229</v>
      </c>
      <c r="B557" s="140" t="s">
        <v>55</v>
      </c>
      <c r="C557" s="140" t="s">
        <v>86</v>
      </c>
      <c r="D557" s="149" t="s">
        <v>856</v>
      </c>
      <c r="E557" s="139" t="s">
        <v>723</v>
      </c>
      <c r="F557" s="105"/>
      <c r="G557" s="113"/>
      <c r="H557" s="114"/>
      <c r="I557" s="114"/>
      <c r="J557" s="114"/>
      <c r="K557" s="114"/>
      <c r="L557" s="114"/>
      <c r="M557" s="114"/>
      <c r="N557" s="114"/>
      <c r="O557" s="114"/>
      <c r="P557" s="114"/>
      <c r="Q557" s="114"/>
      <c r="R557" s="114"/>
      <c r="S557" s="114"/>
      <c r="T557" s="114"/>
      <c r="U557" s="114"/>
      <c r="V557" s="114"/>
      <c r="W557" s="114"/>
      <c r="X557" s="114"/>
      <c r="Y557" s="114"/>
      <c r="Z557" s="114"/>
      <c r="AA557" s="114"/>
      <c r="AB557" s="114"/>
      <c r="AC557" s="114"/>
      <c r="AD557" s="114"/>
      <c r="AE557" s="114"/>
    </row>
    <row r="558" spans="1:31" x14ac:dyDescent="0.25">
      <c r="A558" s="140" t="s">
        <v>229</v>
      </c>
      <c r="B558" s="140" t="s">
        <v>55</v>
      </c>
      <c r="C558" s="140" t="s">
        <v>78</v>
      </c>
      <c r="D558" s="149" t="s">
        <v>326</v>
      </c>
      <c r="E558" s="139" t="s">
        <v>693</v>
      </c>
      <c r="F558" s="105"/>
      <c r="G558" s="113"/>
      <c r="H558" s="114"/>
      <c r="I558" s="114"/>
      <c r="J558" s="114"/>
      <c r="K558" s="114"/>
      <c r="L558" s="114"/>
      <c r="M558" s="114"/>
      <c r="N558" s="114"/>
      <c r="O558" s="114"/>
      <c r="P558" s="114"/>
      <c r="Q558" s="114"/>
      <c r="R558" s="114"/>
      <c r="S558" s="114"/>
      <c r="T558" s="114"/>
      <c r="U558" s="114"/>
      <c r="V558" s="114"/>
      <c r="W558" s="114"/>
      <c r="X558" s="114"/>
      <c r="Y558" s="114"/>
      <c r="Z558" s="114"/>
      <c r="AA558" s="114"/>
      <c r="AB558" s="114"/>
      <c r="AC558" s="114"/>
      <c r="AD558" s="114"/>
      <c r="AE558" s="114"/>
    </row>
    <row r="559" spans="1:31" x14ac:dyDescent="0.25">
      <c r="A559" s="140" t="s">
        <v>229</v>
      </c>
      <c r="B559" s="140" t="s">
        <v>55</v>
      </c>
      <c r="C559" s="140" t="s">
        <v>78</v>
      </c>
      <c r="D559" s="149" t="s">
        <v>79</v>
      </c>
      <c r="E559" s="139" t="s">
        <v>80</v>
      </c>
      <c r="F559" s="105"/>
      <c r="G559" s="113"/>
      <c r="H559" s="114"/>
      <c r="I559" s="114"/>
      <c r="J559" s="114"/>
      <c r="K559" s="114"/>
      <c r="L559" s="114"/>
      <c r="M559" s="114"/>
      <c r="N559" s="114"/>
      <c r="O559" s="114"/>
      <c r="P559" s="114"/>
      <c r="Q559" s="114"/>
      <c r="R559" s="114"/>
      <c r="S559" s="114"/>
      <c r="T559" s="114"/>
      <c r="U559" s="114"/>
      <c r="V559" s="114"/>
      <c r="W559" s="114"/>
      <c r="X559" s="114"/>
      <c r="Y559" s="114"/>
      <c r="Z559" s="114"/>
      <c r="AA559" s="114"/>
      <c r="AB559" s="114"/>
      <c r="AC559" s="114"/>
      <c r="AD559" s="114"/>
      <c r="AE559" s="114"/>
    </row>
    <row r="560" spans="1:31" x14ac:dyDescent="0.25">
      <c r="A560" s="140" t="s">
        <v>229</v>
      </c>
      <c r="B560" s="140" t="s">
        <v>55</v>
      </c>
      <c r="C560" s="140" t="s">
        <v>78</v>
      </c>
      <c r="D560" s="149" t="s">
        <v>857</v>
      </c>
      <c r="E560" s="139" t="s">
        <v>694</v>
      </c>
      <c r="F560" s="105"/>
      <c r="G560" s="113"/>
      <c r="H560" s="114"/>
      <c r="I560" s="114"/>
      <c r="J560" s="114"/>
      <c r="K560" s="114"/>
      <c r="L560" s="114"/>
      <c r="M560" s="114"/>
      <c r="N560" s="114"/>
      <c r="O560" s="114"/>
      <c r="P560" s="114"/>
      <c r="Q560" s="114"/>
      <c r="R560" s="114"/>
      <c r="S560" s="114"/>
      <c r="T560" s="114"/>
      <c r="U560" s="114"/>
      <c r="V560" s="114"/>
      <c r="W560" s="114"/>
      <c r="X560" s="114"/>
      <c r="Y560" s="114"/>
      <c r="Z560" s="114"/>
      <c r="AA560" s="114"/>
      <c r="AB560" s="114"/>
      <c r="AC560" s="114"/>
      <c r="AD560" s="114"/>
      <c r="AE560" s="114"/>
    </row>
    <row r="561" spans="1:31" x14ac:dyDescent="0.25">
      <c r="A561" s="140" t="s">
        <v>229</v>
      </c>
      <c r="B561" s="140" t="s">
        <v>55</v>
      </c>
      <c r="C561" s="140" t="s">
        <v>78</v>
      </c>
      <c r="D561" s="149" t="s">
        <v>98</v>
      </c>
      <c r="E561" s="139" t="s">
        <v>99</v>
      </c>
      <c r="F561" s="105"/>
      <c r="G561" s="113"/>
      <c r="H561" s="114"/>
      <c r="I561" s="114"/>
      <c r="J561" s="114"/>
      <c r="K561" s="114"/>
      <c r="L561" s="114"/>
      <c r="M561" s="114"/>
      <c r="N561" s="114"/>
      <c r="O561" s="114"/>
      <c r="P561" s="114"/>
      <c r="Q561" s="114"/>
      <c r="R561" s="114"/>
      <c r="S561" s="114"/>
      <c r="T561" s="114"/>
      <c r="U561" s="114"/>
      <c r="V561" s="114"/>
      <c r="W561" s="114"/>
      <c r="X561" s="114"/>
      <c r="Y561" s="114"/>
      <c r="Z561" s="114"/>
      <c r="AA561" s="114"/>
      <c r="AB561" s="114"/>
      <c r="AC561" s="114"/>
      <c r="AD561" s="114"/>
      <c r="AE561" s="114"/>
    </row>
    <row r="562" spans="1:31" x14ac:dyDescent="0.25">
      <c r="A562" s="140" t="s">
        <v>229</v>
      </c>
      <c r="B562" s="140" t="s">
        <v>55</v>
      </c>
      <c r="C562" s="140" t="s">
        <v>78</v>
      </c>
      <c r="D562" s="149" t="s">
        <v>333</v>
      </c>
      <c r="E562" s="139" t="s">
        <v>695</v>
      </c>
      <c r="F562" s="105"/>
      <c r="G562" s="113"/>
      <c r="H562" s="114"/>
      <c r="I562" s="114"/>
      <c r="J562" s="114"/>
      <c r="K562" s="114"/>
      <c r="L562" s="114"/>
      <c r="M562" s="114"/>
      <c r="N562" s="114"/>
      <c r="O562" s="114"/>
      <c r="P562" s="114"/>
      <c r="Q562" s="114"/>
      <c r="R562" s="114"/>
      <c r="S562" s="114"/>
      <c r="T562" s="114"/>
      <c r="U562" s="114"/>
      <c r="V562" s="114"/>
      <c r="W562" s="114"/>
      <c r="X562" s="114"/>
      <c r="Y562" s="114"/>
      <c r="Z562" s="114"/>
      <c r="AA562" s="114"/>
      <c r="AB562" s="114"/>
      <c r="AC562" s="114"/>
      <c r="AD562" s="114"/>
      <c r="AE562" s="114"/>
    </row>
    <row r="563" spans="1:31" x14ac:dyDescent="0.25">
      <c r="A563" s="140" t="s">
        <v>229</v>
      </c>
      <c r="B563" s="140" t="s">
        <v>31</v>
      </c>
      <c r="C563" s="140" t="s">
        <v>32</v>
      </c>
      <c r="D563" s="149" t="s">
        <v>32</v>
      </c>
      <c r="E563" s="139" t="s">
        <v>33</v>
      </c>
      <c r="F563" s="105"/>
      <c r="G563" s="113"/>
      <c r="H563" s="114"/>
      <c r="I563" s="114"/>
      <c r="J563" s="114"/>
      <c r="K563" s="114"/>
      <c r="L563" s="114"/>
      <c r="M563" s="114"/>
      <c r="N563" s="114"/>
      <c r="O563" s="114"/>
      <c r="P563" s="114"/>
      <c r="Q563" s="114"/>
      <c r="R563" s="114"/>
      <c r="S563" s="114"/>
      <c r="T563" s="114"/>
      <c r="U563" s="114"/>
      <c r="V563" s="114"/>
      <c r="W563" s="114"/>
      <c r="X563" s="114"/>
      <c r="Y563" s="114"/>
      <c r="Z563" s="114"/>
      <c r="AA563" s="114"/>
      <c r="AB563" s="114"/>
      <c r="AC563" s="114"/>
      <c r="AD563" s="114"/>
      <c r="AE563" s="114"/>
    </row>
    <row r="564" spans="1:31" x14ac:dyDescent="0.25">
      <c r="A564" s="140" t="s">
        <v>229</v>
      </c>
      <c r="B564" s="140" t="s">
        <v>31</v>
      </c>
      <c r="C564" s="140" t="s">
        <v>127</v>
      </c>
      <c r="D564" s="149" t="s">
        <v>858</v>
      </c>
      <c r="E564" s="139" t="s">
        <v>712</v>
      </c>
      <c r="F564" s="105"/>
      <c r="G564" s="113"/>
      <c r="H564" s="114"/>
      <c r="I564" s="114"/>
      <c r="J564" s="114"/>
      <c r="K564" s="114"/>
      <c r="L564" s="114"/>
      <c r="M564" s="114"/>
      <c r="N564" s="114"/>
      <c r="O564" s="114"/>
      <c r="P564" s="114"/>
      <c r="Q564" s="114"/>
      <c r="R564" s="114"/>
      <c r="S564" s="114"/>
      <c r="T564" s="114"/>
      <c r="U564" s="114"/>
      <c r="V564" s="114"/>
      <c r="W564" s="114"/>
      <c r="X564" s="114"/>
      <c r="Y564" s="114"/>
      <c r="Z564" s="114"/>
      <c r="AA564" s="114"/>
      <c r="AB564" s="114"/>
      <c r="AC564" s="114"/>
      <c r="AD564" s="114"/>
      <c r="AE564" s="114"/>
    </row>
    <row r="565" spans="1:31" x14ac:dyDescent="0.25">
      <c r="A565" s="140" t="s">
        <v>229</v>
      </c>
      <c r="B565" s="140" t="s">
        <v>31</v>
      </c>
      <c r="C565" s="140" t="s">
        <v>127</v>
      </c>
      <c r="D565" s="149" t="s">
        <v>483</v>
      </c>
      <c r="E565" s="139" t="s">
        <v>713</v>
      </c>
      <c r="F565" s="105"/>
      <c r="G565" s="113"/>
      <c r="H565" s="114"/>
      <c r="I565" s="114"/>
      <c r="J565" s="114"/>
      <c r="K565" s="114"/>
      <c r="L565" s="114"/>
      <c r="M565" s="114"/>
      <c r="N565" s="114"/>
      <c r="O565" s="114"/>
      <c r="P565" s="114"/>
      <c r="Q565" s="114"/>
      <c r="R565" s="114"/>
      <c r="S565" s="114"/>
      <c r="T565" s="114"/>
      <c r="U565" s="114"/>
      <c r="V565" s="114"/>
      <c r="W565" s="114"/>
      <c r="X565" s="114"/>
      <c r="Y565" s="114"/>
      <c r="Z565" s="114"/>
      <c r="AA565" s="114"/>
      <c r="AB565" s="114"/>
      <c r="AC565" s="114"/>
      <c r="AD565" s="114"/>
      <c r="AE565" s="114"/>
    </row>
    <row r="566" spans="1:31" x14ac:dyDescent="0.25">
      <c r="A566" s="140" t="s">
        <v>229</v>
      </c>
      <c r="B566" s="140" t="s">
        <v>31</v>
      </c>
      <c r="C566" s="140" t="s">
        <v>127</v>
      </c>
      <c r="D566" s="149" t="s">
        <v>485</v>
      </c>
      <c r="E566" s="139" t="s">
        <v>714</v>
      </c>
      <c r="F566" s="105"/>
      <c r="G566" s="113"/>
      <c r="H566" s="114"/>
      <c r="I566" s="114"/>
      <c r="J566" s="114"/>
      <c r="K566" s="114"/>
      <c r="L566" s="114"/>
      <c r="M566" s="114"/>
      <c r="N566" s="114"/>
      <c r="O566" s="114"/>
      <c r="P566" s="114"/>
      <c r="Q566" s="114"/>
      <c r="R566" s="114"/>
      <c r="S566" s="114"/>
      <c r="T566" s="114"/>
      <c r="U566" s="114"/>
      <c r="V566" s="114"/>
      <c r="W566" s="114"/>
      <c r="X566" s="114"/>
      <c r="Y566" s="114"/>
      <c r="Z566" s="114"/>
      <c r="AA566" s="114"/>
      <c r="AB566" s="114"/>
      <c r="AC566" s="114"/>
      <c r="AD566" s="114"/>
      <c r="AE566" s="114"/>
    </row>
    <row r="567" spans="1:31" x14ac:dyDescent="0.25">
      <c r="A567" s="140" t="s">
        <v>229</v>
      </c>
      <c r="B567" s="140" t="s">
        <v>31</v>
      </c>
      <c r="C567" s="140" t="s">
        <v>127</v>
      </c>
      <c r="D567" s="149" t="s">
        <v>859</v>
      </c>
      <c r="E567" s="139" t="s">
        <v>715</v>
      </c>
      <c r="F567" s="105"/>
      <c r="G567" s="113"/>
      <c r="H567" s="114"/>
      <c r="I567" s="114"/>
      <c r="J567" s="114"/>
      <c r="K567" s="114"/>
      <c r="L567" s="114"/>
      <c r="M567" s="114"/>
      <c r="N567" s="114"/>
      <c r="O567" s="114"/>
      <c r="P567" s="114"/>
      <c r="Q567" s="114"/>
      <c r="R567" s="114"/>
      <c r="S567" s="114"/>
      <c r="T567" s="114"/>
      <c r="U567" s="114"/>
      <c r="V567" s="114"/>
      <c r="W567" s="114"/>
      <c r="X567" s="114"/>
      <c r="Y567" s="114"/>
      <c r="Z567" s="114"/>
      <c r="AA567" s="114"/>
      <c r="AB567" s="114"/>
      <c r="AC567" s="114"/>
      <c r="AD567" s="114"/>
      <c r="AE567" s="114"/>
    </row>
    <row r="568" spans="1:31" x14ac:dyDescent="0.25">
      <c r="A568" s="140" t="s">
        <v>229</v>
      </c>
      <c r="B568" s="140" t="s">
        <v>31</v>
      </c>
      <c r="C568" s="140" t="s">
        <v>127</v>
      </c>
      <c r="D568" s="149" t="s">
        <v>860</v>
      </c>
      <c r="E568" s="139" t="s">
        <v>129</v>
      </c>
      <c r="F568" s="105"/>
      <c r="G568" s="113"/>
      <c r="H568" s="114"/>
      <c r="I568" s="114"/>
      <c r="J568" s="114"/>
      <c r="K568" s="114"/>
      <c r="L568" s="114"/>
      <c r="M568" s="114"/>
      <c r="N568" s="114"/>
      <c r="O568" s="114"/>
      <c r="P568" s="114"/>
      <c r="Q568" s="114"/>
      <c r="R568" s="114"/>
      <c r="S568" s="114"/>
      <c r="T568" s="114"/>
      <c r="U568" s="114"/>
      <c r="V568" s="114"/>
      <c r="W568" s="114"/>
      <c r="X568" s="114"/>
      <c r="Y568" s="114"/>
      <c r="Z568" s="114"/>
      <c r="AA568" s="114"/>
      <c r="AB568" s="114"/>
      <c r="AC568" s="114"/>
      <c r="AD568" s="114"/>
      <c r="AE568" s="114"/>
    </row>
    <row r="569" spans="1:31" x14ac:dyDescent="0.25">
      <c r="A569" s="140" t="s">
        <v>229</v>
      </c>
      <c r="B569" s="140" t="s">
        <v>31</v>
      </c>
      <c r="C569" s="140" t="s">
        <v>111</v>
      </c>
      <c r="D569" s="149" t="s">
        <v>430</v>
      </c>
      <c r="E569" s="139" t="s">
        <v>730</v>
      </c>
      <c r="F569" s="105"/>
      <c r="G569" s="113"/>
      <c r="H569" s="114"/>
      <c r="I569" s="114"/>
      <c r="J569" s="114"/>
      <c r="K569" s="114"/>
      <c r="L569" s="114"/>
      <c r="M569" s="114"/>
      <c r="N569" s="114"/>
      <c r="O569" s="114"/>
      <c r="P569" s="114"/>
      <c r="Q569" s="114"/>
      <c r="R569" s="114"/>
      <c r="S569" s="114"/>
      <c r="T569" s="114"/>
      <c r="U569" s="114"/>
      <c r="V569" s="114"/>
      <c r="W569" s="114"/>
      <c r="X569" s="114"/>
      <c r="Y569" s="114"/>
      <c r="Z569" s="114"/>
      <c r="AA569" s="114"/>
      <c r="AB569" s="114"/>
      <c r="AC569" s="114"/>
      <c r="AD569" s="114"/>
      <c r="AE569" s="114"/>
    </row>
    <row r="570" spans="1:31" x14ac:dyDescent="0.25">
      <c r="A570" s="140" t="s">
        <v>229</v>
      </c>
      <c r="B570" s="140" t="s">
        <v>31</v>
      </c>
      <c r="C570" s="140" t="s">
        <v>111</v>
      </c>
      <c r="D570" s="149" t="s">
        <v>433</v>
      </c>
      <c r="E570" s="139" t="s">
        <v>731</v>
      </c>
      <c r="F570" s="105"/>
      <c r="G570" s="113"/>
      <c r="H570" s="114"/>
      <c r="I570" s="114"/>
      <c r="J570" s="114"/>
      <c r="K570" s="114"/>
      <c r="L570" s="114"/>
      <c r="M570" s="114"/>
      <c r="N570" s="114"/>
      <c r="O570" s="114"/>
      <c r="P570" s="114"/>
      <c r="Q570" s="114"/>
      <c r="R570" s="114"/>
      <c r="S570" s="114"/>
      <c r="T570" s="114"/>
      <c r="U570" s="114"/>
      <c r="V570" s="114"/>
      <c r="W570" s="114"/>
      <c r="X570" s="114"/>
      <c r="Y570" s="114"/>
      <c r="Z570" s="114"/>
      <c r="AA570" s="114"/>
      <c r="AB570" s="114"/>
      <c r="AC570" s="114"/>
      <c r="AD570" s="114"/>
      <c r="AE570" s="114"/>
    </row>
    <row r="571" spans="1:31" x14ac:dyDescent="0.25">
      <c r="A571" s="140" t="s">
        <v>229</v>
      </c>
      <c r="B571" s="140" t="s">
        <v>31</v>
      </c>
      <c r="C571" s="140" t="s">
        <v>111</v>
      </c>
      <c r="D571" s="149" t="s">
        <v>111</v>
      </c>
      <c r="E571" s="139" t="s">
        <v>112</v>
      </c>
      <c r="F571" s="105"/>
      <c r="G571" s="113"/>
      <c r="H571" s="114"/>
      <c r="I571" s="114"/>
      <c r="J571" s="114"/>
      <c r="K571" s="114"/>
      <c r="L571" s="114"/>
      <c r="M571" s="114"/>
      <c r="N571" s="114"/>
      <c r="O571" s="114"/>
      <c r="P571" s="114"/>
      <c r="Q571" s="114"/>
      <c r="R571" s="114"/>
      <c r="S571" s="114"/>
      <c r="T571" s="114"/>
      <c r="U571" s="114"/>
      <c r="V571" s="114"/>
      <c r="W571" s="114"/>
      <c r="X571" s="114"/>
      <c r="Y571" s="114"/>
      <c r="Z571" s="114"/>
      <c r="AA571" s="114"/>
      <c r="AB571" s="114"/>
      <c r="AC571" s="114"/>
      <c r="AD571" s="114"/>
      <c r="AE571" s="114"/>
    </row>
    <row r="572" spans="1:31" x14ac:dyDescent="0.25">
      <c r="A572" s="140" t="s">
        <v>229</v>
      </c>
      <c r="B572" s="140" t="s">
        <v>31</v>
      </c>
      <c r="C572" s="140" t="s">
        <v>132</v>
      </c>
      <c r="D572" s="149" t="s">
        <v>346</v>
      </c>
      <c r="E572" s="139" t="s">
        <v>733</v>
      </c>
      <c r="F572" s="105"/>
      <c r="G572" s="113"/>
      <c r="H572" s="114"/>
      <c r="I572" s="114"/>
      <c r="J572" s="114"/>
      <c r="K572" s="114"/>
      <c r="L572" s="114"/>
      <c r="M572" s="114"/>
      <c r="N572" s="114"/>
      <c r="O572" s="114"/>
      <c r="P572" s="114"/>
      <c r="Q572" s="114"/>
      <c r="R572" s="114"/>
      <c r="S572" s="114"/>
      <c r="T572" s="114"/>
      <c r="U572" s="114"/>
      <c r="V572" s="114"/>
      <c r="W572" s="114"/>
      <c r="X572" s="114"/>
      <c r="Y572" s="114"/>
      <c r="Z572" s="114"/>
      <c r="AA572" s="114"/>
      <c r="AB572" s="114"/>
      <c r="AC572" s="114"/>
      <c r="AD572" s="114"/>
      <c r="AE572" s="114"/>
    </row>
    <row r="573" spans="1:31" x14ac:dyDescent="0.25">
      <c r="A573" s="140" t="s">
        <v>229</v>
      </c>
      <c r="B573" s="140" t="s">
        <v>31</v>
      </c>
      <c r="C573" s="140" t="s">
        <v>132</v>
      </c>
      <c r="D573" s="149" t="s">
        <v>132</v>
      </c>
      <c r="E573" s="139" t="s">
        <v>133</v>
      </c>
      <c r="F573" s="105"/>
      <c r="G573" s="113"/>
      <c r="H573" s="114"/>
      <c r="I573" s="114"/>
      <c r="J573" s="114"/>
      <c r="K573" s="114"/>
      <c r="L573" s="114"/>
      <c r="M573" s="114"/>
      <c r="N573" s="114"/>
      <c r="O573" s="114"/>
      <c r="P573" s="114"/>
      <c r="Q573" s="114"/>
      <c r="R573" s="114"/>
      <c r="S573" s="114"/>
      <c r="T573" s="114"/>
      <c r="U573" s="114"/>
      <c r="V573" s="114"/>
      <c r="W573" s="114"/>
      <c r="X573" s="114"/>
      <c r="Y573" s="114"/>
      <c r="Z573" s="114"/>
      <c r="AA573" s="114"/>
      <c r="AB573" s="114"/>
      <c r="AC573" s="114"/>
      <c r="AD573" s="114"/>
      <c r="AE573" s="114"/>
    </row>
    <row r="574" spans="1:31" x14ac:dyDescent="0.25">
      <c r="A574" s="140" t="s">
        <v>229</v>
      </c>
      <c r="B574" s="140" t="s">
        <v>31</v>
      </c>
      <c r="C574" s="140" t="s">
        <v>814</v>
      </c>
      <c r="D574" s="149" t="s">
        <v>863</v>
      </c>
      <c r="E574" s="139" t="s">
        <v>754</v>
      </c>
      <c r="F574" s="105"/>
      <c r="G574" s="113"/>
      <c r="H574" s="114"/>
      <c r="I574" s="114"/>
      <c r="J574" s="114"/>
      <c r="K574" s="114"/>
      <c r="L574" s="114"/>
      <c r="M574" s="114"/>
      <c r="N574" s="114"/>
      <c r="O574" s="114"/>
      <c r="P574" s="114"/>
      <c r="Q574" s="114"/>
      <c r="R574" s="114"/>
      <c r="S574" s="114"/>
      <c r="T574" s="114"/>
      <c r="U574" s="114"/>
      <c r="V574" s="114"/>
      <c r="W574" s="114"/>
      <c r="X574" s="114"/>
      <c r="Y574" s="114"/>
      <c r="Z574" s="114"/>
      <c r="AA574" s="114"/>
      <c r="AB574" s="114"/>
      <c r="AC574" s="114"/>
      <c r="AD574" s="114"/>
      <c r="AE574" s="114"/>
    </row>
    <row r="575" spans="1:31" x14ac:dyDescent="0.25">
      <c r="A575" s="140" t="s">
        <v>229</v>
      </c>
      <c r="B575" s="140" t="s">
        <v>31</v>
      </c>
      <c r="C575" s="140" t="s">
        <v>814</v>
      </c>
      <c r="D575" s="149" t="s">
        <v>864</v>
      </c>
      <c r="E575" s="139" t="s">
        <v>755</v>
      </c>
      <c r="F575" s="105"/>
      <c r="G575" s="113"/>
      <c r="H575" s="114"/>
      <c r="I575" s="114"/>
      <c r="J575" s="114"/>
      <c r="K575" s="114"/>
      <c r="L575" s="114"/>
      <c r="M575" s="114"/>
      <c r="N575" s="114"/>
      <c r="O575" s="114"/>
      <c r="P575" s="114"/>
      <c r="Q575" s="114"/>
      <c r="R575" s="114"/>
      <c r="S575" s="114"/>
      <c r="T575" s="114"/>
      <c r="U575" s="114"/>
      <c r="V575" s="114"/>
      <c r="W575" s="114"/>
      <c r="X575" s="114"/>
      <c r="Y575" s="114"/>
      <c r="Z575" s="114"/>
      <c r="AA575" s="114"/>
      <c r="AB575" s="114"/>
      <c r="AC575" s="114"/>
      <c r="AD575" s="114"/>
      <c r="AE575" s="114"/>
    </row>
    <row r="576" spans="1:31" x14ac:dyDescent="0.25">
      <c r="A576" s="140" t="s">
        <v>229</v>
      </c>
      <c r="B576" s="140" t="s">
        <v>31</v>
      </c>
      <c r="C576" s="140" t="s">
        <v>814</v>
      </c>
      <c r="D576" s="149" t="s">
        <v>865</v>
      </c>
      <c r="E576" s="139" t="s">
        <v>756</v>
      </c>
      <c r="F576" s="105"/>
      <c r="G576" s="113"/>
      <c r="H576" s="114"/>
      <c r="I576" s="114"/>
      <c r="J576" s="114"/>
      <c r="K576" s="114"/>
      <c r="L576" s="114"/>
      <c r="M576" s="114"/>
      <c r="N576" s="114"/>
      <c r="O576" s="114"/>
      <c r="P576" s="114"/>
      <c r="Q576" s="114"/>
      <c r="R576" s="114"/>
      <c r="S576" s="114"/>
      <c r="T576" s="114"/>
      <c r="U576" s="114"/>
      <c r="V576" s="114"/>
      <c r="W576" s="114"/>
      <c r="X576" s="114"/>
      <c r="Y576" s="114"/>
      <c r="Z576" s="114"/>
      <c r="AA576" s="114"/>
      <c r="AB576" s="114"/>
      <c r="AC576" s="114"/>
      <c r="AD576" s="114"/>
      <c r="AE576" s="114"/>
    </row>
    <row r="577" spans="1:31" x14ac:dyDescent="0.25">
      <c r="A577" s="140" t="s">
        <v>229</v>
      </c>
      <c r="B577" s="140" t="s">
        <v>31</v>
      </c>
      <c r="C577" s="140" t="s">
        <v>814</v>
      </c>
      <c r="D577" s="149" t="s">
        <v>866</v>
      </c>
      <c r="E577" s="139" t="s">
        <v>757</v>
      </c>
      <c r="F577" s="105"/>
      <c r="G577" s="113"/>
      <c r="H577" s="114"/>
      <c r="I577" s="114"/>
      <c r="J577" s="114"/>
      <c r="K577" s="114"/>
      <c r="L577" s="114"/>
      <c r="M577" s="114"/>
      <c r="N577" s="114"/>
      <c r="O577" s="114"/>
      <c r="P577" s="114"/>
      <c r="Q577" s="114"/>
      <c r="R577" s="114"/>
      <c r="S577" s="114"/>
      <c r="T577" s="114"/>
      <c r="U577" s="114"/>
      <c r="V577" s="114"/>
      <c r="W577" s="114"/>
      <c r="X577" s="114"/>
      <c r="Y577" s="114"/>
      <c r="Z577" s="114"/>
      <c r="AA577" s="114"/>
      <c r="AB577" s="114"/>
      <c r="AC577" s="114"/>
      <c r="AD577" s="114"/>
      <c r="AE577" s="114"/>
    </row>
    <row r="578" spans="1:31" x14ac:dyDescent="0.25">
      <c r="A578" s="140" t="s">
        <v>229</v>
      </c>
      <c r="B578" s="140" t="s">
        <v>31</v>
      </c>
      <c r="C578" s="140" t="s">
        <v>814</v>
      </c>
      <c r="D578" s="149" t="s">
        <v>123</v>
      </c>
      <c r="E578" s="139" t="s">
        <v>124</v>
      </c>
      <c r="F578" s="105"/>
      <c r="G578" s="113"/>
      <c r="H578" s="114"/>
      <c r="I578" s="114"/>
      <c r="J578" s="114"/>
      <c r="K578" s="114"/>
      <c r="L578" s="114"/>
      <c r="M578" s="114"/>
      <c r="N578" s="114"/>
      <c r="O578" s="114"/>
      <c r="P578" s="114"/>
      <c r="Q578" s="114"/>
      <c r="R578" s="114"/>
      <c r="S578" s="114"/>
      <c r="T578" s="114"/>
      <c r="U578" s="114"/>
      <c r="V578" s="114"/>
      <c r="W578" s="114"/>
      <c r="X578" s="114"/>
      <c r="Y578" s="114"/>
      <c r="Z578" s="114"/>
      <c r="AA578" s="114"/>
      <c r="AB578" s="114"/>
      <c r="AC578" s="114"/>
      <c r="AD578" s="114"/>
      <c r="AE578" s="114"/>
    </row>
    <row r="579" spans="1:31" x14ac:dyDescent="0.25">
      <c r="A579" s="140" t="s">
        <v>229</v>
      </c>
      <c r="B579" s="140" t="s">
        <v>31</v>
      </c>
      <c r="C579" s="140" t="s">
        <v>814</v>
      </c>
      <c r="D579" s="149" t="s">
        <v>867</v>
      </c>
      <c r="E579" s="139" t="s">
        <v>758</v>
      </c>
      <c r="F579" s="105"/>
      <c r="G579" s="113"/>
      <c r="H579" s="114"/>
      <c r="I579" s="114"/>
      <c r="J579" s="114"/>
      <c r="K579" s="114"/>
      <c r="L579" s="114"/>
      <c r="M579" s="114"/>
      <c r="N579" s="114"/>
      <c r="O579" s="114"/>
      <c r="P579" s="114"/>
      <c r="Q579" s="114"/>
      <c r="R579" s="114"/>
      <c r="S579" s="114"/>
      <c r="T579" s="114"/>
      <c r="U579" s="114"/>
      <c r="V579" s="114"/>
      <c r="W579" s="114"/>
      <c r="X579" s="114"/>
      <c r="Y579" s="114"/>
      <c r="Z579" s="114"/>
      <c r="AA579" s="114"/>
      <c r="AB579" s="114"/>
      <c r="AC579" s="114"/>
      <c r="AD579" s="114"/>
      <c r="AE579" s="114"/>
    </row>
    <row r="580" spans="1:31" x14ac:dyDescent="0.25">
      <c r="A580" s="140" t="s">
        <v>229</v>
      </c>
      <c r="B580" s="140" t="s">
        <v>58</v>
      </c>
      <c r="C580" s="140" t="s">
        <v>66</v>
      </c>
      <c r="D580" s="149" t="s">
        <v>585</v>
      </c>
      <c r="E580" s="139" t="s">
        <v>660</v>
      </c>
      <c r="F580" s="105"/>
      <c r="G580" s="113"/>
      <c r="H580" s="114"/>
      <c r="I580" s="114"/>
      <c r="J580" s="114"/>
      <c r="K580" s="114"/>
      <c r="L580" s="114"/>
      <c r="M580" s="114"/>
      <c r="N580" s="114"/>
      <c r="O580" s="114"/>
      <c r="P580" s="114"/>
      <c r="Q580" s="114"/>
      <c r="R580" s="114"/>
      <c r="S580" s="114"/>
      <c r="T580" s="114"/>
      <c r="U580" s="114"/>
      <c r="V580" s="114"/>
      <c r="W580" s="114"/>
      <c r="X580" s="114"/>
      <c r="Y580" s="114"/>
      <c r="Z580" s="114"/>
      <c r="AA580" s="114"/>
      <c r="AB580" s="114"/>
      <c r="AC580" s="114"/>
      <c r="AD580" s="114"/>
      <c r="AE580" s="114"/>
    </row>
    <row r="581" spans="1:31" x14ac:dyDescent="0.25">
      <c r="A581" s="140" t="s">
        <v>229</v>
      </c>
      <c r="B581" s="140" t="s">
        <v>58</v>
      </c>
      <c r="C581" s="140" t="s">
        <v>66</v>
      </c>
      <c r="D581" s="149" t="s">
        <v>868</v>
      </c>
      <c r="E581" s="139" t="s">
        <v>661</v>
      </c>
      <c r="F581" s="105"/>
      <c r="G581" s="113"/>
      <c r="H581" s="114"/>
      <c r="I581" s="114"/>
      <c r="J581" s="114"/>
      <c r="K581" s="114"/>
      <c r="L581" s="114"/>
      <c r="M581" s="114"/>
      <c r="N581" s="114"/>
      <c r="O581" s="114"/>
      <c r="P581" s="114"/>
      <c r="Q581" s="114"/>
      <c r="R581" s="114"/>
      <c r="S581" s="114"/>
      <c r="T581" s="114"/>
      <c r="U581" s="114"/>
      <c r="V581" s="114"/>
      <c r="W581" s="114"/>
      <c r="X581" s="114"/>
      <c r="Y581" s="114"/>
      <c r="Z581" s="114"/>
      <c r="AA581" s="114"/>
      <c r="AB581" s="114"/>
      <c r="AC581" s="114"/>
      <c r="AD581" s="114"/>
      <c r="AE581" s="114"/>
    </row>
    <row r="582" spans="1:31" x14ac:dyDescent="0.25">
      <c r="A582" s="140" t="s">
        <v>229</v>
      </c>
      <c r="B582" s="140" t="s">
        <v>58</v>
      </c>
      <c r="C582" s="140" t="s">
        <v>66</v>
      </c>
      <c r="D582" s="149" t="s">
        <v>590</v>
      </c>
      <c r="E582" s="139" t="s">
        <v>662</v>
      </c>
      <c r="F582" s="105"/>
      <c r="G582" s="113"/>
      <c r="H582" s="114"/>
      <c r="I582" s="114"/>
      <c r="J582" s="114"/>
      <c r="K582" s="114"/>
      <c r="L582" s="114"/>
      <c r="M582" s="114"/>
      <c r="N582" s="114"/>
      <c r="O582" s="114"/>
      <c r="P582" s="114"/>
      <c r="Q582" s="114"/>
      <c r="R582" s="114"/>
      <c r="S582" s="114"/>
      <c r="T582" s="114"/>
      <c r="U582" s="114"/>
      <c r="V582" s="114"/>
      <c r="W582" s="114"/>
      <c r="X582" s="114"/>
      <c r="Y582" s="114"/>
      <c r="Z582" s="114"/>
      <c r="AA582" s="114"/>
      <c r="AB582" s="114"/>
      <c r="AC582" s="114"/>
      <c r="AD582" s="114"/>
      <c r="AE582" s="114"/>
    </row>
    <row r="583" spans="1:31" x14ac:dyDescent="0.25">
      <c r="A583" s="140" t="s">
        <v>229</v>
      </c>
      <c r="B583" s="140" t="s">
        <v>58</v>
      </c>
      <c r="C583" s="140" t="s">
        <v>66</v>
      </c>
      <c r="D583" s="149" t="s">
        <v>598</v>
      </c>
      <c r="E583" s="139" t="s">
        <v>666</v>
      </c>
      <c r="F583" s="105"/>
      <c r="G583" s="113"/>
      <c r="H583" s="114"/>
      <c r="I583" s="114"/>
      <c r="J583" s="114"/>
      <c r="K583" s="114"/>
      <c r="L583" s="114"/>
      <c r="M583" s="114"/>
      <c r="N583" s="114"/>
      <c r="O583" s="114"/>
      <c r="P583" s="114"/>
      <c r="Q583" s="114"/>
      <c r="R583" s="114"/>
      <c r="S583" s="114"/>
      <c r="T583" s="114"/>
      <c r="U583" s="114"/>
      <c r="V583" s="114"/>
      <c r="W583" s="114"/>
      <c r="X583" s="114"/>
      <c r="Y583" s="114"/>
      <c r="Z583" s="114"/>
      <c r="AA583" s="114"/>
      <c r="AB583" s="114"/>
      <c r="AC583" s="114"/>
      <c r="AD583" s="114"/>
      <c r="AE583" s="114"/>
    </row>
    <row r="584" spans="1:31" x14ac:dyDescent="0.25">
      <c r="A584" s="140" t="s">
        <v>229</v>
      </c>
      <c r="B584" s="140" t="s">
        <v>58</v>
      </c>
      <c r="C584" s="140" t="s">
        <v>66</v>
      </c>
      <c r="D584" s="149" t="s">
        <v>222</v>
      </c>
      <c r="E584" s="139" t="s">
        <v>223</v>
      </c>
      <c r="F584" s="105"/>
      <c r="G584" s="113"/>
      <c r="H584" s="114"/>
      <c r="I584" s="114"/>
      <c r="J584" s="114"/>
      <c r="K584" s="114"/>
      <c r="L584" s="114"/>
      <c r="M584" s="114"/>
      <c r="N584" s="114"/>
      <c r="O584" s="114"/>
      <c r="P584" s="114"/>
      <c r="Q584" s="114"/>
      <c r="R584" s="114"/>
      <c r="S584" s="114"/>
      <c r="T584" s="114"/>
      <c r="U584" s="114"/>
      <c r="V584" s="114"/>
      <c r="W584" s="114"/>
      <c r="X584" s="114"/>
      <c r="Y584" s="114"/>
      <c r="Z584" s="114"/>
      <c r="AA584" s="114"/>
      <c r="AB584" s="114"/>
      <c r="AC584" s="114"/>
      <c r="AD584" s="114"/>
      <c r="AE584" s="114"/>
    </row>
    <row r="585" spans="1:31" x14ac:dyDescent="0.25">
      <c r="A585" s="140" t="s">
        <v>229</v>
      </c>
      <c r="B585" s="140" t="s">
        <v>58</v>
      </c>
      <c r="C585" s="140" t="s">
        <v>66</v>
      </c>
      <c r="D585" s="149" t="s">
        <v>186</v>
      </c>
      <c r="E585" s="139" t="s">
        <v>663</v>
      </c>
      <c r="F585" s="105"/>
      <c r="G585" s="113"/>
      <c r="H585" s="114"/>
      <c r="I585" s="114"/>
      <c r="J585" s="114"/>
      <c r="K585" s="114"/>
      <c r="L585" s="114"/>
      <c r="M585" s="114"/>
      <c r="N585" s="114"/>
      <c r="O585" s="114"/>
      <c r="P585" s="114"/>
      <c r="Q585" s="114"/>
      <c r="R585" s="114"/>
      <c r="S585" s="114"/>
      <c r="T585" s="114"/>
      <c r="U585" s="114"/>
      <c r="V585" s="114"/>
      <c r="W585" s="114"/>
      <c r="X585" s="114"/>
      <c r="Y585" s="114"/>
      <c r="Z585" s="114"/>
      <c r="AA585" s="114"/>
      <c r="AB585" s="114"/>
      <c r="AC585" s="114"/>
      <c r="AD585" s="114"/>
      <c r="AE585" s="114"/>
    </row>
    <row r="586" spans="1:31" x14ac:dyDescent="0.25">
      <c r="A586" s="140" t="s">
        <v>229</v>
      </c>
      <c r="B586" s="140" t="s">
        <v>58</v>
      </c>
      <c r="C586" s="140" t="s">
        <v>66</v>
      </c>
      <c r="D586" s="149" t="s">
        <v>224</v>
      </c>
      <c r="E586" s="139" t="s">
        <v>225</v>
      </c>
      <c r="F586" s="105"/>
      <c r="G586" s="113"/>
      <c r="H586" s="114"/>
      <c r="I586" s="114"/>
      <c r="J586" s="114"/>
      <c r="K586" s="114"/>
      <c r="L586" s="114"/>
      <c r="M586" s="114"/>
      <c r="N586" s="114"/>
      <c r="O586" s="114"/>
      <c r="P586" s="114"/>
      <c r="Q586" s="114"/>
      <c r="R586" s="114"/>
      <c r="S586" s="114"/>
      <c r="T586" s="114"/>
      <c r="U586" s="114"/>
      <c r="V586" s="114"/>
      <c r="W586" s="114"/>
      <c r="X586" s="114"/>
      <c r="Y586" s="114"/>
      <c r="Z586" s="114"/>
      <c r="AA586" s="114"/>
      <c r="AB586" s="114"/>
      <c r="AC586" s="114"/>
      <c r="AD586" s="114"/>
      <c r="AE586" s="114"/>
    </row>
    <row r="587" spans="1:31" x14ac:dyDescent="0.25">
      <c r="A587" s="140" t="s">
        <v>229</v>
      </c>
      <c r="B587" s="140" t="s">
        <v>58</v>
      </c>
      <c r="C587" s="140" t="s">
        <v>66</v>
      </c>
      <c r="D587" s="149" t="s">
        <v>869</v>
      </c>
      <c r="E587" s="139" t="s">
        <v>664</v>
      </c>
      <c r="F587" s="105"/>
      <c r="G587" s="113"/>
      <c r="H587" s="114"/>
      <c r="I587" s="114"/>
      <c r="J587" s="114"/>
      <c r="K587" s="114"/>
      <c r="L587" s="114"/>
      <c r="M587" s="114"/>
      <c r="N587" s="114"/>
      <c r="O587" s="114"/>
      <c r="P587" s="114"/>
      <c r="Q587" s="114"/>
      <c r="R587" s="114"/>
      <c r="S587" s="114"/>
      <c r="T587" s="114"/>
      <c r="U587" s="114"/>
      <c r="V587" s="114"/>
      <c r="W587" s="114"/>
      <c r="X587" s="114"/>
      <c r="Y587" s="114"/>
      <c r="Z587" s="114"/>
      <c r="AA587" s="114"/>
      <c r="AB587" s="114"/>
      <c r="AC587" s="114"/>
      <c r="AD587" s="114"/>
      <c r="AE587" s="114"/>
    </row>
    <row r="588" spans="1:31" x14ac:dyDescent="0.25">
      <c r="A588" s="140" t="s">
        <v>229</v>
      </c>
      <c r="B588" s="140" t="s">
        <v>58</v>
      </c>
      <c r="C588" s="140" t="s">
        <v>66</v>
      </c>
      <c r="D588" s="149" t="s">
        <v>166</v>
      </c>
      <c r="E588" s="139" t="s">
        <v>167</v>
      </c>
      <c r="F588" s="105"/>
      <c r="G588" s="113"/>
      <c r="H588" s="114"/>
      <c r="I588" s="114"/>
      <c r="J588" s="114"/>
      <c r="K588" s="114"/>
      <c r="L588" s="114"/>
      <c r="M588" s="114"/>
      <c r="N588" s="114"/>
      <c r="O588" s="114"/>
      <c r="P588" s="114"/>
      <c r="Q588" s="114"/>
      <c r="R588" s="114"/>
      <c r="S588" s="114"/>
      <c r="T588" s="114"/>
      <c r="U588" s="114"/>
      <c r="V588" s="114"/>
      <c r="W588" s="114"/>
      <c r="X588" s="114"/>
      <c r="Y588" s="114"/>
      <c r="Z588" s="114"/>
      <c r="AA588" s="114"/>
      <c r="AB588" s="114"/>
      <c r="AC588" s="114"/>
      <c r="AD588" s="114"/>
      <c r="AE588" s="114"/>
    </row>
    <row r="589" spans="1:31" x14ac:dyDescent="0.25">
      <c r="A589" s="140" t="s">
        <v>229</v>
      </c>
      <c r="B589" s="140" t="s">
        <v>58</v>
      </c>
      <c r="C589" s="140" t="s">
        <v>66</v>
      </c>
      <c r="D589" s="149" t="s">
        <v>870</v>
      </c>
      <c r="E589" s="139" t="s">
        <v>665</v>
      </c>
      <c r="F589" s="105"/>
      <c r="G589" s="113"/>
      <c r="H589" s="114"/>
      <c r="I589" s="114"/>
      <c r="J589" s="114"/>
      <c r="K589" s="114"/>
      <c r="L589" s="114"/>
      <c r="M589" s="114"/>
      <c r="N589" s="114"/>
      <c r="O589" s="114"/>
      <c r="P589" s="114"/>
      <c r="Q589" s="114"/>
      <c r="R589" s="114"/>
      <c r="S589" s="114"/>
      <c r="T589" s="114"/>
      <c r="U589" s="114"/>
      <c r="V589" s="114"/>
      <c r="W589" s="114"/>
      <c r="X589" s="114"/>
      <c r="Y589" s="114"/>
      <c r="Z589" s="114"/>
      <c r="AA589" s="114"/>
      <c r="AB589" s="114"/>
      <c r="AC589" s="114"/>
      <c r="AD589" s="114"/>
      <c r="AE589" s="114"/>
    </row>
    <row r="590" spans="1:31" x14ac:dyDescent="0.25">
      <c r="A590" s="140" t="s">
        <v>229</v>
      </c>
      <c r="B590" s="140" t="s">
        <v>58</v>
      </c>
      <c r="C590" s="140" t="s">
        <v>66</v>
      </c>
      <c r="D590" s="149" t="s">
        <v>871</v>
      </c>
      <c r="E590" s="139" t="s">
        <v>667</v>
      </c>
      <c r="F590" s="105"/>
      <c r="G590" s="113"/>
      <c r="H590" s="114"/>
      <c r="I590" s="114"/>
      <c r="J590" s="114"/>
      <c r="K590" s="114"/>
      <c r="L590" s="114"/>
      <c r="M590" s="114"/>
      <c r="N590" s="114"/>
      <c r="O590" s="114"/>
      <c r="P590" s="114"/>
      <c r="Q590" s="114"/>
      <c r="R590" s="114"/>
      <c r="S590" s="114"/>
      <c r="T590" s="114"/>
      <c r="U590" s="114"/>
      <c r="V590" s="114"/>
      <c r="W590" s="114"/>
      <c r="X590" s="114"/>
      <c r="Y590" s="114"/>
      <c r="Z590" s="114"/>
      <c r="AA590" s="114"/>
      <c r="AB590" s="114"/>
      <c r="AC590" s="114"/>
      <c r="AD590" s="114"/>
      <c r="AE590" s="114"/>
    </row>
    <row r="591" spans="1:31" x14ac:dyDescent="0.25">
      <c r="A591" s="140" t="s">
        <v>229</v>
      </c>
      <c r="B591" s="140" t="s">
        <v>58</v>
      </c>
      <c r="C591" s="140" t="s">
        <v>66</v>
      </c>
      <c r="D591" s="149" t="s">
        <v>67</v>
      </c>
      <c r="E591" s="139" t="s">
        <v>68</v>
      </c>
      <c r="F591" s="105"/>
      <c r="G591" s="113"/>
      <c r="H591" s="114"/>
      <c r="I591" s="114"/>
      <c r="J591" s="114"/>
      <c r="K591" s="114"/>
      <c r="L591" s="114"/>
      <c r="M591" s="114"/>
      <c r="N591" s="114"/>
      <c r="O591" s="114"/>
      <c r="P591" s="114"/>
      <c r="Q591" s="114"/>
      <c r="R591" s="114"/>
      <c r="S591" s="114"/>
      <c r="T591" s="114"/>
      <c r="U591" s="114"/>
      <c r="V591" s="114"/>
      <c r="W591" s="114"/>
      <c r="X591" s="114"/>
      <c r="Y591" s="114"/>
      <c r="Z591" s="114"/>
      <c r="AA591" s="114"/>
      <c r="AB591" s="114"/>
      <c r="AC591" s="114"/>
      <c r="AD591" s="114"/>
      <c r="AE591" s="114"/>
    </row>
    <row r="592" spans="1:31" x14ac:dyDescent="0.25">
      <c r="A592" s="140" t="s">
        <v>229</v>
      </c>
      <c r="B592" s="140" t="s">
        <v>58</v>
      </c>
      <c r="C592" s="140" t="s">
        <v>66</v>
      </c>
      <c r="D592" s="149" t="s">
        <v>872</v>
      </c>
      <c r="E592" s="139" t="s">
        <v>668</v>
      </c>
      <c r="F592" s="105"/>
      <c r="G592" s="113"/>
      <c r="H592" s="114"/>
      <c r="I592" s="114"/>
      <c r="J592" s="114"/>
      <c r="K592" s="114"/>
      <c r="L592" s="114"/>
      <c r="M592" s="114"/>
      <c r="N592" s="114"/>
      <c r="O592" s="114"/>
      <c r="P592" s="114"/>
      <c r="Q592" s="114"/>
      <c r="R592" s="114"/>
      <c r="S592" s="114"/>
      <c r="T592" s="114"/>
      <c r="U592" s="114"/>
      <c r="V592" s="114"/>
      <c r="W592" s="114"/>
      <c r="X592" s="114"/>
      <c r="Y592" s="114"/>
      <c r="Z592" s="114"/>
      <c r="AA592" s="114"/>
      <c r="AB592" s="114"/>
      <c r="AC592" s="114"/>
      <c r="AD592" s="114"/>
      <c r="AE592" s="114"/>
    </row>
    <row r="593" spans="1:31" x14ac:dyDescent="0.25">
      <c r="A593" s="140" t="s">
        <v>229</v>
      </c>
      <c r="B593" s="140" t="s">
        <v>58</v>
      </c>
      <c r="C593" s="140" t="s">
        <v>66</v>
      </c>
      <c r="D593" s="149" t="s">
        <v>873</v>
      </c>
      <c r="E593" s="139" t="s">
        <v>669</v>
      </c>
      <c r="F593" s="105"/>
      <c r="G593" s="113"/>
      <c r="H593" s="114"/>
      <c r="I593" s="114"/>
      <c r="J593" s="114"/>
      <c r="K593" s="114"/>
      <c r="L593" s="114"/>
      <c r="M593" s="114"/>
      <c r="N593" s="114"/>
      <c r="O593" s="114"/>
      <c r="P593" s="114"/>
      <c r="Q593" s="114"/>
      <c r="R593" s="114"/>
      <c r="S593" s="114"/>
      <c r="T593" s="114"/>
      <c r="U593" s="114"/>
      <c r="V593" s="114"/>
      <c r="W593" s="114"/>
      <c r="X593" s="114"/>
      <c r="Y593" s="114"/>
      <c r="Z593" s="114"/>
      <c r="AA593" s="114"/>
      <c r="AB593" s="114"/>
      <c r="AC593" s="114"/>
      <c r="AD593" s="114"/>
      <c r="AE593" s="114"/>
    </row>
    <row r="594" spans="1:31" x14ac:dyDescent="0.25">
      <c r="A594" s="140" t="s">
        <v>229</v>
      </c>
      <c r="B594" s="140" t="s">
        <v>58</v>
      </c>
      <c r="C594" s="140" t="s">
        <v>66</v>
      </c>
      <c r="D594" s="149" t="s">
        <v>226</v>
      </c>
      <c r="E594" s="139" t="s">
        <v>227</v>
      </c>
      <c r="F594" s="105"/>
      <c r="G594" s="113"/>
      <c r="H594" s="114"/>
      <c r="I594" s="114"/>
      <c r="J594" s="114"/>
      <c r="K594" s="114"/>
      <c r="L594" s="114"/>
      <c r="M594" s="114"/>
      <c r="N594" s="114"/>
      <c r="O594" s="114"/>
      <c r="P594" s="114"/>
      <c r="Q594" s="114"/>
      <c r="R594" s="114"/>
      <c r="S594" s="114"/>
      <c r="T594" s="114"/>
      <c r="U594" s="114"/>
      <c r="V594" s="114"/>
      <c r="W594" s="114"/>
      <c r="X594" s="114"/>
      <c r="Y594" s="114"/>
      <c r="Z594" s="114"/>
      <c r="AA594" s="114"/>
      <c r="AB594" s="114"/>
      <c r="AC594" s="114"/>
      <c r="AD594" s="114"/>
      <c r="AE594" s="114"/>
    </row>
    <row r="595" spans="1:31" x14ac:dyDescent="0.25">
      <c r="A595" s="140" t="s">
        <v>229</v>
      </c>
      <c r="B595" s="140" t="s">
        <v>58</v>
      </c>
      <c r="C595" s="140" t="s">
        <v>66</v>
      </c>
      <c r="D595" s="149" t="s">
        <v>874</v>
      </c>
      <c r="E595" s="139" t="s">
        <v>670</v>
      </c>
      <c r="F595" s="105"/>
      <c r="G595" s="113"/>
      <c r="H595" s="114"/>
      <c r="I595" s="114"/>
      <c r="J595" s="114"/>
      <c r="K595" s="114"/>
      <c r="L595" s="114"/>
      <c r="M595" s="114"/>
      <c r="N595" s="114"/>
      <c r="O595" s="114"/>
      <c r="P595" s="114"/>
      <c r="Q595" s="114"/>
      <c r="R595" s="114"/>
      <c r="S595" s="114"/>
      <c r="T595" s="114"/>
      <c r="U595" s="114"/>
      <c r="V595" s="114"/>
      <c r="W595" s="114"/>
      <c r="X595" s="114"/>
      <c r="Y595" s="114"/>
      <c r="Z595" s="114"/>
      <c r="AA595" s="114"/>
      <c r="AB595" s="114"/>
      <c r="AC595" s="114"/>
      <c r="AD595" s="114"/>
      <c r="AE595" s="114"/>
    </row>
    <row r="596" spans="1:31" x14ac:dyDescent="0.25">
      <c r="A596" s="140" t="s">
        <v>229</v>
      </c>
      <c r="B596" s="140" t="s">
        <v>58</v>
      </c>
      <c r="C596" s="140" t="s">
        <v>66</v>
      </c>
      <c r="D596" s="149" t="s">
        <v>607</v>
      </c>
      <c r="E596" s="139" t="s">
        <v>81</v>
      </c>
      <c r="F596" s="105"/>
      <c r="G596" s="113"/>
      <c r="H596" s="114"/>
      <c r="I596" s="114"/>
      <c r="J596" s="114"/>
      <c r="K596" s="114"/>
      <c r="L596" s="114"/>
      <c r="M596" s="114"/>
      <c r="N596" s="114"/>
      <c r="O596" s="114"/>
      <c r="P596" s="114"/>
      <c r="Q596" s="114"/>
      <c r="R596" s="114"/>
      <c r="S596" s="114"/>
      <c r="T596" s="114"/>
      <c r="U596" s="114"/>
      <c r="V596" s="114"/>
      <c r="W596" s="114"/>
      <c r="X596" s="114"/>
      <c r="Y596" s="114"/>
      <c r="Z596" s="114"/>
      <c r="AA596" s="114"/>
      <c r="AB596" s="114"/>
      <c r="AC596" s="114"/>
      <c r="AD596" s="114"/>
      <c r="AE596" s="114"/>
    </row>
    <row r="597" spans="1:31" x14ac:dyDescent="0.25">
      <c r="A597" s="140" t="s">
        <v>229</v>
      </c>
      <c r="B597" s="140" t="s">
        <v>58</v>
      </c>
      <c r="C597" s="140" t="s">
        <v>66</v>
      </c>
      <c r="D597" s="149" t="s">
        <v>609</v>
      </c>
      <c r="E597" s="139" t="s">
        <v>671</v>
      </c>
      <c r="F597" s="105"/>
      <c r="G597" s="113"/>
      <c r="H597" s="114"/>
      <c r="I597" s="114"/>
      <c r="J597" s="114"/>
      <c r="K597" s="114"/>
      <c r="L597" s="114"/>
      <c r="M597" s="114"/>
      <c r="N597" s="114"/>
      <c r="O597" s="114"/>
      <c r="P597" s="114"/>
      <c r="Q597" s="114"/>
      <c r="R597" s="114"/>
      <c r="S597" s="114"/>
      <c r="T597" s="114"/>
      <c r="U597" s="114"/>
      <c r="V597" s="114"/>
      <c r="W597" s="114"/>
      <c r="X597" s="114"/>
      <c r="Y597" s="114"/>
      <c r="Z597" s="114"/>
      <c r="AA597" s="114"/>
      <c r="AB597" s="114"/>
      <c r="AC597" s="114"/>
      <c r="AD597" s="114"/>
      <c r="AE597" s="114"/>
    </row>
    <row r="598" spans="1:31" x14ac:dyDescent="0.25">
      <c r="A598" s="140" t="s">
        <v>229</v>
      </c>
      <c r="B598" s="140" t="s">
        <v>58</v>
      </c>
      <c r="C598" s="140" t="s">
        <v>66</v>
      </c>
      <c r="D598" s="149" t="s">
        <v>875</v>
      </c>
      <c r="E598" s="139" t="s">
        <v>173</v>
      </c>
      <c r="F598" s="105"/>
      <c r="G598" s="113"/>
      <c r="H598" s="114"/>
      <c r="I598" s="114"/>
      <c r="J598" s="114"/>
      <c r="K598" s="114"/>
      <c r="L598" s="114"/>
      <c r="M598" s="114"/>
      <c r="N598" s="114"/>
      <c r="O598" s="114"/>
      <c r="P598" s="114"/>
      <c r="Q598" s="114"/>
      <c r="R598" s="114"/>
      <c r="S598" s="114"/>
      <c r="T598" s="114"/>
      <c r="U598" s="114"/>
      <c r="V598" s="114"/>
      <c r="W598" s="114"/>
      <c r="X598" s="114"/>
      <c r="Y598" s="114"/>
      <c r="Z598" s="114"/>
      <c r="AA598" s="114"/>
      <c r="AB598" s="114"/>
      <c r="AC598" s="114"/>
      <c r="AD598" s="114"/>
      <c r="AE598" s="114"/>
    </row>
    <row r="599" spans="1:31" x14ac:dyDescent="0.25">
      <c r="A599" s="140" t="s">
        <v>229</v>
      </c>
      <c r="B599" s="140" t="s">
        <v>58</v>
      </c>
      <c r="C599" s="140" t="s">
        <v>66</v>
      </c>
      <c r="D599" s="149" t="s">
        <v>876</v>
      </c>
      <c r="E599" s="139" t="s">
        <v>672</v>
      </c>
      <c r="F599" s="105"/>
      <c r="G599" s="113"/>
      <c r="H599" s="114"/>
      <c r="I599" s="114"/>
      <c r="J599" s="114"/>
      <c r="K599" s="114"/>
      <c r="L599" s="114"/>
      <c r="M599" s="114"/>
      <c r="N599" s="114"/>
      <c r="O599" s="114"/>
      <c r="P599" s="114"/>
      <c r="Q599" s="114"/>
      <c r="R599" s="114"/>
      <c r="S599" s="114"/>
      <c r="T599" s="114"/>
      <c r="U599" s="114"/>
      <c r="V599" s="114"/>
      <c r="W599" s="114"/>
      <c r="X599" s="114"/>
      <c r="Y599" s="114"/>
      <c r="Z599" s="114"/>
      <c r="AA599" s="114"/>
      <c r="AB599" s="114"/>
      <c r="AC599" s="114"/>
      <c r="AD599" s="114"/>
      <c r="AE599" s="114"/>
    </row>
    <row r="600" spans="1:31" x14ac:dyDescent="0.25">
      <c r="A600" s="140" t="s">
        <v>229</v>
      </c>
      <c r="B600" s="140" t="s">
        <v>58</v>
      </c>
      <c r="C600" s="140" t="s">
        <v>66</v>
      </c>
      <c r="D600" s="149" t="s">
        <v>136</v>
      </c>
      <c r="E600" s="139" t="s">
        <v>137</v>
      </c>
      <c r="F600" s="105"/>
      <c r="G600" s="113"/>
      <c r="H600" s="114"/>
      <c r="I600" s="114"/>
      <c r="J600" s="114"/>
      <c r="K600" s="114"/>
      <c r="L600" s="114"/>
      <c r="M600" s="114"/>
      <c r="N600" s="114"/>
      <c r="O600" s="114"/>
      <c r="P600" s="114"/>
      <c r="Q600" s="114"/>
      <c r="R600" s="114"/>
      <c r="S600" s="114"/>
      <c r="T600" s="114"/>
      <c r="U600" s="114"/>
      <c r="V600" s="114"/>
      <c r="W600" s="114"/>
      <c r="X600" s="114"/>
      <c r="Y600" s="114"/>
      <c r="Z600" s="114"/>
      <c r="AA600" s="114"/>
      <c r="AB600" s="114"/>
      <c r="AC600" s="114"/>
      <c r="AD600" s="114"/>
      <c r="AE600" s="114"/>
    </row>
    <row r="601" spans="1:31" x14ac:dyDescent="0.25">
      <c r="A601" s="140" t="s">
        <v>229</v>
      </c>
      <c r="B601" s="140" t="s">
        <v>58</v>
      </c>
      <c r="C601" s="140" t="s">
        <v>66</v>
      </c>
      <c r="D601" s="149" t="s">
        <v>615</v>
      </c>
      <c r="E601" s="139" t="s">
        <v>675</v>
      </c>
      <c r="F601" s="105"/>
      <c r="G601" s="113"/>
      <c r="H601" s="114"/>
      <c r="I601" s="114"/>
      <c r="J601" s="114"/>
      <c r="K601" s="114"/>
      <c r="L601" s="114"/>
      <c r="M601" s="114"/>
      <c r="N601" s="114"/>
      <c r="O601" s="114"/>
      <c r="P601" s="114"/>
      <c r="Q601" s="114"/>
      <c r="R601" s="114"/>
      <c r="S601" s="114"/>
      <c r="T601" s="114"/>
      <c r="U601" s="114"/>
      <c r="V601" s="114"/>
      <c r="W601" s="114"/>
      <c r="X601" s="114"/>
      <c r="Y601" s="114"/>
      <c r="Z601" s="114"/>
      <c r="AA601" s="114"/>
      <c r="AB601" s="114"/>
      <c r="AC601" s="114"/>
      <c r="AD601" s="114"/>
      <c r="AE601" s="114"/>
    </row>
    <row r="602" spans="1:31" x14ac:dyDescent="0.25">
      <c r="A602" s="140" t="s">
        <v>229</v>
      </c>
      <c r="B602" s="140" t="s">
        <v>58</v>
      </c>
      <c r="C602" s="140" t="s">
        <v>66</v>
      </c>
      <c r="D602" s="149" t="s">
        <v>877</v>
      </c>
      <c r="E602" s="139" t="s">
        <v>181</v>
      </c>
      <c r="F602" s="105"/>
      <c r="G602" s="113"/>
      <c r="H602" s="114"/>
      <c r="I602" s="114"/>
      <c r="J602" s="114"/>
      <c r="K602" s="114"/>
      <c r="L602" s="114"/>
      <c r="M602" s="114"/>
      <c r="N602" s="114"/>
      <c r="O602" s="114"/>
      <c r="P602" s="114"/>
      <c r="Q602" s="114"/>
      <c r="R602" s="114"/>
      <c r="S602" s="114"/>
      <c r="T602" s="114"/>
      <c r="U602" s="114"/>
      <c r="V602" s="114"/>
      <c r="W602" s="114"/>
      <c r="X602" s="114"/>
      <c r="Y602" s="114"/>
      <c r="Z602" s="114"/>
      <c r="AA602" s="114"/>
      <c r="AB602" s="114"/>
      <c r="AC602" s="114"/>
      <c r="AD602" s="114"/>
      <c r="AE602" s="114"/>
    </row>
    <row r="603" spans="1:31" x14ac:dyDescent="0.25">
      <c r="A603" s="140" t="s">
        <v>229</v>
      </c>
      <c r="B603" s="140" t="s">
        <v>58</v>
      </c>
      <c r="C603" s="140" t="s">
        <v>66</v>
      </c>
      <c r="D603" s="149" t="s">
        <v>612</v>
      </c>
      <c r="E603" s="139" t="s">
        <v>673</v>
      </c>
      <c r="F603" s="105"/>
      <c r="G603" s="113"/>
      <c r="H603" s="114"/>
      <c r="I603" s="114"/>
      <c r="J603" s="114"/>
      <c r="K603" s="114"/>
      <c r="L603" s="114"/>
      <c r="M603" s="114"/>
      <c r="N603" s="114"/>
      <c r="O603" s="114"/>
      <c r="P603" s="114"/>
      <c r="Q603" s="114"/>
      <c r="R603" s="114"/>
      <c r="S603" s="114"/>
      <c r="T603" s="114"/>
      <c r="U603" s="114"/>
      <c r="V603" s="114"/>
      <c r="W603" s="114"/>
      <c r="X603" s="114"/>
      <c r="Y603" s="114"/>
      <c r="Z603" s="114"/>
      <c r="AA603" s="114"/>
      <c r="AB603" s="114"/>
      <c r="AC603" s="114"/>
      <c r="AD603" s="114"/>
      <c r="AE603" s="114"/>
    </row>
    <row r="604" spans="1:31" x14ac:dyDescent="0.25">
      <c r="A604" s="140" t="s">
        <v>229</v>
      </c>
      <c r="B604" s="140" t="s">
        <v>58</v>
      </c>
      <c r="C604" s="140" t="s">
        <v>59</v>
      </c>
      <c r="D604" s="149" t="s">
        <v>60</v>
      </c>
      <c r="E604" s="139" t="s">
        <v>61</v>
      </c>
      <c r="F604" s="105"/>
      <c r="G604" s="113"/>
      <c r="H604" s="114"/>
      <c r="I604" s="114"/>
      <c r="J604" s="114"/>
      <c r="K604" s="114"/>
      <c r="L604" s="114"/>
      <c r="M604" s="114"/>
      <c r="N604" s="114"/>
      <c r="O604" s="114"/>
      <c r="P604" s="114"/>
      <c r="Q604" s="114"/>
      <c r="R604" s="114"/>
      <c r="S604" s="114"/>
      <c r="T604" s="114"/>
      <c r="U604" s="114"/>
      <c r="V604" s="114"/>
      <c r="W604" s="114"/>
      <c r="X604" s="114"/>
      <c r="Y604" s="114"/>
      <c r="Z604" s="114"/>
      <c r="AA604" s="114"/>
      <c r="AB604" s="114"/>
      <c r="AC604" s="114"/>
      <c r="AD604" s="114"/>
      <c r="AE604" s="114"/>
    </row>
    <row r="605" spans="1:31" x14ac:dyDescent="0.25">
      <c r="A605" s="140" t="s">
        <v>229</v>
      </c>
      <c r="B605" s="140" t="s">
        <v>58</v>
      </c>
      <c r="C605" s="140" t="s">
        <v>59</v>
      </c>
      <c r="D605" s="149" t="s">
        <v>826</v>
      </c>
      <c r="E605" s="139" t="s">
        <v>716</v>
      </c>
      <c r="F605" s="105"/>
      <c r="G605" s="113"/>
      <c r="H605" s="114"/>
      <c r="I605" s="114"/>
      <c r="J605" s="114"/>
      <c r="K605" s="114"/>
      <c r="L605" s="114"/>
      <c r="M605" s="114"/>
      <c r="N605" s="114"/>
      <c r="O605" s="114"/>
      <c r="P605" s="114"/>
      <c r="Q605" s="114"/>
      <c r="R605" s="114"/>
      <c r="S605" s="114"/>
      <c r="T605" s="114"/>
      <c r="U605" s="114"/>
      <c r="V605" s="114"/>
      <c r="W605" s="114"/>
      <c r="X605" s="114"/>
      <c r="Y605" s="114"/>
      <c r="Z605" s="114"/>
      <c r="AA605" s="114"/>
      <c r="AB605" s="114"/>
      <c r="AC605" s="114"/>
      <c r="AD605" s="114"/>
      <c r="AE605" s="114"/>
    </row>
    <row r="606" spans="1:31" x14ac:dyDescent="0.25">
      <c r="A606" s="140" t="s">
        <v>229</v>
      </c>
      <c r="B606" s="140" t="s">
        <v>58</v>
      </c>
      <c r="C606" s="140" t="s">
        <v>59</v>
      </c>
      <c r="D606" s="149" t="s">
        <v>59</v>
      </c>
      <c r="E606" s="139" t="s">
        <v>717</v>
      </c>
      <c r="F606" s="105"/>
      <c r="G606" s="113"/>
      <c r="H606" s="114"/>
      <c r="I606" s="114"/>
      <c r="J606" s="114"/>
      <c r="K606" s="114"/>
      <c r="L606" s="114"/>
      <c r="M606" s="114"/>
      <c r="N606" s="114"/>
      <c r="O606" s="114"/>
      <c r="P606" s="114"/>
      <c r="Q606" s="114"/>
      <c r="R606" s="114"/>
      <c r="S606" s="114"/>
      <c r="T606" s="114"/>
      <c r="U606" s="114"/>
      <c r="V606" s="114"/>
      <c r="W606" s="114"/>
      <c r="X606" s="114"/>
      <c r="Y606" s="114"/>
      <c r="Z606" s="114"/>
      <c r="AA606" s="114"/>
      <c r="AB606" s="114"/>
      <c r="AC606" s="114"/>
      <c r="AD606" s="114"/>
      <c r="AE606" s="114"/>
    </row>
    <row r="607" spans="1:31" x14ac:dyDescent="0.25">
      <c r="A607" s="140" t="s">
        <v>229</v>
      </c>
      <c r="B607" s="140" t="s">
        <v>58</v>
      </c>
      <c r="C607" s="140" t="s">
        <v>59</v>
      </c>
      <c r="D607" s="149" t="s">
        <v>228</v>
      </c>
      <c r="E607" s="139" t="s">
        <v>131</v>
      </c>
      <c r="F607" s="105"/>
      <c r="G607" s="113"/>
      <c r="H607" s="114"/>
      <c r="I607" s="114"/>
      <c r="J607" s="114"/>
      <c r="K607" s="114"/>
      <c r="L607" s="114"/>
      <c r="M607" s="114"/>
      <c r="N607" s="114"/>
      <c r="O607" s="114"/>
      <c r="P607" s="114"/>
      <c r="Q607" s="114"/>
      <c r="R607" s="114"/>
      <c r="S607" s="114"/>
      <c r="T607" s="114"/>
      <c r="U607" s="114"/>
      <c r="V607" s="114"/>
      <c r="W607" s="114"/>
      <c r="X607" s="114"/>
      <c r="Y607" s="114"/>
      <c r="Z607" s="114"/>
      <c r="AA607" s="114"/>
      <c r="AB607" s="114"/>
      <c r="AC607" s="114"/>
      <c r="AD607" s="114"/>
      <c r="AE607" s="114"/>
    </row>
    <row r="608" spans="1:31" x14ac:dyDescent="0.25">
      <c r="A608" s="140" t="s">
        <v>229</v>
      </c>
      <c r="B608" s="140" t="s">
        <v>23</v>
      </c>
      <c r="C608" s="140" t="s">
        <v>24</v>
      </c>
      <c r="D608" s="149" t="s">
        <v>25</v>
      </c>
      <c r="E608" s="139" t="s">
        <v>26</v>
      </c>
      <c r="F608" s="105"/>
      <c r="G608" s="113"/>
      <c r="H608" s="114"/>
      <c r="I608" s="114"/>
      <c r="J608" s="114"/>
      <c r="K608" s="114"/>
      <c r="L608" s="114"/>
      <c r="M608" s="114"/>
      <c r="N608" s="114"/>
      <c r="O608" s="114"/>
      <c r="P608" s="114"/>
      <c r="Q608" s="114"/>
      <c r="R608" s="114"/>
      <c r="S608" s="114"/>
      <c r="T608" s="114"/>
      <c r="U608" s="114"/>
      <c r="V608" s="114"/>
      <c r="W608" s="114"/>
      <c r="X608" s="114"/>
      <c r="Y608" s="114"/>
      <c r="Z608" s="114"/>
      <c r="AA608" s="114"/>
      <c r="AB608" s="114"/>
      <c r="AC608" s="114"/>
      <c r="AD608" s="114"/>
      <c r="AE608" s="114"/>
    </row>
    <row r="609" spans="1:31" x14ac:dyDescent="0.25">
      <c r="A609" s="140" t="s">
        <v>229</v>
      </c>
      <c r="B609" s="140" t="s">
        <v>23</v>
      </c>
      <c r="C609" s="140" t="s">
        <v>24</v>
      </c>
      <c r="D609" s="149" t="s">
        <v>47</v>
      </c>
      <c r="E609" s="139" t="s">
        <v>48</v>
      </c>
      <c r="F609" s="105"/>
      <c r="G609" s="113"/>
      <c r="H609" s="114"/>
      <c r="I609" s="114"/>
      <c r="J609" s="114"/>
      <c r="K609" s="114"/>
      <c r="L609" s="114"/>
      <c r="M609" s="114"/>
      <c r="N609" s="114"/>
      <c r="O609" s="114"/>
      <c r="P609" s="114"/>
      <c r="Q609" s="114"/>
      <c r="R609" s="114"/>
      <c r="S609" s="114"/>
      <c r="T609" s="114"/>
      <c r="U609" s="114"/>
      <c r="V609" s="114"/>
      <c r="W609" s="114"/>
      <c r="X609" s="114"/>
      <c r="Y609" s="114"/>
      <c r="Z609" s="114"/>
      <c r="AA609" s="114"/>
      <c r="AB609" s="114"/>
      <c r="AC609" s="114"/>
      <c r="AD609" s="114"/>
      <c r="AE609" s="114"/>
    </row>
    <row r="610" spans="1:31" x14ac:dyDescent="0.25">
      <c r="A610" s="140" t="s">
        <v>229</v>
      </c>
      <c r="B610" s="140" t="s">
        <v>23</v>
      </c>
      <c r="C610" s="140" t="s">
        <v>24</v>
      </c>
      <c r="D610" s="149" t="s">
        <v>51</v>
      </c>
      <c r="E610" s="139" t="s">
        <v>52</v>
      </c>
      <c r="F610" s="105"/>
      <c r="G610" s="113"/>
      <c r="H610" s="114"/>
      <c r="I610" s="114"/>
      <c r="J610" s="114"/>
      <c r="K610" s="114"/>
      <c r="L610" s="114"/>
      <c r="M610" s="114"/>
      <c r="N610" s="114"/>
      <c r="O610" s="114"/>
      <c r="P610" s="114"/>
      <c r="Q610" s="114"/>
      <c r="R610" s="114"/>
      <c r="S610" s="114"/>
      <c r="T610" s="114"/>
      <c r="U610" s="114"/>
      <c r="V610" s="114"/>
      <c r="W610" s="114"/>
      <c r="X610" s="114"/>
      <c r="Y610" s="114"/>
      <c r="Z610" s="114"/>
      <c r="AA610" s="114"/>
      <c r="AB610" s="114"/>
      <c r="AC610" s="114"/>
      <c r="AD610" s="114"/>
      <c r="AE610" s="114"/>
    </row>
    <row r="611" spans="1:31" x14ac:dyDescent="0.25">
      <c r="A611" s="140" t="s">
        <v>229</v>
      </c>
      <c r="B611" s="140" t="s">
        <v>23</v>
      </c>
      <c r="C611" s="140" t="s">
        <v>24</v>
      </c>
      <c r="D611" s="149" t="s">
        <v>168</v>
      </c>
      <c r="E611" s="139" t="s">
        <v>169</v>
      </c>
      <c r="F611" s="105"/>
      <c r="G611" s="113"/>
      <c r="H611" s="114"/>
      <c r="I611" s="114"/>
      <c r="J611" s="114"/>
      <c r="K611" s="114"/>
      <c r="L611" s="114"/>
      <c r="M611" s="114"/>
      <c r="N611" s="114"/>
      <c r="O611" s="114"/>
      <c r="P611" s="114"/>
      <c r="Q611" s="114"/>
      <c r="R611" s="114"/>
      <c r="S611" s="114"/>
      <c r="T611" s="114"/>
      <c r="U611" s="114"/>
      <c r="V611" s="114"/>
      <c r="W611" s="114"/>
      <c r="X611" s="114"/>
      <c r="Y611" s="114"/>
      <c r="Z611" s="114"/>
      <c r="AA611" s="114"/>
      <c r="AB611" s="114"/>
      <c r="AC611" s="114"/>
      <c r="AD611" s="114"/>
      <c r="AE611" s="114"/>
    </row>
    <row r="612" spans="1:31" x14ac:dyDescent="0.25">
      <c r="A612" s="140" t="s">
        <v>229</v>
      </c>
      <c r="B612" s="140" t="s">
        <v>23</v>
      </c>
      <c r="C612" s="140" t="s">
        <v>24</v>
      </c>
      <c r="D612" s="149" t="s">
        <v>170</v>
      </c>
      <c r="E612" s="139" t="s">
        <v>171</v>
      </c>
      <c r="F612" s="105"/>
      <c r="G612" s="113"/>
      <c r="H612" s="114"/>
      <c r="I612" s="114"/>
      <c r="J612" s="114"/>
      <c r="K612" s="114"/>
      <c r="L612" s="114"/>
      <c r="M612" s="114"/>
      <c r="N612" s="114"/>
      <c r="O612" s="114"/>
      <c r="P612" s="114"/>
      <c r="Q612" s="114"/>
      <c r="R612" s="114"/>
      <c r="S612" s="114"/>
      <c r="T612" s="114"/>
      <c r="U612" s="114"/>
      <c r="V612" s="114"/>
      <c r="W612" s="114"/>
      <c r="X612" s="114"/>
      <c r="Y612" s="114"/>
      <c r="Z612" s="114"/>
      <c r="AA612" s="114"/>
      <c r="AB612" s="114"/>
      <c r="AC612" s="114"/>
      <c r="AD612" s="114"/>
      <c r="AE612" s="114"/>
    </row>
    <row r="613" spans="1:31" x14ac:dyDescent="0.25">
      <c r="A613" s="140" t="s">
        <v>229</v>
      </c>
      <c r="B613" s="140" t="s">
        <v>23</v>
      </c>
      <c r="C613" s="140" t="s">
        <v>24</v>
      </c>
      <c r="D613" s="149" t="s">
        <v>413</v>
      </c>
      <c r="E613" s="139" t="s">
        <v>732</v>
      </c>
      <c r="F613" s="105"/>
      <c r="G613" s="113"/>
      <c r="H613" s="114"/>
      <c r="I613" s="114"/>
      <c r="J613" s="114"/>
      <c r="K613" s="114"/>
      <c r="L613" s="114"/>
      <c r="M613" s="114"/>
      <c r="N613" s="114"/>
      <c r="O613" s="114"/>
      <c r="P613" s="114"/>
      <c r="Q613" s="114"/>
      <c r="R613" s="114"/>
      <c r="S613" s="114"/>
      <c r="T613" s="114"/>
      <c r="U613" s="114"/>
      <c r="V613" s="114"/>
      <c r="W613" s="114"/>
      <c r="X613" s="114"/>
      <c r="Y613" s="114"/>
      <c r="Z613" s="114"/>
      <c r="AA613" s="114"/>
      <c r="AB613" s="114"/>
      <c r="AC613" s="114"/>
      <c r="AD613" s="114"/>
      <c r="AE613" s="114"/>
    </row>
    <row r="614" spans="1:31" x14ac:dyDescent="0.25">
      <c r="A614" s="140" t="s">
        <v>229</v>
      </c>
      <c r="B614" s="140" t="s">
        <v>23</v>
      </c>
      <c r="C614" s="140" t="s">
        <v>24</v>
      </c>
      <c r="D614" s="149" t="s">
        <v>82</v>
      </c>
      <c r="E614" s="139" t="s">
        <v>83</v>
      </c>
      <c r="F614" s="105"/>
      <c r="G614" s="113"/>
      <c r="H614" s="114"/>
      <c r="I614" s="114"/>
      <c r="J614" s="114"/>
      <c r="K614" s="114"/>
      <c r="L614" s="114"/>
      <c r="M614" s="114"/>
      <c r="N614" s="114"/>
      <c r="O614" s="114"/>
      <c r="P614" s="114"/>
      <c r="Q614" s="114"/>
      <c r="R614" s="114"/>
      <c r="S614" s="114"/>
      <c r="T614" s="114"/>
      <c r="U614" s="114"/>
      <c r="V614" s="114"/>
      <c r="W614" s="114"/>
      <c r="X614" s="114"/>
      <c r="Y614" s="114"/>
      <c r="Z614" s="114"/>
      <c r="AA614" s="114"/>
      <c r="AB614" s="114"/>
      <c r="AC614" s="114"/>
      <c r="AD614" s="114"/>
      <c r="AE614" s="114"/>
    </row>
    <row r="615" spans="1:31" x14ac:dyDescent="0.25">
      <c r="A615" s="140" t="s">
        <v>229</v>
      </c>
      <c r="B615" s="140" t="s">
        <v>23</v>
      </c>
      <c r="C615" s="140" t="s">
        <v>24</v>
      </c>
      <c r="D615" s="149" t="s">
        <v>84</v>
      </c>
      <c r="E615" s="139" t="s">
        <v>85</v>
      </c>
      <c r="F615" s="105"/>
      <c r="G615" s="113"/>
      <c r="H615" s="114"/>
      <c r="I615" s="114"/>
      <c r="J615" s="114"/>
      <c r="K615" s="114"/>
      <c r="L615" s="114"/>
      <c r="M615" s="114"/>
      <c r="N615" s="114"/>
      <c r="O615" s="114"/>
      <c r="P615" s="114"/>
      <c r="Q615" s="114"/>
      <c r="R615" s="114"/>
      <c r="S615" s="114"/>
      <c r="T615" s="114"/>
      <c r="U615" s="114"/>
      <c r="V615" s="114"/>
      <c r="W615" s="114"/>
      <c r="X615" s="114"/>
      <c r="Y615" s="114"/>
      <c r="Z615" s="114"/>
      <c r="AA615" s="114"/>
      <c r="AB615" s="114"/>
      <c r="AC615" s="114"/>
      <c r="AD615" s="114"/>
      <c r="AE615" s="114"/>
    </row>
    <row r="616" spans="1:31" x14ac:dyDescent="0.25">
      <c r="A616" s="140" t="s">
        <v>229</v>
      </c>
      <c r="B616" s="140" t="s">
        <v>23</v>
      </c>
      <c r="C616" s="140" t="s">
        <v>24</v>
      </c>
      <c r="D616" s="149" t="s">
        <v>89</v>
      </c>
      <c r="E616" s="139" t="s">
        <v>90</v>
      </c>
      <c r="F616" s="105"/>
      <c r="G616" s="113"/>
      <c r="H616" s="114"/>
      <c r="I616" s="114"/>
      <c r="J616" s="114"/>
      <c r="K616" s="114"/>
      <c r="L616" s="114"/>
      <c r="M616" s="114"/>
      <c r="N616" s="114"/>
      <c r="O616" s="114"/>
      <c r="P616" s="114"/>
      <c r="Q616" s="114"/>
      <c r="R616" s="114"/>
      <c r="S616" s="114"/>
      <c r="T616" s="114"/>
      <c r="U616" s="114"/>
      <c r="V616" s="114"/>
      <c r="W616" s="114"/>
      <c r="X616" s="114"/>
      <c r="Y616" s="114"/>
      <c r="Z616" s="114"/>
      <c r="AA616" s="114"/>
      <c r="AB616" s="114"/>
      <c r="AC616" s="114"/>
      <c r="AD616" s="114"/>
      <c r="AE616" s="114"/>
    </row>
    <row r="617" spans="1:31" x14ac:dyDescent="0.25">
      <c r="A617" s="140" t="s">
        <v>229</v>
      </c>
      <c r="B617" s="140" t="s">
        <v>23</v>
      </c>
      <c r="C617" s="140" t="s">
        <v>24</v>
      </c>
      <c r="D617" s="149" t="s">
        <v>176</v>
      </c>
      <c r="E617" s="139" t="s">
        <v>177</v>
      </c>
      <c r="F617" s="105"/>
      <c r="G617" s="113"/>
      <c r="H617" s="114"/>
      <c r="I617" s="114"/>
      <c r="J617" s="114"/>
      <c r="K617" s="114"/>
      <c r="L617" s="114"/>
      <c r="M617" s="114"/>
      <c r="N617" s="114"/>
      <c r="O617" s="114"/>
      <c r="P617" s="114"/>
      <c r="Q617" s="114"/>
      <c r="R617" s="114"/>
      <c r="S617" s="114"/>
      <c r="T617" s="114"/>
      <c r="U617" s="114"/>
      <c r="V617" s="114"/>
      <c r="W617" s="114"/>
      <c r="X617" s="114"/>
      <c r="Y617" s="114"/>
      <c r="Z617" s="114"/>
      <c r="AA617" s="114"/>
      <c r="AB617" s="114"/>
      <c r="AC617" s="114"/>
      <c r="AD617" s="114"/>
      <c r="AE617" s="114"/>
    </row>
    <row r="618" spans="1:31" x14ac:dyDescent="0.25">
      <c r="A618" s="140" t="s">
        <v>229</v>
      </c>
      <c r="B618" s="140" t="s">
        <v>23</v>
      </c>
      <c r="C618" s="140" t="s">
        <v>24</v>
      </c>
      <c r="D618" s="149" t="s">
        <v>93</v>
      </c>
      <c r="E618" s="139" t="s">
        <v>94</v>
      </c>
      <c r="F618" s="105"/>
      <c r="G618" s="113"/>
      <c r="H618" s="114"/>
      <c r="I618" s="114"/>
      <c r="J618" s="114"/>
      <c r="K618" s="114"/>
      <c r="L618" s="114"/>
      <c r="M618" s="114"/>
      <c r="N618" s="114"/>
      <c r="O618" s="114"/>
      <c r="P618" s="114"/>
      <c r="Q618" s="114"/>
      <c r="R618" s="114"/>
      <c r="S618" s="114"/>
      <c r="T618" s="114"/>
      <c r="U618" s="114"/>
      <c r="V618" s="114"/>
      <c r="W618" s="114"/>
      <c r="X618" s="114"/>
      <c r="Y618" s="114"/>
      <c r="Z618" s="114"/>
      <c r="AA618" s="114"/>
      <c r="AB618" s="114"/>
      <c r="AC618" s="114"/>
      <c r="AD618" s="114"/>
      <c r="AE618" s="114"/>
    </row>
    <row r="619" spans="1:31" x14ac:dyDescent="0.25">
      <c r="A619" s="140" t="s">
        <v>229</v>
      </c>
      <c r="B619" s="140" t="s">
        <v>23</v>
      </c>
      <c r="C619" s="140" t="s">
        <v>24</v>
      </c>
      <c r="D619" s="149" t="s">
        <v>102</v>
      </c>
      <c r="E619" s="139" t="s">
        <v>103</v>
      </c>
      <c r="F619" s="105"/>
      <c r="G619" s="113"/>
      <c r="H619" s="114"/>
      <c r="I619" s="114"/>
      <c r="J619" s="114"/>
      <c r="K619" s="114"/>
      <c r="L619" s="114"/>
      <c r="M619" s="114"/>
      <c r="N619" s="114"/>
      <c r="O619" s="114"/>
      <c r="P619" s="114"/>
      <c r="Q619" s="114"/>
      <c r="R619" s="114"/>
      <c r="S619" s="114"/>
      <c r="T619" s="114"/>
      <c r="U619" s="114"/>
      <c r="V619" s="114"/>
      <c r="W619" s="114"/>
      <c r="X619" s="114"/>
      <c r="Y619" s="114"/>
      <c r="Z619" s="114"/>
      <c r="AA619" s="114"/>
      <c r="AB619" s="114"/>
      <c r="AC619" s="114"/>
      <c r="AD619" s="114"/>
      <c r="AE619" s="114"/>
    </row>
    <row r="620" spans="1:31" x14ac:dyDescent="0.25">
      <c r="A620" s="140" t="s">
        <v>229</v>
      </c>
      <c r="B620" s="140" t="s">
        <v>23</v>
      </c>
      <c r="C620" s="140" t="s">
        <v>24</v>
      </c>
      <c r="D620" s="149" t="s">
        <v>107</v>
      </c>
      <c r="E620" s="139" t="s">
        <v>108</v>
      </c>
      <c r="F620" s="105"/>
      <c r="G620" s="113"/>
      <c r="H620" s="114"/>
      <c r="I620" s="114"/>
      <c r="J620" s="114"/>
      <c r="K620" s="114"/>
      <c r="L620" s="114"/>
      <c r="M620" s="114"/>
      <c r="N620" s="114"/>
      <c r="O620" s="114"/>
      <c r="P620" s="114"/>
      <c r="Q620" s="114"/>
      <c r="R620" s="114"/>
      <c r="S620" s="114"/>
      <c r="T620" s="114"/>
      <c r="U620" s="114"/>
      <c r="V620" s="114"/>
      <c r="W620" s="114"/>
      <c r="X620" s="114"/>
      <c r="Y620" s="114"/>
      <c r="Z620" s="114"/>
      <c r="AA620" s="114"/>
      <c r="AB620" s="114"/>
      <c r="AC620" s="114"/>
      <c r="AD620" s="114"/>
      <c r="AE620" s="114"/>
    </row>
    <row r="621" spans="1:31" x14ac:dyDescent="0.25">
      <c r="A621" s="140" t="s">
        <v>229</v>
      </c>
      <c r="B621" s="140" t="s">
        <v>23</v>
      </c>
      <c r="C621" s="140" t="s">
        <v>104</v>
      </c>
      <c r="D621" s="149" t="s">
        <v>105</v>
      </c>
      <c r="E621" s="139" t="s">
        <v>106</v>
      </c>
      <c r="F621" s="105"/>
      <c r="G621" s="113"/>
      <c r="H621" s="114"/>
      <c r="I621" s="114"/>
      <c r="J621" s="114"/>
      <c r="K621" s="114"/>
      <c r="L621" s="114"/>
      <c r="M621" s="114"/>
      <c r="N621" s="114"/>
      <c r="O621" s="114"/>
      <c r="P621" s="114"/>
      <c r="Q621" s="114"/>
      <c r="R621" s="114"/>
      <c r="S621" s="114"/>
      <c r="T621" s="114"/>
      <c r="U621" s="114"/>
      <c r="V621" s="114"/>
      <c r="W621" s="114"/>
      <c r="X621" s="114"/>
      <c r="Y621" s="114"/>
      <c r="Z621" s="114"/>
      <c r="AA621" s="114"/>
      <c r="AB621" s="114"/>
      <c r="AC621" s="114"/>
      <c r="AD621" s="114"/>
      <c r="AE621" s="114"/>
    </row>
    <row r="622" spans="1:31" x14ac:dyDescent="0.25">
      <c r="A622" s="140" t="s">
        <v>229</v>
      </c>
      <c r="B622" s="140" t="s">
        <v>23</v>
      </c>
      <c r="C622" s="140" t="s">
        <v>104</v>
      </c>
      <c r="D622" s="149" t="s">
        <v>140</v>
      </c>
      <c r="E622" s="139" t="s">
        <v>141</v>
      </c>
      <c r="F622" s="105"/>
      <c r="G622" s="113"/>
      <c r="H622" s="114"/>
      <c r="I622" s="114"/>
      <c r="J622" s="114"/>
      <c r="K622" s="114"/>
      <c r="L622" s="114"/>
      <c r="M622" s="114"/>
      <c r="N622" s="114"/>
      <c r="O622" s="114"/>
      <c r="P622" s="114"/>
      <c r="Q622" s="114"/>
      <c r="R622" s="114"/>
      <c r="S622" s="114"/>
      <c r="T622" s="114"/>
      <c r="U622" s="114"/>
      <c r="V622" s="114"/>
      <c r="W622" s="114"/>
      <c r="X622" s="114"/>
      <c r="Y622" s="114"/>
      <c r="Z622" s="114"/>
      <c r="AA622" s="114"/>
      <c r="AB622" s="114"/>
      <c r="AC622" s="114"/>
      <c r="AD622" s="114"/>
      <c r="AE622" s="114"/>
    </row>
    <row r="623" spans="1:31" x14ac:dyDescent="0.25">
      <c r="A623" s="140" t="s">
        <v>229</v>
      </c>
      <c r="B623" s="140" t="s">
        <v>23</v>
      </c>
      <c r="C623" s="140" t="s">
        <v>38</v>
      </c>
      <c r="D623" s="149" t="s">
        <v>39</v>
      </c>
      <c r="E623" s="139" t="s">
        <v>40</v>
      </c>
      <c r="F623" s="105"/>
      <c r="G623" s="113"/>
      <c r="H623" s="114"/>
      <c r="I623" s="114"/>
      <c r="J623" s="114"/>
      <c r="K623" s="114"/>
      <c r="L623" s="114"/>
      <c r="M623" s="114"/>
      <c r="N623" s="114"/>
      <c r="O623" s="114"/>
      <c r="P623" s="114"/>
      <c r="Q623" s="114"/>
      <c r="R623" s="114"/>
      <c r="S623" s="114"/>
      <c r="T623" s="114"/>
      <c r="U623" s="114"/>
      <c r="V623" s="114"/>
      <c r="W623" s="114"/>
      <c r="X623" s="114"/>
      <c r="Y623" s="114"/>
      <c r="Z623" s="114"/>
      <c r="AA623" s="114"/>
      <c r="AB623" s="114"/>
      <c r="AC623" s="114"/>
      <c r="AD623" s="114"/>
      <c r="AE623" s="114"/>
    </row>
    <row r="624" spans="1:31" x14ac:dyDescent="0.25">
      <c r="A624" s="140" t="s">
        <v>229</v>
      </c>
      <c r="B624" s="140" t="s">
        <v>23</v>
      </c>
      <c r="C624" s="140" t="s">
        <v>38</v>
      </c>
      <c r="D624" s="149" t="s">
        <v>53</v>
      </c>
      <c r="E624" s="139" t="s">
        <v>54</v>
      </c>
      <c r="F624" s="105"/>
      <c r="G624" s="113"/>
      <c r="H624" s="114"/>
      <c r="I624" s="114"/>
      <c r="J624" s="114"/>
      <c r="K624" s="114"/>
      <c r="L624" s="114"/>
      <c r="M624" s="114"/>
      <c r="N624" s="114"/>
      <c r="O624" s="114"/>
      <c r="P624" s="114"/>
      <c r="Q624" s="114"/>
      <c r="R624" s="114"/>
      <c r="S624" s="114"/>
      <c r="T624" s="114"/>
      <c r="U624" s="114"/>
      <c r="V624" s="114"/>
      <c r="W624" s="114"/>
      <c r="X624" s="114"/>
      <c r="Y624" s="114"/>
      <c r="Z624" s="114"/>
      <c r="AA624" s="114"/>
      <c r="AB624" s="114"/>
      <c r="AC624" s="114"/>
      <c r="AD624" s="114"/>
      <c r="AE624" s="114"/>
    </row>
    <row r="625" spans="1:31" x14ac:dyDescent="0.25">
      <c r="A625" s="140" t="s">
        <v>229</v>
      </c>
      <c r="B625" s="140" t="s">
        <v>23</v>
      </c>
      <c r="C625" s="140" t="s">
        <v>38</v>
      </c>
      <c r="D625" s="149" t="s">
        <v>174</v>
      </c>
      <c r="E625" s="139" t="s">
        <v>175</v>
      </c>
      <c r="F625" s="105"/>
      <c r="G625" s="113"/>
      <c r="H625" s="114"/>
      <c r="I625" s="114"/>
      <c r="J625" s="114"/>
      <c r="K625" s="114"/>
      <c r="L625" s="114"/>
      <c r="M625" s="114"/>
      <c r="N625" s="114"/>
      <c r="O625" s="114"/>
      <c r="P625" s="114"/>
      <c r="Q625" s="114"/>
      <c r="R625" s="114"/>
      <c r="S625" s="114"/>
      <c r="T625" s="114"/>
      <c r="U625" s="114"/>
      <c r="V625" s="114"/>
      <c r="W625" s="114"/>
      <c r="X625" s="114"/>
      <c r="Y625" s="114"/>
      <c r="Z625" s="114"/>
      <c r="AA625" s="114"/>
      <c r="AB625" s="114"/>
      <c r="AC625" s="114"/>
      <c r="AD625" s="114"/>
      <c r="AE625" s="114"/>
    </row>
    <row r="626" spans="1:31" x14ac:dyDescent="0.25">
      <c r="A626" s="140" t="s">
        <v>229</v>
      </c>
      <c r="B626" s="140" t="s">
        <v>23</v>
      </c>
      <c r="C626" s="140" t="s">
        <v>38</v>
      </c>
      <c r="D626" s="149" t="s">
        <v>91</v>
      </c>
      <c r="E626" s="139" t="s">
        <v>92</v>
      </c>
      <c r="F626" s="105"/>
      <c r="G626" s="113"/>
      <c r="H626" s="114"/>
      <c r="I626" s="114"/>
      <c r="J626" s="114"/>
      <c r="K626" s="114"/>
      <c r="L626" s="114"/>
      <c r="M626" s="114"/>
      <c r="N626" s="114"/>
      <c r="O626" s="114"/>
      <c r="P626" s="114"/>
      <c r="Q626" s="114"/>
      <c r="R626" s="114"/>
      <c r="S626" s="114"/>
      <c r="T626" s="114"/>
      <c r="U626" s="114"/>
      <c r="V626" s="114"/>
      <c r="W626" s="114"/>
      <c r="X626" s="114"/>
      <c r="Y626" s="114"/>
      <c r="Z626" s="114"/>
      <c r="AA626" s="114"/>
      <c r="AB626" s="114"/>
      <c r="AC626" s="114"/>
      <c r="AD626" s="114"/>
      <c r="AE626" s="114"/>
    </row>
    <row r="627" spans="1:31" x14ac:dyDescent="0.25">
      <c r="A627" s="140" t="s">
        <v>229</v>
      </c>
      <c r="B627" s="140" t="s">
        <v>23</v>
      </c>
      <c r="C627" s="140" t="s">
        <v>38</v>
      </c>
      <c r="D627" s="149" t="s">
        <v>95</v>
      </c>
      <c r="E627" s="139" t="s">
        <v>96</v>
      </c>
      <c r="F627" s="105"/>
      <c r="G627" s="113"/>
      <c r="H627" s="114"/>
      <c r="I627" s="114"/>
      <c r="J627" s="114"/>
      <c r="K627" s="114"/>
      <c r="L627" s="114"/>
      <c r="M627" s="114"/>
      <c r="N627" s="114"/>
      <c r="O627" s="114"/>
      <c r="P627" s="114"/>
      <c r="Q627" s="114"/>
      <c r="R627" s="114"/>
      <c r="S627" s="114"/>
      <c r="T627" s="114"/>
      <c r="U627" s="114"/>
      <c r="V627" s="114"/>
      <c r="W627" s="114"/>
      <c r="X627" s="114"/>
      <c r="Y627" s="114"/>
      <c r="Z627" s="114"/>
      <c r="AA627" s="114"/>
      <c r="AB627" s="114"/>
      <c r="AC627" s="114"/>
      <c r="AD627" s="114"/>
      <c r="AE627" s="114"/>
    </row>
    <row r="628" spans="1:31" x14ac:dyDescent="0.25">
      <c r="A628" s="140" t="s">
        <v>229</v>
      </c>
      <c r="B628" s="140" t="s">
        <v>23</v>
      </c>
      <c r="C628" s="140" t="s">
        <v>38</v>
      </c>
      <c r="D628" s="149" t="s">
        <v>825</v>
      </c>
      <c r="E628" s="139" t="s">
        <v>179</v>
      </c>
      <c r="F628" s="105"/>
      <c r="G628" s="113"/>
      <c r="H628" s="114"/>
      <c r="I628" s="114"/>
      <c r="J628" s="114"/>
      <c r="K628" s="114"/>
      <c r="L628" s="114"/>
      <c r="M628" s="114"/>
      <c r="N628" s="114"/>
      <c r="O628" s="114"/>
      <c r="P628" s="114"/>
      <c r="Q628" s="114"/>
      <c r="R628" s="114"/>
      <c r="S628" s="114"/>
      <c r="T628" s="114"/>
      <c r="U628" s="114"/>
      <c r="V628" s="114"/>
      <c r="W628" s="114"/>
      <c r="X628" s="114"/>
      <c r="Y628" s="114"/>
      <c r="Z628" s="114"/>
      <c r="AA628" s="114"/>
      <c r="AB628" s="114"/>
      <c r="AC628" s="114"/>
      <c r="AD628" s="114"/>
      <c r="AE628" s="114"/>
    </row>
    <row r="629" spans="1:31" x14ac:dyDescent="0.25">
      <c r="A629" s="140" t="s">
        <v>229</v>
      </c>
      <c r="B629" s="140" t="s">
        <v>23</v>
      </c>
      <c r="C629" s="140" t="s">
        <v>38</v>
      </c>
      <c r="D629" s="149" t="s">
        <v>134</v>
      </c>
      <c r="E629" s="139" t="s">
        <v>135</v>
      </c>
      <c r="F629" s="105"/>
      <c r="G629" s="113"/>
      <c r="H629" s="114"/>
      <c r="I629" s="114"/>
      <c r="J629" s="114"/>
      <c r="K629" s="114"/>
      <c r="L629" s="114"/>
      <c r="M629" s="114"/>
      <c r="N629" s="114"/>
      <c r="O629" s="114"/>
      <c r="P629" s="114"/>
      <c r="Q629" s="114"/>
      <c r="R629" s="114"/>
      <c r="S629" s="114"/>
      <c r="T629" s="114"/>
      <c r="U629" s="114"/>
      <c r="V629" s="114"/>
      <c r="W629" s="114"/>
      <c r="X629" s="114"/>
      <c r="Y629" s="114"/>
      <c r="Z629" s="114"/>
      <c r="AA629" s="114"/>
      <c r="AB629" s="114"/>
      <c r="AC629" s="114"/>
      <c r="AD629" s="114"/>
      <c r="AE629" s="114"/>
    </row>
    <row r="630" spans="1:31" x14ac:dyDescent="0.25">
      <c r="A630" s="140" t="s">
        <v>229</v>
      </c>
      <c r="B630" s="140" t="s">
        <v>23</v>
      </c>
      <c r="C630" s="140" t="s">
        <v>38</v>
      </c>
      <c r="D630" s="149" t="s">
        <v>138</v>
      </c>
      <c r="E630" s="139" t="s">
        <v>139</v>
      </c>
      <c r="F630" s="105"/>
      <c r="G630" s="113"/>
      <c r="H630" s="114"/>
      <c r="I630" s="114"/>
      <c r="J630" s="114"/>
      <c r="K630" s="114"/>
      <c r="L630" s="114"/>
      <c r="M630" s="114"/>
      <c r="N630" s="114"/>
      <c r="O630" s="114"/>
      <c r="P630" s="114"/>
      <c r="Q630" s="114"/>
      <c r="R630" s="114"/>
      <c r="S630" s="114"/>
      <c r="T630" s="114"/>
      <c r="U630" s="114"/>
      <c r="V630" s="114"/>
      <c r="W630" s="114"/>
      <c r="X630" s="114"/>
      <c r="Y630" s="114"/>
      <c r="Z630" s="114"/>
      <c r="AA630" s="114"/>
      <c r="AB630" s="114"/>
      <c r="AC630" s="114"/>
      <c r="AD630" s="114"/>
      <c r="AE630" s="114"/>
    </row>
    <row r="631" spans="1:31" x14ac:dyDescent="0.25">
      <c r="A631" s="140" t="s">
        <v>229</v>
      </c>
      <c r="B631" s="140" t="s">
        <v>27</v>
      </c>
      <c r="C631" s="140" t="s">
        <v>66</v>
      </c>
      <c r="D631" s="149" t="s">
        <v>614</v>
      </c>
      <c r="E631" s="139" t="s">
        <v>674</v>
      </c>
      <c r="F631" s="105"/>
      <c r="G631" s="113"/>
      <c r="H631" s="114"/>
      <c r="I631" s="114"/>
      <c r="J631" s="114"/>
      <c r="K631" s="114"/>
      <c r="L631" s="114"/>
      <c r="M631" s="114"/>
      <c r="N631" s="114"/>
      <c r="O631" s="114"/>
      <c r="P631" s="114"/>
      <c r="Q631" s="114"/>
      <c r="R631" s="114"/>
      <c r="S631" s="114"/>
      <c r="T631" s="114"/>
      <c r="U631" s="114"/>
      <c r="V631" s="114"/>
      <c r="W631" s="114"/>
      <c r="X631" s="114"/>
      <c r="Y631" s="114"/>
      <c r="Z631" s="114"/>
      <c r="AA631" s="114"/>
      <c r="AB631" s="114"/>
      <c r="AC631" s="114"/>
      <c r="AD631" s="114"/>
      <c r="AE631" s="114"/>
    </row>
    <row r="632" spans="1:31" x14ac:dyDescent="0.25">
      <c r="A632" s="140" t="s">
        <v>229</v>
      </c>
      <c r="B632" s="140" t="s">
        <v>27</v>
      </c>
      <c r="C632" s="140" t="s">
        <v>813</v>
      </c>
      <c r="D632" s="149" t="s">
        <v>218</v>
      </c>
      <c r="E632" s="139" t="s">
        <v>219</v>
      </c>
      <c r="F632" s="105"/>
      <c r="G632" s="113"/>
      <c r="H632" s="114"/>
      <c r="I632" s="114"/>
      <c r="J632" s="114"/>
      <c r="K632" s="114"/>
      <c r="L632" s="114"/>
      <c r="M632" s="114"/>
      <c r="N632" s="114"/>
      <c r="O632" s="114"/>
      <c r="P632" s="114"/>
      <c r="Q632" s="114"/>
      <c r="R632" s="114"/>
      <c r="S632" s="114"/>
      <c r="T632" s="114"/>
      <c r="U632" s="114"/>
      <c r="V632" s="114"/>
      <c r="W632" s="114"/>
      <c r="X632" s="114"/>
      <c r="Y632" s="114"/>
      <c r="Z632" s="114"/>
      <c r="AA632" s="114"/>
      <c r="AB632" s="114"/>
      <c r="AC632" s="114"/>
      <c r="AD632" s="114"/>
      <c r="AE632" s="114"/>
    </row>
    <row r="633" spans="1:31" x14ac:dyDescent="0.25">
      <c r="A633" s="140" t="s">
        <v>229</v>
      </c>
      <c r="B633" s="140" t="s">
        <v>27</v>
      </c>
      <c r="C633" s="140" t="s">
        <v>28</v>
      </c>
      <c r="D633" s="149" t="s">
        <v>817</v>
      </c>
      <c r="E633" s="139" t="s">
        <v>734</v>
      </c>
      <c r="F633" s="105"/>
      <c r="G633" s="113"/>
      <c r="H633" s="114"/>
      <c r="I633" s="114"/>
      <c r="J633" s="114"/>
      <c r="K633" s="114"/>
      <c r="L633" s="114"/>
      <c r="M633" s="114"/>
      <c r="N633" s="114"/>
      <c r="O633" s="114"/>
      <c r="P633" s="114"/>
      <c r="Q633" s="114"/>
      <c r="R633" s="114"/>
      <c r="S633" s="114"/>
      <c r="T633" s="114"/>
      <c r="U633" s="114"/>
      <c r="V633" s="114"/>
      <c r="W633" s="114"/>
      <c r="X633" s="114"/>
      <c r="Y633" s="114"/>
      <c r="Z633" s="114"/>
      <c r="AA633" s="114"/>
      <c r="AB633" s="114"/>
      <c r="AC633" s="114"/>
      <c r="AD633" s="114"/>
      <c r="AE633" s="114"/>
    </row>
    <row r="634" spans="1:31" x14ac:dyDescent="0.25">
      <c r="A634" s="140" t="s">
        <v>229</v>
      </c>
      <c r="B634" s="140" t="s">
        <v>27</v>
      </c>
      <c r="C634" s="140" t="s">
        <v>28</v>
      </c>
      <c r="D634" s="149" t="s">
        <v>356</v>
      </c>
      <c r="E634" s="139" t="s">
        <v>735</v>
      </c>
      <c r="F634" s="105"/>
      <c r="G634" s="113"/>
      <c r="H634" s="114"/>
      <c r="I634" s="114"/>
      <c r="J634" s="114"/>
      <c r="K634" s="114"/>
      <c r="L634" s="114"/>
      <c r="M634" s="114"/>
      <c r="N634" s="114"/>
      <c r="O634" s="114"/>
      <c r="P634" s="114"/>
      <c r="Q634" s="114"/>
      <c r="R634" s="114"/>
      <c r="S634" s="114"/>
      <c r="T634" s="114"/>
      <c r="U634" s="114"/>
      <c r="V634" s="114"/>
      <c r="W634" s="114"/>
      <c r="X634" s="114"/>
      <c r="Y634" s="114"/>
      <c r="Z634" s="114"/>
      <c r="AA634" s="114"/>
      <c r="AB634" s="114"/>
      <c r="AC634" s="114"/>
      <c r="AD634" s="114"/>
      <c r="AE634" s="114"/>
    </row>
    <row r="635" spans="1:31" x14ac:dyDescent="0.25">
      <c r="A635" s="140" t="s">
        <v>229</v>
      </c>
      <c r="B635" s="140" t="s">
        <v>27</v>
      </c>
      <c r="C635" s="140" t="s">
        <v>28</v>
      </c>
      <c r="D635" s="149" t="s">
        <v>358</v>
      </c>
      <c r="E635" s="139" t="s">
        <v>736</v>
      </c>
      <c r="F635" s="105"/>
      <c r="G635" s="113"/>
      <c r="H635" s="114"/>
      <c r="I635" s="114"/>
      <c r="J635" s="114"/>
      <c r="K635" s="114"/>
      <c r="L635" s="114"/>
      <c r="M635" s="114"/>
      <c r="N635" s="114"/>
      <c r="O635" s="114"/>
      <c r="P635" s="114"/>
      <c r="Q635" s="114"/>
      <c r="R635" s="114"/>
      <c r="S635" s="114"/>
      <c r="T635" s="114"/>
      <c r="U635" s="114"/>
      <c r="V635" s="114"/>
      <c r="W635" s="114"/>
      <c r="X635" s="114"/>
      <c r="Y635" s="114"/>
      <c r="Z635" s="114"/>
      <c r="AA635" s="114"/>
      <c r="AB635" s="114"/>
      <c r="AC635" s="114"/>
      <c r="AD635" s="114"/>
      <c r="AE635" s="114"/>
    </row>
    <row r="636" spans="1:31" x14ac:dyDescent="0.25">
      <c r="A636" s="140" t="s">
        <v>229</v>
      </c>
      <c r="B636" s="140" t="s">
        <v>27</v>
      </c>
      <c r="C636" s="140" t="s">
        <v>28</v>
      </c>
      <c r="D636" s="149" t="s">
        <v>29</v>
      </c>
      <c r="E636" s="139" t="s">
        <v>30</v>
      </c>
      <c r="F636" s="105"/>
      <c r="G636" s="113"/>
      <c r="H636" s="114"/>
      <c r="I636" s="114"/>
      <c r="J636" s="114"/>
      <c r="K636" s="114"/>
      <c r="L636" s="114"/>
      <c r="M636" s="114"/>
      <c r="N636" s="114"/>
      <c r="O636" s="114"/>
      <c r="P636" s="114"/>
      <c r="Q636" s="114"/>
      <c r="R636" s="114"/>
      <c r="S636" s="114"/>
      <c r="T636" s="114"/>
      <c r="U636" s="114"/>
      <c r="V636" s="114"/>
      <c r="W636" s="114"/>
      <c r="X636" s="114"/>
      <c r="Y636" s="114"/>
      <c r="Z636" s="114"/>
      <c r="AA636" s="114"/>
      <c r="AB636" s="114"/>
      <c r="AC636" s="114"/>
      <c r="AD636" s="114"/>
      <c r="AE636" s="114"/>
    </row>
    <row r="637" spans="1:31" x14ac:dyDescent="0.25">
      <c r="A637" s="140" t="s">
        <v>229</v>
      </c>
      <c r="B637" s="140" t="s">
        <v>27</v>
      </c>
      <c r="C637" s="140" t="s">
        <v>28</v>
      </c>
      <c r="D637" s="149" t="s">
        <v>361</v>
      </c>
      <c r="E637" s="139" t="s">
        <v>737</v>
      </c>
      <c r="F637" s="105"/>
      <c r="G637" s="113"/>
      <c r="H637" s="114"/>
      <c r="I637" s="114"/>
      <c r="J637" s="114"/>
      <c r="K637" s="114"/>
      <c r="L637" s="114"/>
      <c r="M637" s="114"/>
      <c r="N637" s="114"/>
      <c r="O637" s="114"/>
      <c r="P637" s="114"/>
      <c r="Q637" s="114"/>
      <c r="R637" s="114"/>
      <c r="S637" s="114"/>
      <c r="T637" s="114"/>
      <c r="U637" s="114"/>
      <c r="V637" s="114"/>
      <c r="W637" s="114"/>
      <c r="X637" s="114"/>
      <c r="Y637" s="114"/>
      <c r="Z637" s="114"/>
      <c r="AA637" s="114"/>
      <c r="AB637" s="114"/>
      <c r="AC637" s="114"/>
      <c r="AD637" s="114"/>
      <c r="AE637" s="114"/>
    </row>
    <row r="638" spans="1:31" x14ac:dyDescent="0.25">
      <c r="A638" s="140" t="s">
        <v>229</v>
      </c>
      <c r="B638" s="140" t="s">
        <v>27</v>
      </c>
      <c r="C638" s="140" t="s">
        <v>28</v>
      </c>
      <c r="D638" s="149" t="s">
        <v>363</v>
      </c>
      <c r="E638" s="139" t="s">
        <v>738</v>
      </c>
      <c r="F638" s="105"/>
      <c r="G638" s="113"/>
      <c r="H638" s="114"/>
      <c r="I638" s="114"/>
      <c r="J638" s="114"/>
      <c r="K638" s="114"/>
      <c r="L638" s="114"/>
      <c r="M638" s="114"/>
      <c r="N638" s="114"/>
      <c r="O638" s="114"/>
      <c r="P638" s="114"/>
      <c r="Q638" s="114"/>
      <c r="R638" s="114"/>
      <c r="S638" s="114"/>
      <c r="T638" s="114"/>
      <c r="U638" s="114"/>
      <c r="V638" s="114"/>
      <c r="W638" s="114"/>
      <c r="X638" s="114"/>
      <c r="Y638" s="114"/>
      <c r="Z638" s="114"/>
      <c r="AA638" s="114"/>
      <c r="AB638" s="114"/>
      <c r="AC638" s="114"/>
      <c r="AD638" s="114"/>
      <c r="AE638" s="114"/>
    </row>
    <row r="639" spans="1:31" x14ac:dyDescent="0.25">
      <c r="A639" s="140" t="s">
        <v>229</v>
      </c>
      <c r="B639" s="140" t="s">
        <v>27</v>
      </c>
      <c r="C639" s="140" t="s">
        <v>28</v>
      </c>
      <c r="D639" s="149" t="s">
        <v>816</v>
      </c>
      <c r="E639" s="139" t="s">
        <v>739</v>
      </c>
      <c r="F639" s="105"/>
      <c r="G639" s="113"/>
      <c r="H639" s="114"/>
      <c r="I639" s="114"/>
      <c r="J639" s="114"/>
      <c r="K639" s="114"/>
      <c r="L639" s="114"/>
      <c r="M639" s="114"/>
      <c r="N639" s="114"/>
      <c r="O639" s="114"/>
      <c r="P639" s="114"/>
      <c r="Q639" s="114"/>
      <c r="R639" s="114"/>
      <c r="S639" s="114"/>
      <c r="T639" s="114"/>
      <c r="U639" s="114"/>
      <c r="V639" s="114"/>
      <c r="W639" s="114"/>
      <c r="X639" s="114"/>
      <c r="Y639" s="114"/>
      <c r="Z639" s="114"/>
      <c r="AA639" s="114"/>
      <c r="AB639" s="114"/>
      <c r="AC639" s="114"/>
      <c r="AD639" s="114"/>
      <c r="AE639" s="114"/>
    </row>
    <row r="640" spans="1:31" x14ac:dyDescent="0.25">
      <c r="A640" s="140" t="s">
        <v>229</v>
      </c>
      <c r="B640" s="140" t="s">
        <v>27</v>
      </c>
      <c r="C640" s="140" t="s">
        <v>28</v>
      </c>
      <c r="D640" s="149" t="s">
        <v>824</v>
      </c>
      <c r="E640" s="139" t="s">
        <v>740</v>
      </c>
      <c r="F640" s="105"/>
      <c r="G640" s="113"/>
      <c r="H640" s="114"/>
      <c r="I640" s="114"/>
      <c r="J640" s="114"/>
      <c r="K640" s="114"/>
      <c r="L640" s="114"/>
      <c r="M640" s="114"/>
      <c r="N640" s="114"/>
      <c r="O640" s="114"/>
      <c r="P640" s="114"/>
      <c r="Q640" s="114"/>
      <c r="R640" s="114"/>
      <c r="S640" s="114"/>
      <c r="T640" s="114"/>
      <c r="U640" s="114"/>
      <c r="V640" s="114"/>
      <c r="W640" s="114"/>
      <c r="X640" s="114"/>
      <c r="Y640" s="114"/>
      <c r="Z640" s="114"/>
      <c r="AA640" s="114"/>
      <c r="AB640" s="114"/>
      <c r="AC640" s="114"/>
      <c r="AD640" s="114"/>
      <c r="AE640" s="114"/>
    </row>
    <row r="641" spans="1:31" x14ac:dyDescent="0.25">
      <c r="A641" s="140" t="s">
        <v>229</v>
      </c>
      <c r="B641" s="140" t="s">
        <v>27</v>
      </c>
      <c r="C641" s="140" t="s">
        <v>28</v>
      </c>
      <c r="D641" s="149" t="s">
        <v>367</v>
      </c>
      <c r="E641" s="139" t="s">
        <v>741</v>
      </c>
      <c r="F641" s="105"/>
      <c r="G641" s="113"/>
      <c r="H641" s="114"/>
      <c r="I641" s="114"/>
      <c r="J641" s="114"/>
      <c r="K641" s="114"/>
      <c r="L641" s="114"/>
      <c r="M641" s="114"/>
      <c r="N641" s="114"/>
      <c r="O641" s="114"/>
      <c r="P641" s="114"/>
      <c r="Q641" s="114"/>
      <c r="R641" s="114"/>
      <c r="S641" s="114"/>
      <c r="T641" s="114"/>
      <c r="U641" s="114"/>
      <c r="V641" s="114"/>
      <c r="W641" s="114"/>
      <c r="X641" s="114"/>
      <c r="Y641" s="114"/>
      <c r="Z641" s="114"/>
      <c r="AA641" s="114"/>
      <c r="AB641" s="114"/>
      <c r="AC641" s="114"/>
      <c r="AD641" s="114"/>
      <c r="AE641" s="114"/>
    </row>
    <row r="642" spans="1:31" x14ac:dyDescent="0.25">
      <c r="A642" s="140" t="s">
        <v>229</v>
      </c>
      <c r="B642" s="140" t="s">
        <v>27</v>
      </c>
      <c r="C642" s="140" t="s">
        <v>28</v>
      </c>
      <c r="D642" s="149" t="s">
        <v>232</v>
      </c>
      <c r="E642" s="139" t="s">
        <v>233</v>
      </c>
      <c r="F642" s="105"/>
      <c r="G642" s="113"/>
      <c r="H642" s="114"/>
      <c r="I642" s="114"/>
      <c r="J642" s="114"/>
      <c r="K642" s="114"/>
      <c r="L642" s="114"/>
      <c r="M642" s="114"/>
      <c r="N642" s="114"/>
      <c r="O642" s="114"/>
      <c r="P642" s="114"/>
      <c r="Q642" s="114"/>
      <c r="R642" s="114"/>
      <c r="S642" s="114"/>
      <c r="T642" s="114"/>
      <c r="U642" s="114"/>
      <c r="V642" s="114"/>
      <c r="W642" s="114"/>
      <c r="X642" s="114"/>
      <c r="Y642" s="114"/>
      <c r="Z642" s="114"/>
      <c r="AA642" s="114"/>
      <c r="AB642" s="114"/>
      <c r="AC642" s="114"/>
      <c r="AD642" s="114"/>
      <c r="AE642" s="114"/>
    </row>
    <row r="643" spans="1:31" x14ac:dyDescent="0.25">
      <c r="A643" s="140" t="s">
        <v>229</v>
      </c>
      <c r="B643" s="140" t="s">
        <v>27</v>
      </c>
      <c r="C643" s="140" t="s">
        <v>28</v>
      </c>
      <c r="D643" s="149" t="s">
        <v>818</v>
      </c>
      <c r="E643" s="139" t="s">
        <v>742</v>
      </c>
      <c r="F643" s="105"/>
      <c r="G643" s="113"/>
      <c r="H643" s="114"/>
      <c r="I643" s="114"/>
      <c r="J643" s="114"/>
      <c r="K643" s="114"/>
      <c r="L643" s="114"/>
      <c r="M643" s="114"/>
      <c r="N643" s="114"/>
      <c r="O643" s="114"/>
      <c r="P643" s="114"/>
      <c r="Q643" s="114"/>
      <c r="R643" s="114"/>
      <c r="S643" s="114"/>
      <c r="T643" s="114"/>
      <c r="U643" s="114"/>
      <c r="V643" s="114"/>
      <c r="W643" s="114"/>
      <c r="X643" s="114"/>
      <c r="Y643" s="114"/>
      <c r="Z643" s="114"/>
      <c r="AA643" s="114"/>
      <c r="AB643" s="114"/>
      <c r="AC643" s="114"/>
      <c r="AD643" s="114"/>
      <c r="AE643" s="114"/>
    </row>
    <row r="644" spans="1:31" x14ac:dyDescent="0.25">
      <c r="A644" s="140" t="s">
        <v>229</v>
      </c>
      <c r="B644" s="140" t="s">
        <v>27</v>
      </c>
      <c r="C644" s="140" t="s">
        <v>28</v>
      </c>
      <c r="D644" s="149" t="s">
        <v>819</v>
      </c>
      <c r="E644" s="139" t="s">
        <v>743</v>
      </c>
      <c r="F644" s="105"/>
      <c r="G644" s="113"/>
      <c r="H644" s="114"/>
      <c r="I644" s="114"/>
      <c r="J644" s="114"/>
      <c r="K644" s="114"/>
      <c r="L644" s="114"/>
      <c r="M644" s="114"/>
      <c r="N644" s="114"/>
      <c r="O644" s="114"/>
      <c r="P644" s="114"/>
      <c r="Q644" s="114"/>
      <c r="R644" s="114"/>
      <c r="S644" s="114"/>
      <c r="T644" s="114"/>
      <c r="U644" s="114"/>
      <c r="V644" s="114"/>
      <c r="W644" s="114"/>
      <c r="X644" s="114"/>
      <c r="Y644" s="114"/>
      <c r="Z644" s="114"/>
      <c r="AA644" s="114"/>
      <c r="AB644" s="114"/>
      <c r="AC644" s="114"/>
      <c r="AD644" s="114"/>
      <c r="AE644" s="114"/>
    </row>
    <row r="645" spans="1:31" x14ac:dyDescent="0.25">
      <c r="A645" s="140" t="s">
        <v>229</v>
      </c>
      <c r="B645" s="140" t="s">
        <v>27</v>
      </c>
      <c r="C645" s="140" t="s">
        <v>28</v>
      </c>
      <c r="D645" s="149" t="s">
        <v>820</v>
      </c>
      <c r="E645" s="139" t="s">
        <v>744</v>
      </c>
      <c r="F645" s="105"/>
      <c r="G645" s="113"/>
      <c r="H645" s="114"/>
      <c r="I645" s="114"/>
      <c r="J645" s="114"/>
      <c r="K645" s="114"/>
      <c r="L645" s="114"/>
      <c r="M645" s="114"/>
      <c r="N645" s="114"/>
      <c r="O645" s="114"/>
      <c r="P645" s="114"/>
      <c r="Q645" s="114"/>
      <c r="R645" s="114"/>
      <c r="S645" s="114"/>
      <c r="T645" s="114"/>
      <c r="U645" s="114"/>
      <c r="V645" s="114"/>
      <c r="W645" s="114"/>
      <c r="X645" s="114"/>
      <c r="Y645" s="114"/>
      <c r="Z645" s="114"/>
      <c r="AA645" s="114"/>
      <c r="AB645" s="114"/>
      <c r="AC645" s="114"/>
      <c r="AD645" s="114"/>
      <c r="AE645" s="114"/>
    </row>
    <row r="646" spans="1:31" x14ac:dyDescent="0.25">
      <c r="A646" s="140" t="s">
        <v>229</v>
      </c>
      <c r="B646" s="140" t="s">
        <v>27</v>
      </c>
      <c r="C646" s="140" t="s">
        <v>28</v>
      </c>
      <c r="D646" s="149" t="s">
        <v>378</v>
      </c>
      <c r="E646" s="139" t="s">
        <v>745</v>
      </c>
      <c r="F646" s="105"/>
      <c r="G646" s="113"/>
      <c r="H646" s="114"/>
      <c r="I646" s="114"/>
      <c r="J646" s="114"/>
      <c r="K646" s="114"/>
      <c r="L646" s="114"/>
      <c r="M646" s="114"/>
      <c r="N646" s="114"/>
      <c r="O646" s="114"/>
      <c r="P646" s="114"/>
      <c r="Q646" s="114"/>
      <c r="R646" s="114"/>
      <c r="S646" s="114"/>
      <c r="T646" s="114"/>
      <c r="U646" s="114"/>
      <c r="V646" s="114"/>
      <c r="W646" s="114"/>
      <c r="X646" s="114"/>
      <c r="Y646" s="114"/>
      <c r="Z646" s="114"/>
      <c r="AA646" s="114"/>
      <c r="AB646" s="114"/>
      <c r="AC646" s="114"/>
      <c r="AD646" s="114"/>
      <c r="AE646" s="114"/>
    </row>
    <row r="647" spans="1:31" x14ac:dyDescent="0.25">
      <c r="A647" s="140" t="s">
        <v>229</v>
      </c>
      <c r="B647" s="140" t="s">
        <v>27</v>
      </c>
      <c r="C647" s="140" t="s">
        <v>28</v>
      </c>
      <c r="D647" s="149" t="s">
        <v>381</v>
      </c>
      <c r="E647" s="139" t="s">
        <v>97</v>
      </c>
      <c r="F647" s="105"/>
      <c r="G647" s="113"/>
      <c r="H647" s="114"/>
      <c r="I647" s="114"/>
      <c r="J647" s="114"/>
      <c r="K647" s="114"/>
      <c r="L647" s="114"/>
      <c r="M647" s="114"/>
      <c r="N647" s="114"/>
      <c r="O647" s="114"/>
      <c r="P647" s="114"/>
      <c r="Q647" s="114"/>
      <c r="R647" s="114"/>
      <c r="S647" s="114"/>
      <c r="T647" s="114"/>
      <c r="U647" s="114"/>
      <c r="V647" s="114"/>
      <c r="W647" s="114"/>
      <c r="X647" s="114"/>
      <c r="Y647" s="114"/>
      <c r="Z647" s="114"/>
      <c r="AA647" s="114"/>
      <c r="AB647" s="114"/>
      <c r="AC647" s="114"/>
      <c r="AD647" s="114"/>
      <c r="AE647" s="114"/>
    </row>
    <row r="648" spans="1:31" x14ac:dyDescent="0.25">
      <c r="A648" s="140" t="s">
        <v>229</v>
      </c>
      <c r="B648" s="140" t="s">
        <v>27</v>
      </c>
      <c r="C648" s="140" t="s">
        <v>28</v>
      </c>
      <c r="D648" s="149" t="s">
        <v>109</v>
      </c>
      <c r="E648" s="139" t="s">
        <v>110</v>
      </c>
      <c r="F648" s="105"/>
      <c r="G648" s="113"/>
      <c r="H648" s="114"/>
      <c r="I648" s="114"/>
      <c r="J648" s="114"/>
      <c r="K648" s="114"/>
      <c r="L648" s="114"/>
      <c r="M648" s="114"/>
      <c r="N648" s="114"/>
      <c r="O648" s="114"/>
      <c r="P648" s="114"/>
      <c r="Q648" s="114"/>
      <c r="R648" s="114"/>
      <c r="S648" s="114"/>
      <c r="T648" s="114"/>
      <c r="U648" s="114"/>
      <c r="V648" s="114"/>
      <c r="W648" s="114"/>
      <c r="X648" s="114"/>
      <c r="Y648" s="114"/>
      <c r="Z648" s="114"/>
      <c r="AA648" s="114"/>
      <c r="AB648" s="114"/>
      <c r="AC648" s="114"/>
      <c r="AD648" s="114"/>
      <c r="AE648" s="114"/>
    </row>
    <row r="649" spans="1:31" x14ac:dyDescent="0.25">
      <c r="A649" s="140" t="s">
        <v>229</v>
      </c>
      <c r="B649" s="140" t="s">
        <v>27</v>
      </c>
      <c r="C649" s="140" t="s">
        <v>28</v>
      </c>
      <c r="D649" s="149" t="s">
        <v>386</v>
      </c>
      <c r="E649" s="139" t="s">
        <v>746</v>
      </c>
      <c r="F649" s="105"/>
      <c r="G649" s="113"/>
      <c r="H649" s="114"/>
      <c r="I649" s="114"/>
      <c r="J649" s="114"/>
      <c r="K649" s="114"/>
      <c r="L649" s="114"/>
      <c r="M649" s="114"/>
      <c r="N649" s="114"/>
      <c r="O649" s="114"/>
      <c r="P649" s="114"/>
      <c r="Q649" s="114"/>
      <c r="R649" s="114"/>
      <c r="S649" s="114"/>
      <c r="T649" s="114"/>
      <c r="U649" s="114"/>
      <c r="V649" s="114"/>
      <c r="W649" s="114"/>
      <c r="X649" s="114"/>
      <c r="Y649" s="114"/>
      <c r="Z649" s="114"/>
      <c r="AA649" s="114"/>
      <c r="AB649" s="114"/>
      <c r="AC649" s="114"/>
      <c r="AD649" s="114"/>
      <c r="AE649" s="114"/>
    </row>
    <row r="650" spans="1:31" x14ac:dyDescent="0.25">
      <c r="A650" s="140" t="s">
        <v>229</v>
      </c>
      <c r="B650" s="140" t="s">
        <v>27</v>
      </c>
      <c r="C650" s="140" t="s">
        <v>28</v>
      </c>
      <c r="D650" s="149" t="s">
        <v>821</v>
      </c>
      <c r="E650" s="139" t="s">
        <v>747</v>
      </c>
      <c r="F650" s="105"/>
      <c r="G650" s="113"/>
      <c r="H650" s="114"/>
      <c r="I650" s="114"/>
      <c r="J650" s="114"/>
      <c r="K650" s="114"/>
      <c r="L650" s="114"/>
      <c r="M650" s="114"/>
      <c r="N650" s="114"/>
      <c r="O650" s="114"/>
      <c r="P650" s="114"/>
      <c r="Q650" s="114"/>
      <c r="R650" s="114"/>
      <c r="S650" s="114"/>
      <c r="T650" s="114"/>
      <c r="U650" s="114"/>
      <c r="V650" s="114"/>
      <c r="W650" s="114"/>
      <c r="X650" s="114"/>
      <c r="Y650" s="114"/>
      <c r="Z650" s="114"/>
      <c r="AA650" s="114"/>
      <c r="AB650" s="114"/>
      <c r="AC650" s="114"/>
      <c r="AD650" s="114"/>
      <c r="AE650" s="114"/>
    </row>
    <row r="651" spans="1:31" x14ac:dyDescent="0.25">
      <c r="A651" s="140" t="s">
        <v>229</v>
      </c>
      <c r="B651" s="140" t="s">
        <v>27</v>
      </c>
      <c r="C651" s="140" t="s">
        <v>28</v>
      </c>
      <c r="D651" s="149" t="s">
        <v>391</v>
      </c>
      <c r="E651" s="139" t="s">
        <v>748</v>
      </c>
      <c r="F651" s="105"/>
      <c r="G651" s="113"/>
      <c r="H651" s="114"/>
      <c r="I651" s="114"/>
      <c r="J651" s="114"/>
      <c r="K651" s="114"/>
      <c r="L651" s="114"/>
      <c r="M651" s="114"/>
      <c r="N651" s="114"/>
      <c r="O651" s="114"/>
      <c r="P651" s="114"/>
      <c r="Q651" s="114"/>
      <c r="R651" s="114"/>
      <c r="S651" s="114"/>
      <c r="T651" s="114"/>
      <c r="U651" s="114"/>
      <c r="V651" s="114"/>
      <c r="W651" s="114"/>
      <c r="X651" s="114"/>
      <c r="Y651" s="114"/>
      <c r="Z651" s="114"/>
      <c r="AA651" s="114"/>
      <c r="AB651" s="114"/>
      <c r="AC651" s="114"/>
      <c r="AD651" s="114"/>
      <c r="AE651" s="114"/>
    </row>
    <row r="652" spans="1:31" x14ac:dyDescent="0.25">
      <c r="A652" s="140" t="s">
        <v>229</v>
      </c>
      <c r="B652" s="140" t="s">
        <v>27</v>
      </c>
      <c r="C652" s="140" t="s">
        <v>28</v>
      </c>
      <c r="D652" s="149" t="s">
        <v>822</v>
      </c>
      <c r="E652" s="139" t="s">
        <v>749</v>
      </c>
      <c r="F652" s="105"/>
      <c r="G652" s="113"/>
      <c r="H652" s="114"/>
      <c r="I652" s="114"/>
      <c r="J652" s="114"/>
      <c r="K652" s="114"/>
      <c r="L652" s="114"/>
      <c r="M652" s="114"/>
      <c r="N652" s="114"/>
      <c r="O652" s="114"/>
      <c r="P652" s="114"/>
      <c r="Q652" s="114"/>
      <c r="R652" s="114"/>
      <c r="S652" s="114"/>
      <c r="T652" s="114"/>
      <c r="U652" s="114"/>
      <c r="V652" s="114"/>
      <c r="W652" s="114"/>
      <c r="X652" s="114"/>
      <c r="Y652" s="114"/>
      <c r="Z652" s="114"/>
      <c r="AA652" s="114"/>
      <c r="AB652" s="114"/>
      <c r="AC652" s="114"/>
      <c r="AD652" s="114"/>
      <c r="AE652" s="114"/>
    </row>
    <row r="653" spans="1:31" x14ac:dyDescent="0.25">
      <c r="A653" s="140" t="s">
        <v>229</v>
      </c>
      <c r="B653" s="140" t="s">
        <v>27</v>
      </c>
      <c r="C653" s="140" t="s">
        <v>28</v>
      </c>
      <c r="D653" s="149" t="s">
        <v>28</v>
      </c>
      <c r="E653" s="139" t="s">
        <v>130</v>
      </c>
      <c r="F653" s="105"/>
      <c r="G653" s="113"/>
      <c r="H653" s="114"/>
      <c r="I653" s="114"/>
      <c r="J653" s="114"/>
      <c r="K653" s="114"/>
      <c r="L653" s="114"/>
      <c r="M653" s="114"/>
      <c r="N653" s="114"/>
      <c r="O653" s="114"/>
      <c r="P653" s="114"/>
      <c r="Q653" s="114"/>
      <c r="R653" s="114"/>
      <c r="S653" s="114"/>
      <c r="T653" s="114"/>
      <c r="U653" s="114"/>
      <c r="V653" s="114"/>
      <c r="W653" s="114"/>
      <c r="X653" s="114"/>
      <c r="Y653" s="114"/>
      <c r="Z653" s="114"/>
      <c r="AA653" s="114"/>
      <c r="AB653" s="114"/>
      <c r="AC653" s="114"/>
      <c r="AD653" s="114"/>
      <c r="AE653" s="114"/>
    </row>
    <row r="654" spans="1:31" x14ac:dyDescent="0.25">
      <c r="A654" s="140" t="s">
        <v>229</v>
      </c>
      <c r="B654" s="140" t="s">
        <v>27</v>
      </c>
      <c r="C654" s="140" t="s">
        <v>28</v>
      </c>
      <c r="D654" s="149" t="s">
        <v>397</v>
      </c>
      <c r="E654" s="139" t="s">
        <v>750</v>
      </c>
      <c r="F654" s="105"/>
      <c r="G654" s="113"/>
      <c r="H654" s="114"/>
      <c r="I654" s="114"/>
      <c r="J654" s="114"/>
      <c r="K654" s="114"/>
      <c r="L654" s="114"/>
      <c r="M654" s="114"/>
      <c r="N654" s="114"/>
      <c r="O654" s="114"/>
      <c r="P654" s="114"/>
      <c r="Q654" s="114"/>
      <c r="R654" s="114"/>
      <c r="S654" s="114"/>
      <c r="T654" s="114"/>
      <c r="U654" s="114"/>
      <c r="V654" s="114"/>
      <c r="W654" s="114"/>
      <c r="X654" s="114"/>
      <c r="Y654" s="114"/>
      <c r="Z654" s="114"/>
      <c r="AA654" s="114"/>
      <c r="AB654" s="114"/>
      <c r="AC654" s="114"/>
      <c r="AD654" s="114"/>
      <c r="AE654" s="114"/>
    </row>
    <row r="655" spans="1:31" x14ac:dyDescent="0.25">
      <c r="A655" s="140" t="s">
        <v>229</v>
      </c>
      <c r="B655" s="140" t="s">
        <v>27</v>
      </c>
      <c r="C655" s="140" t="s">
        <v>28</v>
      </c>
      <c r="D655" s="149" t="s">
        <v>400</v>
      </c>
      <c r="E655" s="139" t="s">
        <v>751</v>
      </c>
      <c r="F655" s="105"/>
      <c r="G655" s="113"/>
      <c r="H655" s="114"/>
      <c r="I655" s="114"/>
      <c r="J655" s="114"/>
      <c r="K655" s="114"/>
      <c r="L655" s="114"/>
      <c r="M655" s="114"/>
      <c r="N655" s="114"/>
      <c r="O655" s="114"/>
      <c r="P655" s="114"/>
      <c r="Q655" s="114"/>
      <c r="R655" s="114"/>
      <c r="S655" s="114"/>
      <c r="T655" s="114"/>
      <c r="U655" s="114"/>
      <c r="V655" s="114"/>
      <c r="W655" s="114"/>
      <c r="X655" s="114"/>
      <c r="Y655" s="114"/>
      <c r="Z655" s="114"/>
      <c r="AA655" s="114"/>
      <c r="AB655" s="114"/>
      <c r="AC655" s="114"/>
      <c r="AD655" s="114"/>
      <c r="AE655" s="114"/>
    </row>
    <row r="656" spans="1:31" x14ac:dyDescent="0.25">
      <c r="A656" s="140" t="s">
        <v>229</v>
      </c>
      <c r="B656" s="140" t="s">
        <v>27</v>
      </c>
      <c r="C656" s="140" t="s">
        <v>28</v>
      </c>
      <c r="D656" s="149" t="s">
        <v>142</v>
      </c>
      <c r="E656" s="139" t="s">
        <v>143</v>
      </c>
      <c r="F656" s="105"/>
      <c r="G656" s="113"/>
      <c r="H656" s="114"/>
      <c r="I656" s="114"/>
      <c r="J656" s="114"/>
      <c r="K656" s="114"/>
      <c r="L656" s="114"/>
      <c r="M656" s="114"/>
      <c r="N656" s="114"/>
      <c r="O656" s="114"/>
      <c r="P656" s="114"/>
      <c r="Q656" s="114"/>
      <c r="R656" s="114"/>
      <c r="S656" s="114"/>
      <c r="T656" s="114"/>
      <c r="U656" s="114"/>
      <c r="V656" s="114"/>
      <c r="W656" s="114"/>
      <c r="X656" s="114"/>
      <c r="Y656" s="114"/>
      <c r="Z656" s="114"/>
      <c r="AA656" s="114"/>
      <c r="AB656" s="114"/>
      <c r="AC656" s="114"/>
      <c r="AD656" s="114"/>
      <c r="AE656" s="114"/>
    </row>
    <row r="657" spans="1:31" x14ac:dyDescent="0.25">
      <c r="A657" s="140" t="s">
        <v>229</v>
      </c>
      <c r="B657" s="140" t="s">
        <v>27</v>
      </c>
      <c r="C657" s="140" t="s">
        <v>28</v>
      </c>
      <c r="D657" s="149" t="s">
        <v>823</v>
      </c>
      <c r="E657" s="139" t="s">
        <v>752</v>
      </c>
      <c r="F657" s="105"/>
      <c r="G657" s="113"/>
      <c r="H657" s="114"/>
      <c r="I657" s="114"/>
      <c r="J657" s="114"/>
      <c r="K657" s="114"/>
      <c r="L657" s="114"/>
      <c r="M657" s="114"/>
      <c r="N657" s="114"/>
      <c r="O657" s="114"/>
      <c r="P657" s="114"/>
      <c r="Q657" s="114"/>
      <c r="R657" s="114"/>
      <c r="S657" s="114"/>
      <c r="T657" s="114"/>
      <c r="U657" s="114"/>
      <c r="V657" s="114"/>
      <c r="W657" s="114"/>
      <c r="X657" s="114"/>
      <c r="Y657" s="114"/>
      <c r="Z657" s="114"/>
      <c r="AA657" s="114"/>
      <c r="AB657" s="114"/>
      <c r="AC657" s="114"/>
      <c r="AD657" s="114"/>
      <c r="AE657" s="114"/>
    </row>
    <row r="658" spans="1:31" x14ac:dyDescent="0.25">
      <c r="A658" s="109" t="s">
        <v>234</v>
      </c>
      <c r="B658" s="110" t="s">
        <v>155</v>
      </c>
      <c r="C658" s="111" t="s">
        <v>66</v>
      </c>
      <c r="D658" s="112" t="s">
        <v>802</v>
      </c>
      <c r="E658" s="105" t="s">
        <v>761</v>
      </c>
      <c r="F658" s="105"/>
      <c r="G658" s="113"/>
      <c r="H658" s="114"/>
      <c r="I658" s="114"/>
      <c r="J658" s="114"/>
      <c r="K658" s="114"/>
      <c r="L658" s="114"/>
      <c r="M658" s="114"/>
      <c r="N658" s="114"/>
      <c r="O658" s="114"/>
      <c r="P658" s="114"/>
      <c r="Q658" s="114"/>
      <c r="R658" s="114"/>
      <c r="S658" s="59"/>
      <c r="T658" s="114"/>
      <c r="U658" s="114"/>
      <c r="V658" s="114"/>
      <c r="W658" s="114"/>
      <c r="X658" s="114"/>
      <c r="Y658" s="114"/>
      <c r="Z658" s="114"/>
      <c r="AA658" s="114"/>
      <c r="AB658" s="114"/>
      <c r="AC658" s="114"/>
      <c r="AD658" s="114"/>
      <c r="AE658" s="114"/>
    </row>
    <row r="659" spans="1:31" x14ac:dyDescent="0.25">
      <c r="A659" s="109" t="s">
        <v>234</v>
      </c>
      <c r="B659" s="110" t="s">
        <v>155</v>
      </c>
      <c r="C659" s="111" t="s">
        <v>66</v>
      </c>
      <c r="D659" s="112" t="s">
        <v>802</v>
      </c>
      <c r="E659" s="105" t="s">
        <v>763</v>
      </c>
      <c r="F659" s="105"/>
      <c r="G659" s="113"/>
      <c r="H659" s="114"/>
      <c r="I659" s="114"/>
      <c r="J659" s="114"/>
      <c r="K659" s="114"/>
      <c r="L659" s="114"/>
      <c r="M659" s="114"/>
      <c r="N659" s="114"/>
      <c r="O659" s="114"/>
      <c r="P659" s="114"/>
      <c r="Q659" s="114"/>
      <c r="R659" s="114"/>
      <c r="S659" s="59"/>
      <c r="T659" s="114"/>
      <c r="U659" s="114"/>
      <c r="V659" s="114"/>
      <c r="W659" s="114"/>
      <c r="X659" s="114"/>
      <c r="Y659" s="114"/>
      <c r="Z659" s="114"/>
      <c r="AA659" s="114"/>
      <c r="AB659" s="114"/>
      <c r="AC659" s="114"/>
      <c r="AD659" s="114"/>
      <c r="AE659" s="114"/>
    </row>
    <row r="660" spans="1:31" x14ac:dyDescent="0.25">
      <c r="A660" s="109" t="s">
        <v>234</v>
      </c>
      <c r="B660" s="110" t="s">
        <v>155</v>
      </c>
      <c r="C660" s="111" t="s">
        <v>66</v>
      </c>
      <c r="D660" s="115" t="s">
        <v>186</v>
      </c>
      <c r="E660" s="105" t="s">
        <v>187</v>
      </c>
      <c r="F660" s="105"/>
      <c r="G660" s="113"/>
      <c r="H660" s="114"/>
      <c r="I660" s="114"/>
      <c r="J660" s="114"/>
      <c r="K660" s="114"/>
      <c r="L660" s="114"/>
      <c r="M660" s="114"/>
      <c r="N660" s="114"/>
      <c r="O660" s="114"/>
      <c r="P660" s="114"/>
      <c r="Q660" s="114"/>
      <c r="R660" s="114"/>
      <c r="S660" s="59"/>
      <c r="T660" s="114"/>
      <c r="U660" s="114"/>
      <c r="V660" s="114"/>
      <c r="W660" s="114"/>
      <c r="X660" s="114"/>
      <c r="Y660" s="114"/>
      <c r="Z660" s="114"/>
      <c r="AA660" s="114"/>
      <c r="AB660" s="114"/>
      <c r="AC660" s="114"/>
      <c r="AD660" s="114"/>
      <c r="AE660" s="114"/>
    </row>
    <row r="661" spans="1:31" x14ac:dyDescent="0.25">
      <c r="A661" s="109" t="s">
        <v>234</v>
      </c>
      <c r="B661" s="110" t="s">
        <v>155</v>
      </c>
      <c r="C661" s="111" t="s">
        <v>66</v>
      </c>
      <c r="D661" s="112" t="s">
        <v>159</v>
      </c>
      <c r="E661" s="105" t="s">
        <v>160</v>
      </c>
      <c r="F661" s="105"/>
      <c r="G661" s="113"/>
      <c r="H661" s="114"/>
      <c r="I661" s="114"/>
      <c r="J661" s="114"/>
      <c r="K661" s="114"/>
      <c r="L661" s="114"/>
      <c r="M661" s="114"/>
      <c r="N661" s="114"/>
      <c r="O661" s="114"/>
      <c r="P661" s="114"/>
      <c r="Q661" s="114"/>
      <c r="R661" s="114"/>
      <c r="S661" s="59"/>
      <c r="T661" s="114"/>
      <c r="U661" s="114"/>
      <c r="V661" s="114"/>
      <c r="W661" s="114"/>
      <c r="X661" s="114"/>
      <c r="Y661" s="114"/>
      <c r="Z661" s="114"/>
      <c r="AA661" s="114"/>
      <c r="AB661" s="114"/>
      <c r="AC661" s="114"/>
      <c r="AD661" s="114"/>
      <c r="AE661" s="114"/>
    </row>
    <row r="662" spans="1:31" x14ac:dyDescent="0.25">
      <c r="A662" s="109" t="s">
        <v>234</v>
      </c>
      <c r="B662" s="110" t="s">
        <v>155</v>
      </c>
      <c r="C662" s="111" t="s">
        <v>66</v>
      </c>
      <c r="D662" s="112" t="s">
        <v>188</v>
      </c>
      <c r="E662" s="105" t="s">
        <v>189</v>
      </c>
      <c r="F662" s="105"/>
      <c r="G662" s="113"/>
      <c r="H662" s="114"/>
      <c r="I662" s="114"/>
      <c r="J662" s="114"/>
      <c r="K662" s="114"/>
      <c r="L662" s="114"/>
      <c r="M662" s="114"/>
      <c r="N662" s="114"/>
      <c r="O662" s="114"/>
      <c r="P662" s="114"/>
      <c r="Q662" s="114"/>
      <c r="R662" s="114"/>
      <c r="S662" s="59"/>
      <c r="T662" s="114"/>
      <c r="U662" s="114"/>
      <c r="V662" s="114"/>
      <c r="W662" s="114"/>
      <c r="X662" s="114"/>
      <c r="Y662" s="114"/>
      <c r="Z662" s="114"/>
      <c r="AA662" s="114"/>
      <c r="AB662" s="114"/>
      <c r="AC662" s="114"/>
      <c r="AD662" s="114"/>
      <c r="AE662" s="114"/>
    </row>
    <row r="663" spans="1:31" x14ac:dyDescent="0.25">
      <c r="A663" s="109" t="s">
        <v>234</v>
      </c>
      <c r="B663" s="110" t="s">
        <v>155</v>
      </c>
      <c r="C663" s="111" t="s">
        <v>66</v>
      </c>
      <c r="D663" s="112" t="s">
        <v>190</v>
      </c>
      <c r="E663" s="105" t="s">
        <v>191</v>
      </c>
      <c r="F663" s="105"/>
      <c r="G663" s="113"/>
      <c r="H663" s="114"/>
      <c r="I663" s="114"/>
      <c r="J663" s="114"/>
      <c r="K663" s="114"/>
      <c r="L663" s="114"/>
      <c r="M663" s="114"/>
      <c r="N663" s="114"/>
      <c r="O663" s="114"/>
      <c r="P663" s="114"/>
      <c r="Q663" s="114"/>
      <c r="R663" s="114"/>
      <c r="S663" s="59"/>
      <c r="T663" s="114"/>
      <c r="U663" s="114"/>
      <c r="V663" s="114"/>
      <c r="W663" s="114"/>
      <c r="X663" s="114"/>
      <c r="Y663" s="114"/>
      <c r="Z663" s="114"/>
      <c r="AA663" s="114"/>
      <c r="AB663" s="114"/>
      <c r="AC663" s="114"/>
      <c r="AD663" s="114"/>
      <c r="AE663" s="114"/>
    </row>
    <row r="664" spans="1:31" x14ac:dyDescent="0.25">
      <c r="A664" s="109" t="s">
        <v>234</v>
      </c>
      <c r="B664" s="110" t="s">
        <v>155</v>
      </c>
      <c r="C664" s="111" t="s">
        <v>66</v>
      </c>
      <c r="D664" s="112" t="s">
        <v>192</v>
      </c>
      <c r="E664" s="105" t="s">
        <v>193</v>
      </c>
      <c r="F664" s="105"/>
      <c r="G664" s="113"/>
      <c r="H664" s="114"/>
      <c r="I664" s="114"/>
      <c r="J664" s="114"/>
      <c r="K664" s="114"/>
      <c r="L664" s="114"/>
      <c r="M664" s="114"/>
      <c r="N664" s="114"/>
      <c r="O664" s="114"/>
      <c r="P664" s="114"/>
      <c r="Q664" s="114"/>
      <c r="R664" s="114"/>
      <c r="S664" s="59"/>
      <c r="T664" s="114"/>
      <c r="U664" s="114"/>
      <c r="V664" s="114"/>
      <c r="W664" s="114"/>
      <c r="X664" s="114"/>
      <c r="Y664" s="114"/>
      <c r="Z664" s="114"/>
      <c r="AA664" s="114"/>
      <c r="AB664" s="114"/>
      <c r="AC664" s="114"/>
      <c r="AD664" s="114"/>
      <c r="AE664" s="114"/>
    </row>
    <row r="665" spans="1:31" x14ac:dyDescent="0.25">
      <c r="A665" s="109" t="s">
        <v>234</v>
      </c>
      <c r="B665" s="110" t="s">
        <v>155</v>
      </c>
      <c r="C665" s="111" t="s">
        <v>66</v>
      </c>
      <c r="D665" s="112" t="s">
        <v>194</v>
      </c>
      <c r="E665" s="105" t="s">
        <v>195</v>
      </c>
      <c r="F665" s="105"/>
      <c r="G665" s="113"/>
      <c r="H665" s="114"/>
      <c r="I665" s="114"/>
      <c r="J665" s="114"/>
      <c r="K665" s="114"/>
      <c r="L665" s="114"/>
      <c r="M665" s="114"/>
      <c r="N665" s="114"/>
      <c r="O665" s="114"/>
      <c r="P665" s="114"/>
      <c r="Q665" s="114"/>
      <c r="R665" s="114"/>
      <c r="S665" s="59"/>
      <c r="T665" s="114"/>
      <c r="U665" s="114"/>
      <c r="V665" s="114"/>
      <c r="W665" s="114"/>
      <c r="X665" s="114"/>
      <c r="Y665" s="114"/>
      <c r="Z665" s="114"/>
      <c r="AA665" s="114"/>
      <c r="AB665" s="114"/>
      <c r="AC665" s="114"/>
      <c r="AD665" s="114"/>
      <c r="AE665" s="114"/>
    </row>
    <row r="666" spans="1:31" x14ac:dyDescent="0.25">
      <c r="A666" s="109" t="s">
        <v>234</v>
      </c>
      <c r="B666" s="110" t="s">
        <v>155</v>
      </c>
      <c r="C666" s="111" t="s">
        <v>66</v>
      </c>
      <c r="D666" s="112" t="s">
        <v>156</v>
      </c>
      <c r="E666" s="105" t="s">
        <v>157</v>
      </c>
      <c r="F666" s="105"/>
      <c r="G666" s="113"/>
      <c r="H666" s="114"/>
      <c r="I666" s="114"/>
      <c r="J666" s="114"/>
      <c r="K666" s="114"/>
      <c r="L666" s="114"/>
      <c r="M666" s="114"/>
      <c r="N666" s="114"/>
      <c r="O666" s="114"/>
      <c r="P666" s="114"/>
      <c r="Q666" s="114"/>
      <c r="R666" s="114"/>
      <c r="S666" s="59"/>
      <c r="T666" s="114"/>
      <c r="U666" s="114"/>
      <c r="V666" s="114"/>
      <c r="W666" s="114"/>
      <c r="X666" s="114"/>
      <c r="Y666" s="114"/>
      <c r="Z666" s="114"/>
      <c r="AA666" s="114"/>
      <c r="AB666" s="114"/>
      <c r="AC666" s="114"/>
      <c r="AD666" s="114"/>
      <c r="AE666" s="114"/>
    </row>
    <row r="667" spans="1:31" x14ac:dyDescent="0.25">
      <c r="A667" s="109" t="s">
        <v>234</v>
      </c>
      <c r="B667" s="110" t="s">
        <v>155</v>
      </c>
      <c r="C667" s="111" t="s">
        <v>66</v>
      </c>
      <c r="D667" s="112" t="s">
        <v>196</v>
      </c>
      <c r="E667" s="105" t="s">
        <v>197</v>
      </c>
      <c r="F667" s="105"/>
      <c r="G667" s="113"/>
      <c r="H667" s="114"/>
      <c r="I667" s="114"/>
      <c r="J667" s="114"/>
      <c r="K667" s="114"/>
      <c r="L667" s="114"/>
      <c r="M667" s="114"/>
      <c r="N667" s="114"/>
      <c r="O667" s="114"/>
      <c r="P667" s="114"/>
      <c r="Q667" s="114"/>
      <c r="R667" s="114"/>
      <c r="S667" s="59"/>
      <c r="T667" s="114"/>
      <c r="U667" s="114"/>
      <c r="V667" s="114"/>
      <c r="W667" s="114"/>
      <c r="X667" s="114"/>
      <c r="Y667" s="114"/>
      <c r="Z667" s="114"/>
      <c r="AA667" s="114"/>
      <c r="AB667" s="114"/>
      <c r="AC667" s="114"/>
      <c r="AD667" s="114"/>
      <c r="AE667" s="114"/>
    </row>
    <row r="668" spans="1:31" x14ac:dyDescent="0.25">
      <c r="A668" s="109" t="s">
        <v>235</v>
      </c>
      <c r="B668" s="110" t="s">
        <v>155</v>
      </c>
      <c r="C668" s="111" t="s">
        <v>66</v>
      </c>
      <c r="D668" s="112" t="s">
        <v>156</v>
      </c>
      <c r="E668" s="105" t="s">
        <v>195</v>
      </c>
      <c r="F668" s="105"/>
      <c r="G668" s="113"/>
      <c r="H668" s="114"/>
      <c r="I668" s="114"/>
      <c r="J668" s="114"/>
      <c r="K668" s="114"/>
      <c r="L668" s="114"/>
      <c r="M668" s="114"/>
      <c r="N668" s="114"/>
      <c r="O668" s="114"/>
      <c r="P668" s="114"/>
      <c r="Q668" s="114"/>
      <c r="R668" s="114"/>
      <c r="S668" s="114"/>
      <c r="T668" s="114"/>
      <c r="U668" s="114"/>
      <c r="V668" s="114"/>
      <c r="W668" s="114"/>
      <c r="X668" s="114"/>
      <c r="Y668" s="114"/>
      <c r="Z668" s="114"/>
      <c r="AA668" s="114"/>
      <c r="AB668" s="114"/>
      <c r="AC668" s="114"/>
      <c r="AD668" s="114"/>
      <c r="AE668" s="114"/>
    </row>
    <row r="669" spans="1:31" x14ac:dyDescent="0.25">
      <c r="A669" s="109" t="s">
        <v>235</v>
      </c>
      <c r="B669" s="110" t="s">
        <v>155</v>
      </c>
      <c r="C669" s="111" t="s">
        <v>66</v>
      </c>
      <c r="D669" s="112" t="s">
        <v>194</v>
      </c>
      <c r="E669" s="105" t="s">
        <v>157</v>
      </c>
      <c r="F669" s="105"/>
      <c r="G669" s="113"/>
      <c r="H669" s="114"/>
      <c r="I669" s="114"/>
      <c r="J669" s="114"/>
      <c r="K669" s="114"/>
      <c r="L669" s="114"/>
      <c r="M669" s="114"/>
      <c r="N669" s="114"/>
      <c r="O669" s="114"/>
      <c r="P669" s="114"/>
      <c r="Q669" s="114"/>
      <c r="R669" s="114"/>
      <c r="S669" s="114"/>
      <c r="T669" s="114"/>
      <c r="U669" s="114"/>
      <c r="V669" s="114"/>
      <c r="W669" s="114"/>
      <c r="X669" s="114"/>
      <c r="Y669" s="114"/>
      <c r="Z669" s="114"/>
      <c r="AA669" s="114"/>
      <c r="AB669" s="114"/>
      <c r="AC669" s="114"/>
      <c r="AD669" s="114"/>
      <c r="AE669" s="114"/>
    </row>
  </sheetData>
  <mergeCells count="5">
    <mergeCell ref="G2:N2"/>
    <mergeCell ref="O2:O3"/>
    <mergeCell ref="G5:N5"/>
    <mergeCell ref="O5:O6"/>
    <mergeCell ref="B1:C1"/>
  </mergeCells>
  <phoneticPr fontId="21" type="noConversion"/>
  <pageMargins left="0.7" right="0.7" top="0.75" bottom="0.75" header="0.3" footer="0.3"/>
  <pageSetup paperSize="0" orientation="portrait" horizontalDpi="203" verticalDpi="20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ctualizarTarifasDesdeBase">
                <anchor moveWithCells="1" sizeWithCells="1">
                  <from>
                    <xdr:col>0</xdr:col>
                    <xdr:colOff>47625</xdr:colOff>
                    <xdr:row>0</xdr:row>
                    <xdr:rowOff>19050</xdr:rowOff>
                  </from>
                  <to>
                    <xdr:col>0</xdr:col>
                    <xdr:colOff>1657350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 filterMode="1"/>
  <dimension ref="A2:P54"/>
  <sheetViews>
    <sheetView topLeftCell="D1" workbookViewId="0">
      <selection activeCell="E79" sqref="E79"/>
    </sheetView>
  </sheetViews>
  <sheetFormatPr baseColWidth="10" defaultColWidth="11.42578125" defaultRowHeight="15" x14ac:dyDescent="0.25"/>
  <cols>
    <col min="1" max="1" width="13.28515625" bestFit="1" customWidth="1"/>
    <col min="2" max="2" width="16.85546875" bestFit="1" customWidth="1"/>
    <col min="3" max="4" width="16.85546875" customWidth="1"/>
    <col min="5" max="5" width="38.85546875" bestFit="1" customWidth="1"/>
    <col min="6" max="6" width="26.5703125" bestFit="1" customWidth="1"/>
    <col min="7" max="7" width="13" bestFit="1" customWidth="1"/>
    <col min="8" max="8" width="25.140625" bestFit="1" customWidth="1"/>
    <col min="9" max="9" width="21" bestFit="1" customWidth="1"/>
    <col min="10" max="10" width="21" customWidth="1"/>
    <col min="11" max="11" width="25.7109375" bestFit="1" customWidth="1"/>
    <col min="12" max="12" width="15.42578125" bestFit="1" customWidth="1"/>
    <col min="13" max="13" width="32.28515625" bestFit="1" customWidth="1"/>
    <col min="14" max="14" width="20.42578125" bestFit="1" customWidth="1"/>
    <col min="15" max="15" width="26.140625" bestFit="1" customWidth="1"/>
    <col min="16" max="16" width="12.85546875" bestFit="1" customWidth="1"/>
  </cols>
  <sheetData>
    <row r="2" spans="1:16" ht="15.75" customHeight="1" thickBot="1" x14ac:dyDescent="0.3">
      <c r="A2" s="10" t="s">
        <v>236</v>
      </c>
      <c r="B2" s="10" t="s">
        <v>237</v>
      </c>
      <c r="C2" s="6" t="s">
        <v>238</v>
      </c>
      <c r="D2" s="6" t="s">
        <v>239</v>
      </c>
      <c r="E2" s="6" t="s">
        <v>240</v>
      </c>
      <c r="F2" s="6" t="s">
        <v>241</v>
      </c>
      <c r="G2" s="6" t="s">
        <v>242</v>
      </c>
      <c r="H2" s="6" t="s">
        <v>243</v>
      </c>
      <c r="I2" s="6" t="s">
        <v>244</v>
      </c>
      <c r="J2" s="6" t="s">
        <v>245</v>
      </c>
      <c r="K2" s="10" t="s">
        <v>246</v>
      </c>
      <c r="L2" s="6" t="s">
        <v>247</v>
      </c>
      <c r="M2" s="6" t="s">
        <v>248</v>
      </c>
      <c r="N2" s="6" t="s">
        <v>249</v>
      </c>
      <c r="O2" s="6" t="s">
        <v>250</v>
      </c>
      <c r="P2" s="6" t="s">
        <v>251</v>
      </c>
    </row>
    <row r="3" spans="1:16" ht="15.75" hidden="1" customHeight="1" thickBot="1" x14ac:dyDescent="0.3">
      <c r="A3" s="7"/>
      <c r="B3" s="7"/>
      <c r="C3" s="7"/>
      <c r="D3" s="7"/>
      <c r="E3" s="7"/>
      <c r="F3" s="7"/>
      <c r="G3" s="7" t="s">
        <v>252</v>
      </c>
      <c r="H3" s="7" t="s">
        <v>253</v>
      </c>
      <c r="I3" s="7" t="s">
        <v>254</v>
      </c>
      <c r="J3" s="7" t="s">
        <v>245</v>
      </c>
      <c r="K3" s="7" t="s">
        <v>246</v>
      </c>
      <c r="L3" s="7" t="s">
        <v>255</v>
      </c>
      <c r="M3" s="7"/>
      <c r="N3" s="7" t="s">
        <v>256</v>
      </c>
      <c r="O3" s="7" t="s">
        <v>250</v>
      </c>
      <c r="P3" s="7"/>
    </row>
    <row r="4" spans="1:16" x14ac:dyDescent="0.25">
      <c r="D4" s="1"/>
      <c r="E4" s="2" t="s">
        <v>229</v>
      </c>
      <c r="F4" s="11">
        <v>45658</v>
      </c>
      <c r="M4" s="12">
        <v>104443</v>
      </c>
      <c r="O4" s="12"/>
      <c r="P4" s="12"/>
    </row>
    <row r="5" spans="1:16" x14ac:dyDescent="0.25">
      <c r="A5" s="1"/>
      <c r="B5" s="1"/>
      <c r="C5" s="1"/>
      <c r="D5" s="1"/>
      <c r="E5" s="2" t="s">
        <v>229</v>
      </c>
      <c r="F5" s="11">
        <v>45658</v>
      </c>
      <c r="G5" s="8"/>
      <c r="H5" s="8">
        <f>449657*40%</f>
        <v>179862.80000000002</v>
      </c>
      <c r="I5" s="8">
        <f>449657*80%</f>
        <v>359725.60000000003</v>
      </c>
      <c r="J5" s="8"/>
      <c r="K5" s="8"/>
      <c r="L5" s="8"/>
      <c r="M5" s="8"/>
      <c r="N5" s="8"/>
      <c r="O5" s="8"/>
    </row>
    <row r="6" spans="1:16" x14ac:dyDescent="0.25">
      <c r="A6" s="1"/>
      <c r="B6" s="1"/>
      <c r="C6" s="1"/>
      <c r="D6" s="15"/>
      <c r="E6" s="2" t="s">
        <v>229</v>
      </c>
      <c r="F6" s="11">
        <v>45658</v>
      </c>
      <c r="G6" s="8"/>
      <c r="H6" s="8"/>
      <c r="I6" s="8"/>
      <c r="J6" s="8"/>
      <c r="K6" s="8"/>
      <c r="L6" s="8"/>
      <c r="M6" s="8"/>
      <c r="N6" s="8">
        <f>449657*50%</f>
        <v>224828.5</v>
      </c>
      <c r="O6" s="8"/>
    </row>
    <row r="7" spans="1:16" hidden="1" x14ac:dyDescent="0.25">
      <c r="A7" s="1" t="s">
        <v>257</v>
      </c>
      <c r="B7" s="1"/>
      <c r="C7" s="1" t="s">
        <v>258</v>
      </c>
      <c r="D7" s="15"/>
      <c r="E7" s="13" t="s">
        <v>234</v>
      </c>
      <c r="F7" s="14">
        <v>45717</v>
      </c>
      <c r="G7" s="8">
        <v>18034.759999999998</v>
      </c>
      <c r="H7" s="8"/>
      <c r="I7" s="8"/>
      <c r="J7" s="8"/>
      <c r="K7" s="8"/>
      <c r="L7" s="8"/>
      <c r="M7" s="8"/>
      <c r="N7" s="8"/>
      <c r="O7" s="8"/>
    </row>
    <row r="8" spans="1:16" hidden="1" x14ac:dyDescent="0.25">
      <c r="A8" s="1" t="s">
        <v>257</v>
      </c>
      <c r="B8" s="1"/>
      <c r="C8" s="16" t="s">
        <v>194</v>
      </c>
      <c r="D8" s="15"/>
      <c r="E8" s="13" t="s">
        <v>234</v>
      </c>
      <c r="F8" s="14">
        <v>45717</v>
      </c>
      <c r="G8" s="8">
        <v>19370.62</v>
      </c>
      <c r="H8" s="8"/>
      <c r="I8" s="8"/>
      <c r="J8" s="8"/>
      <c r="K8" s="8"/>
      <c r="L8" s="8"/>
      <c r="M8" s="8"/>
      <c r="N8" s="8"/>
      <c r="O8" s="8"/>
    </row>
    <row r="9" spans="1:16" hidden="1" x14ac:dyDescent="0.25">
      <c r="A9" s="1" t="s">
        <v>257</v>
      </c>
      <c r="B9" s="1"/>
      <c r="C9" s="1" t="s">
        <v>156</v>
      </c>
      <c r="D9" s="15"/>
      <c r="E9" s="13" t="s">
        <v>234</v>
      </c>
      <c r="F9" s="14">
        <v>45717</v>
      </c>
      <c r="G9" s="8">
        <v>20706.53</v>
      </c>
      <c r="H9" s="8"/>
      <c r="I9" s="8"/>
      <c r="J9" s="8"/>
      <c r="K9" s="8"/>
      <c r="L9" s="8"/>
      <c r="M9" s="8"/>
      <c r="N9" s="8"/>
      <c r="O9" s="8"/>
    </row>
    <row r="10" spans="1:16" hidden="1" x14ac:dyDescent="0.25">
      <c r="A10" s="1" t="s">
        <v>257</v>
      </c>
      <c r="B10" s="1"/>
      <c r="C10" s="1" t="s">
        <v>196</v>
      </c>
      <c r="D10" s="15"/>
      <c r="E10" s="13" t="s">
        <v>234</v>
      </c>
      <c r="F10" s="14">
        <v>45717</v>
      </c>
      <c r="G10" s="8">
        <v>16698.78</v>
      </c>
      <c r="H10" s="8"/>
      <c r="I10" s="8"/>
      <c r="J10" s="8"/>
      <c r="K10" s="8"/>
      <c r="L10" s="8"/>
      <c r="M10" s="8"/>
      <c r="N10" s="8"/>
      <c r="O10" s="8"/>
    </row>
    <row r="11" spans="1:16" hidden="1" x14ac:dyDescent="0.25">
      <c r="A11" s="1" t="s">
        <v>257</v>
      </c>
      <c r="B11" s="1"/>
      <c r="C11" s="1" t="s">
        <v>259</v>
      </c>
      <c r="D11" s="15"/>
      <c r="E11" s="13" t="s">
        <v>234</v>
      </c>
      <c r="F11" s="14">
        <v>45717</v>
      </c>
      <c r="G11" s="8"/>
      <c r="H11" s="8"/>
      <c r="I11" s="8"/>
      <c r="J11" s="8"/>
      <c r="K11" s="8"/>
      <c r="L11" s="8"/>
      <c r="M11" s="8"/>
      <c r="N11" s="8"/>
      <c r="O11" s="8"/>
    </row>
    <row r="12" spans="1:16" hidden="1" x14ac:dyDescent="0.25">
      <c r="A12" s="1" t="s">
        <v>257</v>
      </c>
      <c r="B12" s="1"/>
      <c r="C12" s="16" t="s">
        <v>190</v>
      </c>
      <c r="D12" s="15"/>
      <c r="E12" s="13" t="s">
        <v>234</v>
      </c>
      <c r="F12" s="14">
        <v>45717</v>
      </c>
      <c r="G12" s="8">
        <v>30057.87</v>
      </c>
      <c r="H12" s="8"/>
      <c r="I12" s="8"/>
      <c r="J12" s="8"/>
      <c r="K12" s="8"/>
      <c r="L12" s="8"/>
      <c r="M12" s="8"/>
      <c r="N12" s="8"/>
      <c r="O12" s="8"/>
    </row>
    <row r="13" spans="1:16" hidden="1" x14ac:dyDescent="0.25">
      <c r="A13" s="1" t="s">
        <v>257</v>
      </c>
      <c r="B13" s="1"/>
      <c r="C13" s="1" t="s">
        <v>188</v>
      </c>
      <c r="D13" s="15"/>
      <c r="E13" s="13" t="s">
        <v>234</v>
      </c>
      <c r="F13" s="14">
        <v>45717</v>
      </c>
      <c r="G13" s="8">
        <v>30057.87</v>
      </c>
      <c r="H13" s="8"/>
      <c r="I13" s="8"/>
      <c r="J13" s="8"/>
      <c r="K13" s="8"/>
      <c r="L13" s="8"/>
      <c r="M13" s="8"/>
      <c r="N13" s="8"/>
      <c r="O13" s="8"/>
    </row>
    <row r="14" spans="1:16" hidden="1" x14ac:dyDescent="0.25">
      <c r="A14" s="1" t="s">
        <v>257</v>
      </c>
      <c r="B14" s="1"/>
      <c r="C14" s="1" t="s">
        <v>186</v>
      </c>
      <c r="D14" s="15"/>
      <c r="E14" s="13" t="s">
        <v>234</v>
      </c>
      <c r="F14" s="14">
        <v>45717</v>
      </c>
      <c r="G14" s="8">
        <v>30057.87</v>
      </c>
      <c r="H14" s="8"/>
      <c r="I14" s="8"/>
      <c r="J14" s="8"/>
      <c r="K14" s="8"/>
      <c r="L14" s="8"/>
      <c r="M14" s="8"/>
      <c r="N14" s="8"/>
      <c r="O14" s="8"/>
    </row>
    <row r="15" spans="1:16" hidden="1" x14ac:dyDescent="0.25">
      <c r="A15" s="1" t="s">
        <v>257</v>
      </c>
      <c r="B15" s="1"/>
      <c r="C15" s="1" t="s">
        <v>192</v>
      </c>
      <c r="D15" s="15"/>
      <c r="E15" s="13" t="s">
        <v>234</v>
      </c>
      <c r="F15" s="14">
        <v>45717</v>
      </c>
      <c r="G15" s="8">
        <v>30057.87</v>
      </c>
      <c r="H15" s="8"/>
      <c r="I15" s="8"/>
      <c r="J15" s="8"/>
      <c r="K15" s="8"/>
      <c r="L15" s="8"/>
      <c r="M15" s="8"/>
      <c r="N15" s="8"/>
      <c r="O15" s="8"/>
    </row>
    <row r="16" spans="1:16" hidden="1" x14ac:dyDescent="0.25">
      <c r="A16" s="1" t="s">
        <v>260</v>
      </c>
      <c r="B16" s="1"/>
      <c r="C16" s="1" t="s">
        <v>258</v>
      </c>
      <c r="D16" s="15"/>
      <c r="E16" s="13" t="s">
        <v>234</v>
      </c>
      <c r="F16" s="14">
        <v>45717</v>
      </c>
      <c r="G16" s="8">
        <v>24580.7</v>
      </c>
      <c r="H16" s="8"/>
      <c r="I16" s="8"/>
      <c r="J16" s="8"/>
      <c r="K16" s="8"/>
      <c r="L16" s="8"/>
      <c r="M16" s="8"/>
      <c r="N16" s="8"/>
      <c r="O16" s="8"/>
    </row>
    <row r="17" spans="1:16" hidden="1" x14ac:dyDescent="0.25">
      <c r="A17" s="1" t="s">
        <v>260</v>
      </c>
      <c r="B17" s="1"/>
      <c r="C17" s="16" t="s">
        <v>194</v>
      </c>
      <c r="D17" s="15"/>
      <c r="E17" s="13" t="s">
        <v>234</v>
      </c>
      <c r="F17" s="14">
        <v>45717</v>
      </c>
      <c r="G17" s="8">
        <v>29189.33</v>
      </c>
      <c r="H17" s="8"/>
      <c r="I17" s="8"/>
      <c r="J17" s="8"/>
      <c r="K17" s="8"/>
      <c r="L17" s="8"/>
      <c r="M17" s="8"/>
      <c r="N17" s="8"/>
      <c r="O17" s="8"/>
    </row>
    <row r="18" spans="1:16" hidden="1" x14ac:dyDescent="0.25">
      <c r="A18" s="1" t="s">
        <v>260</v>
      </c>
      <c r="B18" s="1"/>
      <c r="C18" s="1" t="s">
        <v>156</v>
      </c>
      <c r="D18" s="15"/>
      <c r="E18" s="13" t="s">
        <v>234</v>
      </c>
      <c r="F18" s="14">
        <v>45717</v>
      </c>
      <c r="G18" s="8">
        <v>30725.84</v>
      </c>
      <c r="H18" s="8"/>
      <c r="I18" s="8"/>
      <c r="J18" s="8"/>
      <c r="K18" s="8"/>
      <c r="L18" s="8"/>
      <c r="M18" s="8"/>
      <c r="N18" s="8"/>
      <c r="O18" s="8"/>
    </row>
    <row r="19" spans="1:16" hidden="1" x14ac:dyDescent="0.25">
      <c r="A19" s="1" t="s">
        <v>260</v>
      </c>
      <c r="B19" s="1"/>
      <c r="C19" s="1" t="s">
        <v>196</v>
      </c>
      <c r="D19" s="15"/>
      <c r="E19" s="13" t="s">
        <v>234</v>
      </c>
      <c r="F19" s="14">
        <v>45717</v>
      </c>
      <c r="G19" s="8">
        <v>21508.07</v>
      </c>
      <c r="H19" s="8"/>
      <c r="I19" s="8"/>
      <c r="J19" s="8"/>
      <c r="K19" s="8"/>
      <c r="L19" s="8"/>
      <c r="M19" s="8"/>
      <c r="N19" s="8"/>
      <c r="O19" s="8"/>
    </row>
    <row r="20" spans="1:16" hidden="1" x14ac:dyDescent="0.25">
      <c r="A20" s="1" t="s">
        <v>260</v>
      </c>
      <c r="B20" s="1"/>
      <c r="C20" s="1" t="s">
        <v>259</v>
      </c>
      <c r="D20" s="15"/>
      <c r="E20" s="13" t="s">
        <v>234</v>
      </c>
      <c r="F20" s="14">
        <v>45717</v>
      </c>
      <c r="G20" s="8"/>
      <c r="H20" s="8"/>
      <c r="I20" s="8"/>
      <c r="J20" s="8"/>
      <c r="K20" s="8"/>
      <c r="L20" s="8"/>
      <c r="M20" s="8"/>
      <c r="N20" s="8"/>
      <c r="O20" s="8"/>
    </row>
    <row r="21" spans="1:16" hidden="1" x14ac:dyDescent="0.25">
      <c r="A21" s="1" t="s">
        <v>260</v>
      </c>
      <c r="B21" s="1"/>
      <c r="C21" s="16" t="s">
        <v>190</v>
      </c>
      <c r="D21" s="15"/>
      <c r="E21" s="13" t="s">
        <v>234</v>
      </c>
      <c r="F21" s="14">
        <v>45717</v>
      </c>
      <c r="G21" s="8">
        <v>35962.57</v>
      </c>
      <c r="H21" s="8"/>
      <c r="I21" s="8"/>
      <c r="J21" s="8"/>
      <c r="K21" s="8"/>
      <c r="L21" s="8"/>
      <c r="M21" s="8"/>
      <c r="N21" s="8"/>
      <c r="O21" s="8"/>
    </row>
    <row r="22" spans="1:16" hidden="1" x14ac:dyDescent="0.25">
      <c r="A22" s="1" t="s">
        <v>260</v>
      </c>
      <c r="B22" s="1"/>
      <c r="C22" s="1" t="s">
        <v>188</v>
      </c>
      <c r="D22" s="15"/>
      <c r="E22" s="13" t="s">
        <v>234</v>
      </c>
      <c r="F22" s="14">
        <v>45717</v>
      </c>
      <c r="G22" s="8">
        <v>35962.57</v>
      </c>
      <c r="H22" s="8"/>
      <c r="I22" s="8"/>
      <c r="J22" s="8"/>
      <c r="K22" s="8"/>
      <c r="L22" s="8"/>
      <c r="M22" s="8"/>
      <c r="N22" s="8"/>
      <c r="O22" s="8"/>
    </row>
    <row r="23" spans="1:16" hidden="1" x14ac:dyDescent="0.25">
      <c r="A23" s="1" t="s">
        <v>260</v>
      </c>
      <c r="B23" s="1"/>
      <c r="C23" s="1" t="s">
        <v>186</v>
      </c>
      <c r="D23" s="15"/>
      <c r="E23" s="13" t="s">
        <v>234</v>
      </c>
      <c r="F23" s="14">
        <v>45717</v>
      </c>
      <c r="G23" s="8">
        <v>35962.57</v>
      </c>
      <c r="H23" s="8"/>
      <c r="I23" s="8"/>
      <c r="J23" s="8"/>
      <c r="K23" s="8"/>
      <c r="L23" s="8"/>
      <c r="M23" s="8"/>
      <c r="N23" s="8"/>
      <c r="O23" s="8"/>
    </row>
    <row r="24" spans="1:16" hidden="1" x14ac:dyDescent="0.25">
      <c r="A24" s="1" t="s">
        <v>260</v>
      </c>
      <c r="B24" s="1"/>
      <c r="C24" s="1" t="s">
        <v>192</v>
      </c>
      <c r="D24" s="15"/>
      <c r="E24" s="13" t="s">
        <v>234</v>
      </c>
      <c r="F24" s="14">
        <v>45717</v>
      </c>
      <c r="G24" s="8">
        <v>35962.57</v>
      </c>
      <c r="H24" s="8"/>
      <c r="I24" s="8"/>
      <c r="J24" s="8"/>
      <c r="K24" s="8"/>
      <c r="L24" s="8"/>
      <c r="M24" s="8"/>
      <c r="N24" s="8"/>
      <c r="O24" s="8"/>
    </row>
    <row r="25" spans="1:16" hidden="1" x14ac:dyDescent="0.25">
      <c r="A25" s="1" t="s">
        <v>261</v>
      </c>
      <c r="B25" s="1"/>
      <c r="C25" s="1" t="s">
        <v>258</v>
      </c>
      <c r="D25" s="15"/>
      <c r="E25" s="13" t="s">
        <v>234</v>
      </c>
      <c r="F25" s="14">
        <v>45717</v>
      </c>
      <c r="G25" s="8">
        <v>26885.119999999999</v>
      </c>
      <c r="H25" s="8"/>
      <c r="I25" s="8"/>
      <c r="J25" s="8"/>
      <c r="K25" s="8"/>
      <c r="L25" s="8"/>
      <c r="M25" s="8"/>
      <c r="N25" s="8"/>
      <c r="O25" s="8"/>
    </row>
    <row r="26" spans="1:16" hidden="1" x14ac:dyDescent="0.25">
      <c r="A26" s="1" t="s">
        <v>261</v>
      </c>
      <c r="B26" s="1"/>
      <c r="C26" s="16" t="s">
        <v>194</v>
      </c>
      <c r="D26" s="15"/>
      <c r="E26" s="13" t="s">
        <v>234</v>
      </c>
      <c r="F26" s="14">
        <v>45717</v>
      </c>
      <c r="G26" s="8">
        <v>32262.16</v>
      </c>
      <c r="H26" s="8"/>
      <c r="I26" s="8"/>
      <c r="J26" s="8"/>
      <c r="K26" s="8"/>
      <c r="L26" s="8"/>
      <c r="M26" s="8"/>
      <c r="N26" s="8"/>
      <c r="O26" s="8"/>
    </row>
    <row r="27" spans="1:16" hidden="1" x14ac:dyDescent="0.25">
      <c r="A27" s="1" t="s">
        <v>261</v>
      </c>
      <c r="B27" s="1"/>
      <c r="C27" s="1" t="s">
        <v>156</v>
      </c>
      <c r="D27" s="15"/>
      <c r="E27" s="13" t="s">
        <v>234</v>
      </c>
      <c r="F27" s="14">
        <v>45717</v>
      </c>
      <c r="G27" s="8">
        <v>33798.43</v>
      </c>
      <c r="H27" s="8"/>
      <c r="I27" s="8"/>
      <c r="J27" s="8"/>
      <c r="K27" s="8"/>
      <c r="L27" s="8"/>
      <c r="M27" s="8"/>
      <c r="N27" s="8"/>
      <c r="O27" s="8"/>
    </row>
    <row r="28" spans="1:16" hidden="1" x14ac:dyDescent="0.25">
      <c r="A28" s="1" t="s">
        <v>261</v>
      </c>
      <c r="B28" s="1"/>
      <c r="C28" s="1" t="s">
        <v>196</v>
      </c>
      <c r="D28" s="15"/>
      <c r="E28" s="13" t="s">
        <v>234</v>
      </c>
      <c r="F28" s="14">
        <v>45717</v>
      </c>
      <c r="G28" s="8">
        <v>25382.2</v>
      </c>
      <c r="H28" s="8"/>
      <c r="I28" s="8"/>
      <c r="J28" s="8"/>
      <c r="K28" s="8"/>
      <c r="L28" s="8"/>
      <c r="M28" s="8"/>
      <c r="N28" s="8"/>
      <c r="O28" s="8"/>
    </row>
    <row r="29" spans="1:16" hidden="1" x14ac:dyDescent="0.25">
      <c r="A29" s="1" t="s">
        <v>261</v>
      </c>
      <c r="B29" s="1"/>
      <c r="C29" s="1" t="s">
        <v>259</v>
      </c>
      <c r="D29" s="15"/>
      <c r="E29" s="13" t="s">
        <v>234</v>
      </c>
      <c r="F29" s="14">
        <v>45717</v>
      </c>
      <c r="G29" s="8"/>
      <c r="H29" s="8"/>
      <c r="I29" s="8"/>
      <c r="J29" s="8"/>
      <c r="K29" s="8"/>
      <c r="L29" s="8"/>
      <c r="M29" s="8"/>
      <c r="N29" s="8"/>
      <c r="O29" s="8"/>
    </row>
    <row r="30" spans="1:16" hidden="1" x14ac:dyDescent="0.25">
      <c r="A30" s="1" t="s">
        <v>261</v>
      </c>
      <c r="B30" s="1"/>
      <c r="C30" s="16" t="s">
        <v>190</v>
      </c>
      <c r="D30" s="15"/>
      <c r="E30" s="13" t="s">
        <v>234</v>
      </c>
      <c r="F30" s="14">
        <v>45717</v>
      </c>
      <c r="G30" s="8">
        <v>39729.81</v>
      </c>
      <c r="H30" s="8"/>
      <c r="I30" s="8"/>
      <c r="J30" s="8"/>
      <c r="K30" s="8"/>
      <c r="L30" s="8"/>
      <c r="M30" s="8"/>
      <c r="N30" s="8"/>
      <c r="O30" s="8"/>
    </row>
    <row r="31" spans="1:16" hidden="1" x14ac:dyDescent="0.25">
      <c r="A31" s="1" t="s">
        <v>261</v>
      </c>
      <c r="B31" s="1"/>
      <c r="C31" s="1" t="s">
        <v>188</v>
      </c>
      <c r="D31" s="1"/>
      <c r="E31" s="13" t="s">
        <v>234</v>
      </c>
      <c r="F31" s="14">
        <v>45717</v>
      </c>
      <c r="G31" s="8">
        <v>39729.81</v>
      </c>
      <c r="H31" s="8"/>
      <c r="I31" s="8"/>
      <c r="J31" s="8"/>
      <c r="K31" s="8"/>
      <c r="L31" s="8"/>
      <c r="M31" s="8"/>
      <c r="N31" s="8"/>
      <c r="O31" s="8"/>
      <c r="P31" s="12"/>
    </row>
    <row r="32" spans="1:16" hidden="1" x14ac:dyDescent="0.25">
      <c r="A32" s="1" t="s">
        <v>261</v>
      </c>
      <c r="B32" s="1"/>
      <c r="C32" s="1" t="s">
        <v>186</v>
      </c>
      <c r="D32" s="1"/>
      <c r="E32" s="13" t="s">
        <v>234</v>
      </c>
      <c r="F32" s="14">
        <v>45717</v>
      </c>
      <c r="G32" s="8">
        <v>39729.81</v>
      </c>
      <c r="H32" s="8"/>
      <c r="I32" s="8"/>
      <c r="J32" s="8"/>
      <c r="K32" s="8"/>
      <c r="L32" s="8"/>
      <c r="M32" s="8"/>
      <c r="N32" s="8"/>
      <c r="O32" s="8"/>
      <c r="P32" s="12"/>
    </row>
    <row r="33" spans="1:15" hidden="1" x14ac:dyDescent="0.25">
      <c r="A33" s="1" t="s">
        <v>261</v>
      </c>
      <c r="B33" s="1"/>
      <c r="C33" s="1" t="s">
        <v>192</v>
      </c>
      <c r="D33" s="15"/>
      <c r="E33" s="13" t="s">
        <v>234</v>
      </c>
      <c r="F33" s="14">
        <v>45717</v>
      </c>
      <c r="G33" s="8">
        <v>39729.81</v>
      </c>
      <c r="H33" s="8"/>
      <c r="I33" s="8"/>
      <c r="J33" s="8"/>
      <c r="K33" s="8"/>
      <c r="L33" s="8"/>
      <c r="M33" s="8"/>
      <c r="N33" s="8"/>
      <c r="O33" s="8"/>
    </row>
    <row r="34" spans="1:15" hidden="1" x14ac:dyDescent="0.25">
      <c r="A34" s="1" t="s">
        <v>262</v>
      </c>
      <c r="B34" s="1"/>
      <c r="C34" s="1" t="s">
        <v>258</v>
      </c>
      <c r="D34" s="1"/>
      <c r="E34" s="13" t="s">
        <v>234</v>
      </c>
      <c r="F34" s="14">
        <v>45717</v>
      </c>
      <c r="G34" s="8">
        <v>30725.84</v>
      </c>
      <c r="H34" s="8"/>
      <c r="I34" s="8"/>
      <c r="J34" s="8"/>
      <c r="K34" s="8"/>
      <c r="L34" s="8"/>
      <c r="M34" s="8"/>
      <c r="N34" s="8"/>
      <c r="O34" s="8"/>
    </row>
    <row r="35" spans="1:15" hidden="1" x14ac:dyDescent="0.25">
      <c r="A35" s="1" t="s">
        <v>262</v>
      </c>
      <c r="B35" s="1"/>
      <c r="C35" s="16" t="s">
        <v>194</v>
      </c>
      <c r="D35" s="1"/>
      <c r="E35" s="13" t="s">
        <v>234</v>
      </c>
      <c r="F35" s="14">
        <v>45717</v>
      </c>
      <c r="G35" s="8">
        <v>34566.61</v>
      </c>
      <c r="H35" s="8"/>
      <c r="I35" s="8"/>
      <c r="J35" s="8"/>
      <c r="K35" s="8"/>
      <c r="L35" s="8"/>
      <c r="M35" s="8"/>
      <c r="N35" s="8"/>
      <c r="O35" s="8"/>
    </row>
    <row r="36" spans="1:15" hidden="1" x14ac:dyDescent="0.25">
      <c r="A36" s="1" t="s">
        <v>262</v>
      </c>
      <c r="B36" s="1"/>
      <c r="C36" s="1" t="s">
        <v>156</v>
      </c>
      <c r="E36" s="13" t="s">
        <v>234</v>
      </c>
      <c r="F36" s="14">
        <v>45717</v>
      </c>
      <c r="G36" s="8">
        <v>36870.97</v>
      </c>
    </row>
    <row r="37" spans="1:15" hidden="1" x14ac:dyDescent="0.25">
      <c r="A37" s="1" t="s">
        <v>262</v>
      </c>
      <c r="B37" s="1"/>
      <c r="C37" s="1" t="s">
        <v>196</v>
      </c>
      <c r="E37" s="13" t="s">
        <v>234</v>
      </c>
      <c r="F37" s="14">
        <v>45717</v>
      </c>
      <c r="G37" s="8">
        <v>29189.33</v>
      </c>
    </row>
    <row r="38" spans="1:15" hidden="1" x14ac:dyDescent="0.25">
      <c r="A38" s="1" t="s">
        <v>262</v>
      </c>
      <c r="B38" s="1"/>
      <c r="C38" s="1" t="s">
        <v>259</v>
      </c>
      <c r="E38" s="13" t="s">
        <v>234</v>
      </c>
      <c r="F38" s="14">
        <v>45717</v>
      </c>
      <c r="G38" s="8"/>
    </row>
    <row r="39" spans="1:15" hidden="1" x14ac:dyDescent="0.25">
      <c r="A39" s="1" t="s">
        <v>262</v>
      </c>
      <c r="B39" s="1"/>
      <c r="C39" s="16" t="s">
        <v>190</v>
      </c>
      <c r="E39" s="13" t="s">
        <v>234</v>
      </c>
      <c r="F39" s="14">
        <v>45717</v>
      </c>
      <c r="G39" s="8">
        <v>42581.84</v>
      </c>
    </row>
    <row r="40" spans="1:15" hidden="1" x14ac:dyDescent="0.25">
      <c r="A40" s="1" t="s">
        <v>262</v>
      </c>
      <c r="B40" s="1"/>
      <c r="C40" s="1" t="s">
        <v>188</v>
      </c>
      <c r="E40" s="13" t="s">
        <v>234</v>
      </c>
      <c r="F40" s="14">
        <v>45717</v>
      </c>
      <c r="G40" s="8">
        <v>42581.84</v>
      </c>
    </row>
    <row r="41" spans="1:15" hidden="1" x14ac:dyDescent="0.25">
      <c r="A41" s="1" t="s">
        <v>262</v>
      </c>
      <c r="B41" s="1"/>
      <c r="C41" s="1" t="s">
        <v>186</v>
      </c>
      <c r="E41" s="13" t="s">
        <v>234</v>
      </c>
      <c r="F41" s="14">
        <v>45717</v>
      </c>
      <c r="G41" s="8">
        <v>42581.84</v>
      </c>
    </row>
    <row r="42" spans="1:15" hidden="1" x14ac:dyDescent="0.25">
      <c r="A42" s="1" t="s">
        <v>262</v>
      </c>
      <c r="B42" s="1"/>
      <c r="C42" s="1" t="s">
        <v>192</v>
      </c>
      <c r="E42" s="13" t="s">
        <v>234</v>
      </c>
      <c r="F42" s="14">
        <v>45717</v>
      </c>
      <c r="G42" s="8">
        <v>42581.84</v>
      </c>
    </row>
    <row r="43" spans="1:15" hidden="1" x14ac:dyDescent="0.25">
      <c r="A43" s="1" t="s">
        <v>263</v>
      </c>
      <c r="B43" s="1"/>
      <c r="C43" s="1" t="s">
        <v>258</v>
      </c>
      <c r="E43" s="13" t="s">
        <v>234</v>
      </c>
      <c r="F43" s="14">
        <v>45717</v>
      </c>
      <c r="G43" s="8">
        <v>47291.03</v>
      </c>
    </row>
    <row r="44" spans="1:15" hidden="1" x14ac:dyDescent="0.25">
      <c r="A44" s="1" t="s">
        <v>263</v>
      </c>
      <c r="B44" s="1"/>
      <c r="C44" s="16" t="s">
        <v>194</v>
      </c>
      <c r="E44" s="13" t="s">
        <v>234</v>
      </c>
      <c r="F44" s="14">
        <v>45717</v>
      </c>
      <c r="G44" s="8">
        <v>54304.61</v>
      </c>
    </row>
    <row r="45" spans="1:15" hidden="1" x14ac:dyDescent="0.25">
      <c r="A45" s="1" t="s">
        <v>263</v>
      </c>
      <c r="B45" s="1"/>
      <c r="C45" s="1" t="s">
        <v>156</v>
      </c>
      <c r="E45" s="13" t="s">
        <v>234</v>
      </c>
      <c r="F45" s="14">
        <v>45717</v>
      </c>
      <c r="G45" s="8">
        <v>54778.83</v>
      </c>
    </row>
    <row r="46" spans="1:15" hidden="1" x14ac:dyDescent="0.25">
      <c r="A46" s="1" t="s">
        <v>263</v>
      </c>
      <c r="B46" s="1"/>
      <c r="C46" s="1" t="s">
        <v>196</v>
      </c>
      <c r="E46" s="13" t="s">
        <v>234</v>
      </c>
      <c r="F46" s="14">
        <v>45717</v>
      </c>
      <c r="G46" s="8">
        <v>47023.87</v>
      </c>
    </row>
    <row r="47" spans="1:15" hidden="1" x14ac:dyDescent="0.25">
      <c r="A47" s="1" t="s">
        <v>263</v>
      </c>
      <c r="B47" s="1"/>
      <c r="C47" s="1" t="s">
        <v>259</v>
      </c>
      <c r="E47" s="13" t="s">
        <v>234</v>
      </c>
      <c r="F47" s="14">
        <v>45717</v>
      </c>
      <c r="G47" s="8"/>
    </row>
    <row r="48" spans="1:15" hidden="1" x14ac:dyDescent="0.25">
      <c r="A48" s="1" t="s">
        <v>263</v>
      </c>
      <c r="B48" s="1"/>
      <c r="C48" s="16" t="s">
        <v>190</v>
      </c>
      <c r="E48" s="13" t="s">
        <v>234</v>
      </c>
      <c r="F48" s="14">
        <v>45717</v>
      </c>
      <c r="G48" s="8">
        <v>66995.66</v>
      </c>
    </row>
    <row r="49" spans="1:15" hidden="1" x14ac:dyDescent="0.25">
      <c r="A49" s="1" t="s">
        <v>263</v>
      </c>
      <c r="B49" s="1"/>
      <c r="C49" s="1" t="s">
        <v>188</v>
      </c>
      <c r="E49" s="13" t="s">
        <v>234</v>
      </c>
      <c r="F49" s="14">
        <v>45717</v>
      </c>
      <c r="G49" s="8">
        <v>66995.66</v>
      </c>
    </row>
    <row r="50" spans="1:15" hidden="1" x14ac:dyDescent="0.25">
      <c r="A50" s="1" t="s">
        <v>263</v>
      </c>
      <c r="B50" s="1"/>
      <c r="C50" s="1" t="s">
        <v>186</v>
      </c>
      <c r="E50" s="13" t="s">
        <v>234</v>
      </c>
      <c r="F50" s="14">
        <v>45717</v>
      </c>
      <c r="G50" s="8">
        <v>66995.66</v>
      </c>
    </row>
    <row r="51" spans="1:15" hidden="1" x14ac:dyDescent="0.25">
      <c r="A51" s="1" t="s">
        <v>263</v>
      </c>
      <c r="B51" s="1"/>
      <c r="C51" s="1" t="s">
        <v>192</v>
      </c>
      <c r="E51" s="13" t="s">
        <v>234</v>
      </c>
      <c r="F51" s="14">
        <v>45717</v>
      </c>
      <c r="G51" s="8">
        <v>66995.66</v>
      </c>
    </row>
    <row r="52" spans="1:15" x14ac:dyDescent="0.25">
      <c r="E52" s="13" t="s">
        <v>234</v>
      </c>
      <c r="F52" s="14">
        <v>45717</v>
      </c>
      <c r="M52" s="17">
        <v>93179.99</v>
      </c>
      <c r="O52" t="s">
        <v>264</v>
      </c>
    </row>
    <row r="53" spans="1:15" x14ac:dyDescent="0.25">
      <c r="E53" s="13" t="s">
        <v>234</v>
      </c>
      <c r="F53" s="14">
        <v>45717</v>
      </c>
      <c r="M53" s="17">
        <v>139759.38</v>
      </c>
      <c r="O53" t="s">
        <v>265</v>
      </c>
    </row>
    <row r="54" spans="1:15" x14ac:dyDescent="0.25">
      <c r="E54" s="13" t="s">
        <v>182</v>
      </c>
      <c r="F54" s="14">
        <v>45689</v>
      </c>
      <c r="M54" s="17">
        <v>102195.86</v>
      </c>
    </row>
  </sheetData>
  <autoFilter ref="A2:P51" xr:uid="{00000000-0009-0000-0000-000003000000}">
    <filterColumn colId="4">
      <filters>
        <filter val="LOGISCHER NEA SA"/>
      </filters>
    </filterColumn>
  </autoFilter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D2170-1A80-4F4E-B67F-923ED807CC4D}">
  <dimension ref="A3:L210"/>
  <sheetViews>
    <sheetView topLeftCell="D171" workbookViewId="0">
      <selection activeCell="I4" sqref="I4:L206"/>
    </sheetView>
  </sheetViews>
  <sheetFormatPr baseColWidth="10" defaultRowHeight="15" x14ac:dyDescent="0.25"/>
  <cols>
    <col min="1" max="1" width="12.85546875" bestFit="1" customWidth="1"/>
    <col min="2" max="2" width="59.85546875" bestFit="1" customWidth="1"/>
    <col min="3" max="3" width="30.140625" bestFit="1" customWidth="1"/>
    <col min="4" max="4" width="20.5703125" bestFit="1" customWidth="1"/>
    <col min="9" max="9" width="5.140625" bestFit="1" customWidth="1"/>
    <col min="10" max="10" width="58" bestFit="1" customWidth="1"/>
    <col min="11" max="11" width="28.140625" bestFit="1" customWidth="1"/>
    <col min="12" max="12" width="18.28515625" bestFit="1" customWidth="1"/>
  </cols>
  <sheetData>
    <row r="3" spans="1:12" x14ac:dyDescent="0.25">
      <c r="A3" s="62" t="s">
        <v>270</v>
      </c>
      <c r="B3" s="62" t="s">
        <v>269</v>
      </c>
      <c r="C3" s="62" t="s">
        <v>268</v>
      </c>
      <c r="D3" s="62" t="s">
        <v>283</v>
      </c>
      <c r="I3" s="104" t="s">
        <v>270</v>
      </c>
      <c r="J3" s="104" t="s">
        <v>269</v>
      </c>
      <c r="K3" s="104" t="s">
        <v>268</v>
      </c>
      <c r="L3" s="104" t="s">
        <v>283</v>
      </c>
    </row>
    <row r="4" spans="1:12" x14ac:dyDescent="0.25">
      <c r="A4" t="s">
        <v>71</v>
      </c>
      <c r="B4" t="s">
        <v>552</v>
      </c>
      <c r="C4" t="s">
        <v>564</v>
      </c>
      <c r="D4" t="s">
        <v>653</v>
      </c>
      <c r="I4" t="s">
        <v>71</v>
      </c>
      <c r="J4" t="s">
        <v>66</v>
      </c>
      <c r="K4" t="s">
        <v>564</v>
      </c>
      <c r="L4" t="s">
        <v>653</v>
      </c>
    </row>
    <row r="5" spans="1:12" x14ac:dyDescent="0.25">
      <c r="A5" t="s">
        <v>71</v>
      </c>
      <c r="B5" t="s">
        <v>552</v>
      </c>
      <c r="C5" t="s">
        <v>568</v>
      </c>
      <c r="D5" t="s">
        <v>654</v>
      </c>
      <c r="I5" t="s">
        <v>71</v>
      </c>
      <c r="J5" t="s">
        <v>66</v>
      </c>
      <c r="K5" t="s">
        <v>568</v>
      </c>
      <c r="L5" t="s">
        <v>654</v>
      </c>
    </row>
    <row r="6" spans="1:12" x14ac:dyDescent="0.25">
      <c r="A6" t="s">
        <v>71</v>
      </c>
      <c r="B6" t="s">
        <v>552</v>
      </c>
      <c r="C6" t="s">
        <v>183</v>
      </c>
      <c r="D6" t="s">
        <v>184</v>
      </c>
      <c r="I6" t="s">
        <v>71</v>
      </c>
      <c r="J6" t="s">
        <v>66</v>
      </c>
      <c r="K6" t="s">
        <v>183</v>
      </c>
      <c r="L6" t="s">
        <v>184</v>
      </c>
    </row>
    <row r="7" spans="1:12" x14ac:dyDescent="0.25">
      <c r="A7" t="s">
        <v>71</v>
      </c>
      <c r="B7" t="s">
        <v>552</v>
      </c>
      <c r="C7" t="s">
        <v>185</v>
      </c>
      <c r="D7" t="s">
        <v>72</v>
      </c>
      <c r="I7" t="s">
        <v>71</v>
      </c>
      <c r="J7" t="s">
        <v>66</v>
      </c>
      <c r="K7" t="s">
        <v>185</v>
      </c>
      <c r="L7" t="s">
        <v>72</v>
      </c>
    </row>
    <row r="8" spans="1:12" x14ac:dyDescent="0.25">
      <c r="A8" t="s">
        <v>71</v>
      </c>
      <c r="B8" t="s">
        <v>552</v>
      </c>
      <c r="C8" t="s">
        <v>572</v>
      </c>
      <c r="D8" t="s">
        <v>655</v>
      </c>
      <c r="I8" t="s">
        <v>71</v>
      </c>
      <c r="J8" t="s">
        <v>66</v>
      </c>
      <c r="K8" t="s">
        <v>572</v>
      </c>
      <c r="L8" t="s">
        <v>655</v>
      </c>
    </row>
    <row r="9" spans="1:12" x14ac:dyDescent="0.25">
      <c r="A9" t="s">
        <v>71</v>
      </c>
      <c r="B9" t="s">
        <v>552</v>
      </c>
      <c r="C9" t="s">
        <v>230</v>
      </c>
      <c r="D9" t="s">
        <v>231</v>
      </c>
      <c r="I9" t="s">
        <v>71</v>
      </c>
      <c r="J9" t="s">
        <v>66</v>
      </c>
      <c r="K9" t="s">
        <v>230</v>
      </c>
      <c r="L9" t="s">
        <v>231</v>
      </c>
    </row>
    <row r="10" spans="1:12" x14ac:dyDescent="0.25">
      <c r="A10" t="s">
        <v>71</v>
      </c>
      <c r="B10" t="s">
        <v>552</v>
      </c>
      <c r="C10" t="s">
        <v>575</v>
      </c>
      <c r="D10" t="s">
        <v>656</v>
      </c>
      <c r="I10" t="s">
        <v>71</v>
      </c>
      <c r="J10" t="s">
        <v>66</v>
      </c>
      <c r="K10" t="s">
        <v>575</v>
      </c>
      <c r="L10" t="s">
        <v>656</v>
      </c>
    </row>
    <row r="11" spans="1:12" x14ac:dyDescent="0.25">
      <c r="A11" t="s">
        <v>71</v>
      </c>
      <c r="B11" t="s">
        <v>552</v>
      </c>
      <c r="C11" t="s">
        <v>577</v>
      </c>
      <c r="D11" t="s">
        <v>657</v>
      </c>
      <c r="I11" t="s">
        <v>71</v>
      </c>
      <c r="J11" t="s">
        <v>66</v>
      </c>
      <c r="K11" t="s">
        <v>577</v>
      </c>
      <c r="L11" t="s">
        <v>657</v>
      </c>
    </row>
    <row r="12" spans="1:12" x14ac:dyDescent="0.25">
      <c r="A12" t="s">
        <v>71</v>
      </c>
      <c r="B12" t="s">
        <v>552</v>
      </c>
      <c r="C12" t="s">
        <v>579</v>
      </c>
      <c r="D12" t="s">
        <v>658</v>
      </c>
      <c r="I12" t="s">
        <v>71</v>
      </c>
      <c r="J12" t="s">
        <v>66</v>
      </c>
      <c r="K12" t="s">
        <v>579</v>
      </c>
      <c r="L12" t="s">
        <v>658</v>
      </c>
    </row>
    <row r="13" spans="1:12" x14ac:dyDescent="0.25">
      <c r="A13" t="s">
        <v>71</v>
      </c>
      <c r="B13" t="s">
        <v>552</v>
      </c>
      <c r="C13" t="s">
        <v>581</v>
      </c>
      <c r="D13" t="s">
        <v>659</v>
      </c>
      <c r="I13" t="s">
        <v>71</v>
      </c>
      <c r="J13" t="s">
        <v>66</v>
      </c>
      <c r="K13" t="s">
        <v>581</v>
      </c>
      <c r="L13" t="s">
        <v>659</v>
      </c>
    </row>
    <row r="14" spans="1:12" x14ac:dyDescent="0.25">
      <c r="A14" t="s">
        <v>20</v>
      </c>
      <c r="B14" t="s">
        <v>552</v>
      </c>
      <c r="C14" t="s">
        <v>21</v>
      </c>
      <c r="D14" t="s">
        <v>22</v>
      </c>
      <c r="I14" t="s">
        <v>20</v>
      </c>
      <c r="J14" t="s">
        <v>66</v>
      </c>
      <c r="K14" t="s">
        <v>21</v>
      </c>
      <c r="L14" t="s">
        <v>22</v>
      </c>
    </row>
    <row r="15" spans="1:12" x14ac:dyDescent="0.25">
      <c r="A15" t="s">
        <v>20</v>
      </c>
      <c r="B15" t="s">
        <v>436</v>
      </c>
      <c r="C15" t="s">
        <v>35</v>
      </c>
      <c r="D15" t="s">
        <v>36</v>
      </c>
      <c r="I15" t="s">
        <v>20</v>
      </c>
      <c r="J15" t="s">
        <v>34</v>
      </c>
      <c r="K15" t="s">
        <v>35</v>
      </c>
      <c r="L15" t="s">
        <v>36</v>
      </c>
    </row>
    <row r="16" spans="1:12" x14ac:dyDescent="0.25">
      <c r="A16" t="s">
        <v>20</v>
      </c>
      <c r="B16" t="s">
        <v>436</v>
      </c>
      <c r="C16" t="s">
        <v>164</v>
      </c>
      <c r="D16" t="s">
        <v>165</v>
      </c>
      <c r="I16" t="s">
        <v>20</v>
      </c>
      <c r="J16" t="s">
        <v>34</v>
      </c>
      <c r="K16" t="s">
        <v>164</v>
      </c>
      <c r="L16" t="s">
        <v>165</v>
      </c>
    </row>
    <row r="17" spans="1:12" x14ac:dyDescent="0.25">
      <c r="A17" t="s">
        <v>20</v>
      </c>
      <c r="B17" t="s">
        <v>436</v>
      </c>
      <c r="C17" t="s">
        <v>49</v>
      </c>
      <c r="D17" t="s">
        <v>50</v>
      </c>
      <c r="I17" t="s">
        <v>20</v>
      </c>
      <c r="J17" t="s">
        <v>34</v>
      </c>
      <c r="K17" t="s">
        <v>49</v>
      </c>
      <c r="L17" t="s">
        <v>50</v>
      </c>
    </row>
    <row r="18" spans="1:12" x14ac:dyDescent="0.25">
      <c r="A18" t="s">
        <v>20</v>
      </c>
      <c r="B18" t="s">
        <v>436</v>
      </c>
      <c r="C18" t="s">
        <v>62</v>
      </c>
      <c r="D18" t="s">
        <v>63</v>
      </c>
      <c r="I18" t="s">
        <v>20</v>
      </c>
      <c r="J18" t="s">
        <v>34</v>
      </c>
      <c r="K18" t="s">
        <v>62</v>
      </c>
      <c r="L18" t="s">
        <v>63</v>
      </c>
    </row>
    <row r="19" spans="1:12" x14ac:dyDescent="0.25">
      <c r="A19" t="s">
        <v>20</v>
      </c>
      <c r="B19" t="s">
        <v>436</v>
      </c>
      <c r="C19" t="s">
        <v>441</v>
      </c>
      <c r="D19" t="s">
        <v>729</v>
      </c>
      <c r="I19" t="s">
        <v>20</v>
      </c>
      <c r="J19" t="s">
        <v>34</v>
      </c>
      <c r="K19" t="s">
        <v>441</v>
      </c>
      <c r="L19" t="s">
        <v>729</v>
      </c>
    </row>
    <row r="20" spans="1:12" x14ac:dyDescent="0.25">
      <c r="A20" t="s">
        <v>20</v>
      </c>
      <c r="B20" t="s">
        <v>436</v>
      </c>
      <c r="C20" t="s">
        <v>113</v>
      </c>
      <c r="D20" t="s">
        <v>114</v>
      </c>
      <c r="I20" t="s">
        <v>20</v>
      </c>
      <c r="J20" t="s">
        <v>34</v>
      </c>
      <c r="K20" t="s">
        <v>113</v>
      </c>
      <c r="L20" t="s">
        <v>114</v>
      </c>
    </row>
    <row r="21" spans="1:12" x14ac:dyDescent="0.25">
      <c r="A21" t="s">
        <v>20</v>
      </c>
      <c r="B21" t="s">
        <v>436</v>
      </c>
      <c r="C21" t="s">
        <v>144</v>
      </c>
      <c r="D21" t="s">
        <v>145</v>
      </c>
      <c r="I21" t="s">
        <v>20</v>
      </c>
      <c r="J21" t="s">
        <v>34</v>
      </c>
      <c r="K21" t="s">
        <v>144</v>
      </c>
      <c r="L21" t="s">
        <v>145</v>
      </c>
    </row>
    <row r="22" spans="1:12" x14ac:dyDescent="0.25">
      <c r="A22" t="s">
        <v>20</v>
      </c>
      <c r="B22" t="s">
        <v>436</v>
      </c>
      <c r="C22" t="s">
        <v>150</v>
      </c>
      <c r="D22" t="s">
        <v>151</v>
      </c>
      <c r="I22" t="s">
        <v>20</v>
      </c>
      <c r="J22" t="s">
        <v>34</v>
      </c>
      <c r="K22" t="s">
        <v>150</v>
      </c>
      <c r="L22" t="s">
        <v>151</v>
      </c>
    </row>
    <row r="23" spans="1:12" x14ac:dyDescent="0.25">
      <c r="A23" t="s">
        <v>20</v>
      </c>
      <c r="B23" t="s">
        <v>37</v>
      </c>
      <c r="C23" t="s">
        <v>162</v>
      </c>
      <c r="D23" t="s">
        <v>163</v>
      </c>
      <c r="I23" t="s">
        <v>20</v>
      </c>
      <c r="J23" t="s">
        <v>37</v>
      </c>
      <c r="K23" t="s">
        <v>162</v>
      </c>
      <c r="L23" t="s">
        <v>163</v>
      </c>
    </row>
    <row r="24" spans="1:12" x14ac:dyDescent="0.25">
      <c r="A24" t="s">
        <v>20</v>
      </c>
      <c r="B24" t="s">
        <v>37</v>
      </c>
      <c r="C24" t="s">
        <v>37</v>
      </c>
      <c r="D24" t="s">
        <v>77</v>
      </c>
      <c r="I24" t="s">
        <v>20</v>
      </c>
      <c r="J24" t="s">
        <v>37</v>
      </c>
      <c r="K24" t="s">
        <v>37</v>
      </c>
      <c r="L24" t="s">
        <v>77</v>
      </c>
    </row>
    <row r="25" spans="1:12" x14ac:dyDescent="0.25">
      <c r="A25" t="s">
        <v>20</v>
      </c>
      <c r="B25" t="s">
        <v>37</v>
      </c>
      <c r="C25" t="s">
        <v>305</v>
      </c>
      <c r="D25" t="s">
        <v>77</v>
      </c>
      <c r="I25" t="s">
        <v>20</v>
      </c>
      <c r="J25" t="s">
        <v>37</v>
      </c>
      <c r="K25" t="s">
        <v>305</v>
      </c>
      <c r="L25" t="s">
        <v>77</v>
      </c>
    </row>
    <row r="26" spans="1:12" x14ac:dyDescent="0.25">
      <c r="A26" t="s">
        <v>20</v>
      </c>
      <c r="B26" t="s">
        <v>37</v>
      </c>
      <c r="C26" t="s">
        <v>121</v>
      </c>
      <c r="D26" t="s">
        <v>122</v>
      </c>
      <c r="I26" t="s">
        <v>20</v>
      </c>
      <c r="J26" t="s">
        <v>37</v>
      </c>
      <c r="K26" t="s">
        <v>121</v>
      </c>
      <c r="L26" t="s">
        <v>122</v>
      </c>
    </row>
    <row r="27" spans="1:12" x14ac:dyDescent="0.25">
      <c r="A27" t="s">
        <v>20</v>
      </c>
      <c r="B27" t="s">
        <v>37</v>
      </c>
      <c r="C27" t="s">
        <v>152</v>
      </c>
      <c r="D27" t="s">
        <v>153</v>
      </c>
      <c r="I27" t="s">
        <v>20</v>
      </c>
      <c r="J27" t="s">
        <v>37</v>
      </c>
      <c r="K27" t="s">
        <v>152</v>
      </c>
      <c r="L27" t="s">
        <v>153</v>
      </c>
    </row>
    <row r="28" spans="1:12" x14ac:dyDescent="0.25">
      <c r="A28" t="s">
        <v>155</v>
      </c>
      <c r="B28" t="s">
        <v>552</v>
      </c>
      <c r="C28" t="s">
        <v>186</v>
      </c>
      <c r="D28" t="s">
        <v>187</v>
      </c>
      <c r="I28" t="s">
        <v>155</v>
      </c>
      <c r="J28" t="s">
        <v>66</v>
      </c>
      <c r="K28" t="s">
        <v>186</v>
      </c>
      <c r="L28" t="s">
        <v>187</v>
      </c>
    </row>
    <row r="29" spans="1:12" x14ac:dyDescent="0.25">
      <c r="A29" t="s">
        <v>155</v>
      </c>
      <c r="B29" t="s">
        <v>552</v>
      </c>
      <c r="C29" t="s">
        <v>159</v>
      </c>
      <c r="D29" t="s">
        <v>160</v>
      </c>
      <c r="I29" t="s">
        <v>155</v>
      </c>
      <c r="J29" t="s">
        <v>66</v>
      </c>
      <c r="K29" t="s">
        <v>159</v>
      </c>
      <c r="L29" t="s">
        <v>160</v>
      </c>
    </row>
    <row r="30" spans="1:12" x14ac:dyDescent="0.25">
      <c r="A30" t="s">
        <v>155</v>
      </c>
      <c r="B30" t="s">
        <v>552</v>
      </c>
      <c r="C30" t="s">
        <v>188</v>
      </c>
      <c r="D30" t="s">
        <v>189</v>
      </c>
      <c r="I30" t="s">
        <v>155</v>
      </c>
      <c r="J30" t="s">
        <v>66</v>
      </c>
      <c r="K30" t="s">
        <v>188</v>
      </c>
      <c r="L30" t="s">
        <v>189</v>
      </c>
    </row>
    <row r="31" spans="1:12" x14ac:dyDescent="0.25">
      <c r="A31" t="s">
        <v>155</v>
      </c>
      <c r="B31" t="s">
        <v>552</v>
      </c>
      <c r="C31" t="s">
        <v>190</v>
      </c>
      <c r="D31" t="s">
        <v>191</v>
      </c>
      <c r="I31" t="s">
        <v>155</v>
      </c>
      <c r="J31" t="s">
        <v>66</v>
      </c>
      <c r="K31" t="s">
        <v>190</v>
      </c>
      <c r="L31" t="s">
        <v>191</v>
      </c>
    </row>
    <row r="32" spans="1:12" x14ac:dyDescent="0.25">
      <c r="A32" t="s">
        <v>155</v>
      </c>
      <c r="B32" t="s">
        <v>552</v>
      </c>
      <c r="C32" t="s">
        <v>192</v>
      </c>
      <c r="D32" t="s">
        <v>193</v>
      </c>
      <c r="I32" t="s">
        <v>155</v>
      </c>
      <c r="J32" t="s">
        <v>66</v>
      </c>
      <c r="K32" t="s">
        <v>192</v>
      </c>
      <c r="L32" t="s">
        <v>193</v>
      </c>
    </row>
    <row r="33" spans="1:12" x14ac:dyDescent="0.25">
      <c r="A33" t="s">
        <v>155</v>
      </c>
      <c r="B33" t="s">
        <v>552</v>
      </c>
      <c r="C33" t="s">
        <v>194</v>
      </c>
      <c r="D33" t="s">
        <v>195</v>
      </c>
      <c r="I33" t="s">
        <v>155</v>
      </c>
      <c r="J33" t="s">
        <v>66</v>
      </c>
      <c r="K33" t="s">
        <v>194</v>
      </c>
      <c r="L33" t="s">
        <v>195</v>
      </c>
    </row>
    <row r="34" spans="1:12" x14ac:dyDescent="0.25">
      <c r="A34" t="s">
        <v>155</v>
      </c>
      <c r="B34" t="s">
        <v>552</v>
      </c>
      <c r="C34" t="s">
        <v>156</v>
      </c>
      <c r="D34" t="s">
        <v>157</v>
      </c>
      <c r="I34" t="s">
        <v>155</v>
      </c>
      <c r="J34" t="s">
        <v>66</v>
      </c>
      <c r="K34" t="s">
        <v>156</v>
      </c>
      <c r="L34" t="s">
        <v>157</v>
      </c>
    </row>
    <row r="35" spans="1:12" x14ac:dyDescent="0.25">
      <c r="A35" t="s">
        <v>155</v>
      </c>
      <c r="B35" t="s">
        <v>552</v>
      </c>
      <c r="C35" t="s">
        <v>196</v>
      </c>
      <c r="D35" t="s">
        <v>197</v>
      </c>
      <c r="I35" t="s">
        <v>155</v>
      </c>
      <c r="J35" t="s">
        <v>66</v>
      </c>
      <c r="K35" t="s">
        <v>196</v>
      </c>
      <c r="L35" t="s">
        <v>197</v>
      </c>
    </row>
    <row r="36" spans="1:12" x14ac:dyDescent="0.25">
      <c r="A36" t="s">
        <v>44</v>
      </c>
      <c r="B36" t="s">
        <v>518</v>
      </c>
      <c r="C36" t="s">
        <v>517</v>
      </c>
      <c r="D36" t="s">
        <v>676</v>
      </c>
      <c r="I36" t="s">
        <v>44</v>
      </c>
      <c r="J36" t="s">
        <v>812</v>
      </c>
      <c r="K36" t="s">
        <v>517</v>
      </c>
      <c r="L36" t="s">
        <v>676</v>
      </c>
    </row>
    <row r="37" spans="1:12" x14ac:dyDescent="0.25">
      <c r="A37" t="s">
        <v>44</v>
      </c>
      <c r="B37" t="s">
        <v>518</v>
      </c>
      <c r="C37" t="s">
        <v>520</v>
      </c>
      <c r="D37" t="s">
        <v>677</v>
      </c>
      <c r="I37" t="s">
        <v>44</v>
      </c>
      <c r="J37" t="s">
        <v>812</v>
      </c>
      <c r="K37" t="s">
        <v>520</v>
      </c>
      <c r="L37" t="s">
        <v>677</v>
      </c>
    </row>
    <row r="38" spans="1:12" x14ac:dyDescent="0.25">
      <c r="A38" t="s">
        <v>44</v>
      </c>
      <c r="B38" t="s">
        <v>518</v>
      </c>
      <c r="C38" t="s">
        <v>521</v>
      </c>
      <c r="D38" t="s">
        <v>678</v>
      </c>
      <c r="I38" t="s">
        <v>44</v>
      </c>
      <c r="J38" t="s">
        <v>812</v>
      </c>
      <c r="K38" t="s">
        <v>521</v>
      </c>
      <c r="L38" t="s">
        <v>678</v>
      </c>
    </row>
    <row r="39" spans="1:12" x14ac:dyDescent="0.25">
      <c r="A39" t="s">
        <v>44</v>
      </c>
      <c r="B39" t="s">
        <v>518</v>
      </c>
      <c r="C39" t="s">
        <v>204</v>
      </c>
      <c r="D39" t="s">
        <v>205</v>
      </c>
      <c r="I39" t="s">
        <v>44</v>
      </c>
      <c r="J39" t="s">
        <v>812</v>
      </c>
      <c r="K39" t="s">
        <v>204</v>
      </c>
      <c r="L39" t="s">
        <v>205</v>
      </c>
    </row>
    <row r="40" spans="1:12" x14ac:dyDescent="0.25">
      <c r="A40" t="s">
        <v>44</v>
      </c>
      <c r="B40" t="s">
        <v>518</v>
      </c>
      <c r="C40" t="s">
        <v>198</v>
      </c>
      <c r="D40" t="s">
        <v>199</v>
      </c>
      <c r="I40" t="s">
        <v>44</v>
      </c>
      <c r="J40" t="s">
        <v>812</v>
      </c>
      <c r="K40" t="s">
        <v>198</v>
      </c>
      <c r="L40" t="s">
        <v>199</v>
      </c>
    </row>
    <row r="41" spans="1:12" x14ac:dyDescent="0.25">
      <c r="A41" t="s">
        <v>44</v>
      </c>
      <c r="B41" t="s">
        <v>518</v>
      </c>
      <c r="C41" t="s">
        <v>200</v>
      </c>
      <c r="D41" t="s">
        <v>201</v>
      </c>
      <c r="I41" t="s">
        <v>44</v>
      </c>
      <c r="J41" t="s">
        <v>812</v>
      </c>
      <c r="K41" t="s">
        <v>200</v>
      </c>
      <c r="L41" t="s">
        <v>201</v>
      </c>
    </row>
    <row r="42" spans="1:12" x14ac:dyDescent="0.25">
      <c r="A42" t="s">
        <v>44</v>
      </c>
      <c r="B42" t="s">
        <v>518</v>
      </c>
      <c r="C42" t="s">
        <v>523</v>
      </c>
      <c r="D42" t="s">
        <v>679</v>
      </c>
      <c r="I42" t="s">
        <v>44</v>
      </c>
      <c r="J42" t="s">
        <v>812</v>
      </c>
      <c r="K42" t="s">
        <v>523</v>
      </c>
      <c r="L42" t="s">
        <v>679</v>
      </c>
    </row>
    <row r="43" spans="1:12" x14ac:dyDescent="0.25">
      <c r="A43" t="s">
        <v>44</v>
      </c>
      <c r="B43" t="s">
        <v>518</v>
      </c>
      <c r="C43" t="s">
        <v>45</v>
      </c>
      <c r="D43" t="s">
        <v>46</v>
      </c>
      <c r="I43" t="s">
        <v>44</v>
      </c>
      <c r="J43" t="s">
        <v>812</v>
      </c>
      <c r="K43" t="s">
        <v>45</v>
      </c>
      <c r="L43" t="s">
        <v>46</v>
      </c>
    </row>
    <row r="44" spans="1:12" x14ac:dyDescent="0.25">
      <c r="A44" t="s">
        <v>44</v>
      </c>
      <c r="B44" t="s">
        <v>518</v>
      </c>
      <c r="C44" t="s">
        <v>526</v>
      </c>
      <c r="D44" t="s">
        <v>680</v>
      </c>
      <c r="I44" t="s">
        <v>44</v>
      </c>
      <c r="J44" t="s">
        <v>812</v>
      </c>
      <c r="K44" t="s">
        <v>526</v>
      </c>
      <c r="L44" t="s">
        <v>680</v>
      </c>
    </row>
    <row r="45" spans="1:12" x14ac:dyDescent="0.25">
      <c r="A45" t="s">
        <v>44</v>
      </c>
      <c r="B45" t="s">
        <v>518</v>
      </c>
      <c r="C45" t="s">
        <v>527</v>
      </c>
      <c r="D45" t="s">
        <v>681</v>
      </c>
      <c r="I45" t="s">
        <v>44</v>
      </c>
      <c r="J45" t="s">
        <v>812</v>
      </c>
      <c r="K45" t="s">
        <v>527</v>
      </c>
      <c r="L45" t="s">
        <v>681</v>
      </c>
    </row>
    <row r="46" spans="1:12" x14ac:dyDescent="0.25">
      <c r="A46" t="s">
        <v>44</v>
      </c>
      <c r="B46" t="s">
        <v>518</v>
      </c>
      <c r="C46" t="s">
        <v>528</v>
      </c>
      <c r="D46" t="s">
        <v>682</v>
      </c>
      <c r="I46" t="s">
        <v>44</v>
      </c>
      <c r="J46" t="s">
        <v>812</v>
      </c>
      <c r="K46" t="s">
        <v>528</v>
      </c>
      <c r="L46" t="s">
        <v>682</v>
      </c>
    </row>
    <row r="47" spans="1:12" x14ac:dyDescent="0.25">
      <c r="A47" t="s">
        <v>44</v>
      </c>
      <c r="B47" t="s">
        <v>518</v>
      </c>
      <c r="C47" t="s">
        <v>529</v>
      </c>
      <c r="D47" t="s">
        <v>683</v>
      </c>
      <c r="I47" t="s">
        <v>44</v>
      </c>
      <c r="J47" t="s">
        <v>812</v>
      </c>
      <c r="K47" t="s">
        <v>529</v>
      </c>
      <c r="L47" t="s">
        <v>683</v>
      </c>
    </row>
    <row r="48" spans="1:12" x14ac:dyDescent="0.25">
      <c r="A48" t="s">
        <v>44</v>
      </c>
      <c r="B48" t="s">
        <v>518</v>
      </c>
      <c r="C48" t="s">
        <v>530</v>
      </c>
      <c r="D48" t="s">
        <v>684</v>
      </c>
      <c r="I48" t="s">
        <v>44</v>
      </c>
      <c r="J48" t="s">
        <v>812</v>
      </c>
      <c r="K48" t="s">
        <v>530</v>
      </c>
      <c r="L48" t="s">
        <v>684</v>
      </c>
    </row>
    <row r="49" spans="1:12" x14ac:dyDescent="0.25">
      <c r="A49" t="s">
        <v>44</v>
      </c>
      <c r="B49" t="s">
        <v>518</v>
      </c>
      <c r="C49" t="s">
        <v>531</v>
      </c>
      <c r="D49" t="s">
        <v>685</v>
      </c>
      <c r="I49" t="s">
        <v>44</v>
      </c>
      <c r="J49" t="s">
        <v>812</v>
      </c>
      <c r="K49" t="s">
        <v>531</v>
      </c>
      <c r="L49" t="s">
        <v>685</v>
      </c>
    </row>
    <row r="50" spans="1:12" x14ac:dyDescent="0.25">
      <c r="A50" t="s">
        <v>44</v>
      </c>
      <c r="B50" t="s">
        <v>518</v>
      </c>
      <c r="C50" t="s">
        <v>532</v>
      </c>
      <c r="D50" t="s">
        <v>686</v>
      </c>
      <c r="I50" t="s">
        <v>44</v>
      </c>
      <c r="J50" t="s">
        <v>812</v>
      </c>
      <c r="K50" t="s">
        <v>532</v>
      </c>
      <c r="L50" t="s">
        <v>686</v>
      </c>
    </row>
    <row r="51" spans="1:12" x14ac:dyDescent="0.25">
      <c r="A51" t="s">
        <v>44</v>
      </c>
      <c r="B51" t="s">
        <v>518</v>
      </c>
      <c r="C51" t="s">
        <v>534</v>
      </c>
      <c r="D51" t="s">
        <v>687</v>
      </c>
      <c r="I51" t="s">
        <v>44</v>
      </c>
      <c r="J51" t="s">
        <v>812</v>
      </c>
      <c r="K51" t="s">
        <v>534</v>
      </c>
      <c r="L51" t="s">
        <v>687</v>
      </c>
    </row>
    <row r="52" spans="1:12" x14ac:dyDescent="0.25">
      <c r="A52" t="s">
        <v>44</v>
      </c>
      <c r="B52" t="s">
        <v>518</v>
      </c>
      <c r="C52" t="s">
        <v>100</v>
      </c>
      <c r="D52" t="s">
        <v>101</v>
      </c>
      <c r="I52" t="s">
        <v>44</v>
      </c>
      <c r="J52" t="s">
        <v>812</v>
      </c>
      <c r="K52" t="s">
        <v>100</v>
      </c>
      <c r="L52" t="s">
        <v>101</v>
      </c>
    </row>
    <row r="53" spans="1:12" x14ac:dyDescent="0.25">
      <c r="A53" t="s">
        <v>44</v>
      </c>
      <c r="B53" t="s">
        <v>518</v>
      </c>
      <c r="C53" t="s">
        <v>202</v>
      </c>
      <c r="D53" t="s">
        <v>203</v>
      </c>
      <c r="I53" t="s">
        <v>44</v>
      </c>
      <c r="J53" t="s">
        <v>812</v>
      </c>
      <c r="K53" t="s">
        <v>202</v>
      </c>
      <c r="L53" t="s">
        <v>203</v>
      </c>
    </row>
    <row r="54" spans="1:12" x14ac:dyDescent="0.25">
      <c r="A54" t="s">
        <v>44</v>
      </c>
      <c r="B54" t="s">
        <v>518</v>
      </c>
      <c r="C54" t="s">
        <v>538</v>
      </c>
      <c r="D54" t="s">
        <v>115</v>
      </c>
      <c r="I54" t="s">
        <v>44</v>
      </c>
      <c r="J54" t="s">
        <v>812</v>
      </c>
      <c r="K54" t="s">
        <v>538</v>
      </c>
      <c r="L54" t="s">
        <v>115</v>
      </c>
    </row>
    <row r="55" spans="1:12" x14ac:dyDescent="0.25">
      <c r="A55" t="s">
        <v>44</v>
      </c>
      <c r="B55" t="s">
        <v>518</v>
      </c>
      <c r="C55" t="s">
        <v>539</v>
      </c>
      <c r="D55" t="s">
        <v>688</v>
      </c>
      <c r="I55" t="s">
        <v>44</v>
      </c>
      <c r="J55" t="s">
        <v>812</v>
      </c>
      <c r="K55" t="s">
        <v>539</v>
      </c>
      <c r="L55" t="s">
        <v>688</v>
      </c>
    </row>
    <row r="56" spans="1:12" x14ac:dyDescent="0.25">
      <c r="A56" t="s">
        <v>44</v>
      </c>
      <c r="B56" t="s">
        <v>518</v>
      </c>
      <c r="C56" t="s">
        <v>541</v>
      </c>
      <c r="D56" t="s">
        <v>689</v>
      </c>
      <c r="I56" t="s">
        <v>44</v>
      </c>
      <c r="J56" t="s">
        <v>812</v>
      </c>
      <c r="K56" t="s">
        <v>541</v>
      </c>
      <c r="L56" t="s">
        <v>689</v>
      </c>
    </row>
    <row r="57" spans="1:12" x14ac:dyDescent="0.25">
      <c r="A57" t="s">
        <v>44</v>
      </c>
      <c r="B57" t="s">
        <v>518</v>
      </c>
      <c r="C57" t="s">
        <v>543</v>
      </c>
      <c r="D57" t="s">
        <v>690</v>
      </c>
      <c r="I57" t="s">
        <v>44</v>
      </c>
      <c r="J57" t="s">
        <v>812</v>
      </c>
      <c r="K57" t="s">
        <v>543</v>
      </c>
      <c r="L57" t="s">
        <v>690</v>
      </c>
    </row>
    <row r="58" spans="1:12" x14ac:dyDescent="0.25">
      <c r="A58" t="s">
        <v>44</v>
      </c>
      <c r="B58" t="s">
        <v>518</v>
      </c>
      <c r="C58" t="s">
        <v>545</v>
      </c>
      <c r="D58" t="s">
        <v>691</v>
      </c>
      <c r="I58" t="s">
        <v>44</v>
      </c>
      <c r="J58" t="s">
        <v>812</v>
      </c>
      <c r="K58" t="s">
        <v>545</v>
      </c>
      <c r="L58" t="s">
        <v>691</v>
      </c>
    </row>
    <row r="59" spans="1:12" x14ac:dyDescent="0.25">
      <c r="A59" t="s">
        <v>44</v>
      </c>
      <c r="B59" t="s">
        <v>518</v>
      </c>
      <c r="C59" t="s">
        <v>546</v>
      </c>
      <c r="D59" t="s">
        <v>692</v>
      </c>
      <c r="I59" t="s">
        <v>44</v>
      </c>
      <c r="J59" t="s">
        <v>812</v>
      </c>
      <c r="K59" t="s">
        <v>546</v>
      </c>
      <c r="L59" t="s">
        <v>692</v>
      </c>
    </row>
    <row r="60" spans="1:12" x14ac:dyDescent="0.25">
      <c r="A60" t="s">
        <v>44</v>
      </c>
      <c r="B60" t="s">
        <v>518</v>
      </c>
      <c r="C60" t="s">
        <v>146</v>
      </c>
      <c r="D60" t="s">
        <v>147</v>
      </c>
      <c r="I60" t="s">
        <v>44</v>
      </c>
      <c r="J60" t="s">
        <v>812</v>
      </c>
      <c r="K60" t="s">
        <v>146</v>
      </c>
      <c r="L60" t="s">
        <v>147</v>
      </c>
    </row>
    <row r="61" spans="1:12" x14ac:dyDescent="0.25">
      <c r="A61" t="s">
        <v>44</v>
      </c>
      <c r="B61" t="s">
        <v>471</v>
      </c>
      <c r="C61" t="s">
        <v>470</v>
      </c>
      <c r="D61" t="s">
        <v>718</v>
      </c>
      <c r="I61" t="s">
        <v>44</v>
      </c>
      <c r="J61" t="s">
        <v>69</v>
      </c>
      <c r="K61" t="s">
        <v>470</v>
      </c>
      <c r="L61" t="s">
        <v>718</v>
      </c>
    </row>
    <row r="62" spans="1:12" x14ac:dyDescent="0.25">
      <c r="A62" t="s">
        <v>44</v>
      </c>
      <c r="B62" t="s">
        <v>471</v>
      </c>
      <c r="C62" t="s">
        <v>69</v>
      </c>
      <c r="D62" t="s">
        <v>70</v>
      </c>
      <c r="I62" t="s">
        <v>44</v>
      </c>
      <c r="J62" t="s">
        <v>69</v>
      </c>
      <c r="K62" t="s">
        <v>69</v>
      </c>
      <c r="L62" t="s">
        <v>70</v>
      </c>
    </row>
    <row r="63" spans="1:12" x14ac:dyDescent="0.25">
      <c r="A63" t="s">
        <v>73</v>
      </c>
      <c r="B63" t="s">
        <v>455</v>
      </c>
      <c r="C63" t="s">
        <v>454</v>
      </c>
      <c r="D63" t="s">
        <v>724</v>
      </c>
      <c r="I63" t="s">
        <v>73</v>
      </c>
      <c r="J63" t="s">
        <v>74</v>
      </c>
      <c r="K63" t="s">
        <v>454</v>
      </c>
      <c r="L63" t="s">
        <v>724</v>
      </c>
    </row>
    <row r="64" spans="1:12" x14ac:dyDescent="0.25">
      <c r="A64" t="s">
        <v>73</v>
      </c>
      <c r="B64" t="s">
        <v>455</v>
      </c>
      <c r="C64" t="s">
        <v>206</v>
      </c>
      <c r="D64" t="s">
        <v>207</v>
      </c>
      <c r="I64" t="s">
        <v>73</v>
      </c>
      <c r="J64" t="s">
        <v>74</v>
      </c>
      <c r="K64" t="s">
        <v>206</v>
      </c>
      <c r="L64" t="s">
        <v>207</v>
      </c>
    </row>
    <row r="65" spans="1:12" x14ac:dyDescent="0.25">
      <c r="A65" t="s">
        <v>73</v>
      </c>
      <c r="B65" t="s">
        <v>455</v>
      </c>
      <c r="C65" t="s">
        <v>459</v>
      </c>
      <c r="D65" t="s">
        <v>725</v>
      </c>
      <c r="I65" t="s">
        <v>73</v>
      </c>
      <c r="J65" t="s">
        <v>74</v>
      </c>
      <c r="K65" t="s">
        <v>459</v>
      </c>
      <c r="L65" t="s">
        <v>725</v>
      </c>
    </row>
    <row r="66" spans="1:12" x14ac:dyDescent="0.25">
      <c r="A66" t="s">
        <v>73</v>
      </c>
      <c r="B66" t="s">
        <v>455</v>
      </c>
      <c r="C66" t="s">
        <v>208</v>
      </c>
      <c r="D66" t="s">
        <v>209</v>
      </c>
      <c r="I66" t="s">
        <v>73</v>
      </c>
      <c r="J66" t="s">
        <v>74</v>
      </c>
      <c r="K66" t="s">
        <v>208</v>
      </c>
      <c r="L66" t="s">
        <v>209</v>
      </c>
    </row>
    <row r="67" spans="1:12" x14ac:dyDescent="0.25">
      <c r="A67" t="s">
        <v>73</v>
      </c>
      <c r="B67" t="s">
        <v>455</v>
      </c>
      <c r="C67" t="s">
        <v>210</v>
      </c>
      <c r="D67" t="s">
        <v>211</v>
      </c>
      <c r="I67" t="s">
        <v>73</v>
      </c>
      <c r="J67" t="s">
        <v>74</v>
      </c>
      <c r="K67" t="s">
        <v>210</v>
      </c>
      <c r="L67" t="s">
        <v>211</v>
      </c>
    </row>
    <row r="68" spans="1:12" x14ac:dyDescent="0.25">
      <c r="A68" t="s">
        <v>73</v>
      </c>
      <c r="B68" t="s">
        <v>455</v>
      </c>
      <c r="C68" t="s">
        <v>212</v>
      </c>
      <c r="D68" t="s">
        <v>213</v>
      </c>
      <c r="I68" t="s">
        <v>73</v>
      </c>
      <c r="J68" t="s">
        <v>74</v>
      </c>
      <c r="K68" t="s">
        <v>212</v>
      </c>
      <c r="L68" t="s">
        <v>213</v>
      </c>
    </row>
    <row r="69" spans="1:12" x14ac:dyDescent="0.25">
      <c r="A69" t="s">
        <v>73</v>
      </c>
      <c r="B69" t="s">
        <v>455</v>
      </c>
      <c r="C69" t="s">
        <v>74</v>
      </c>
      <c r="D69" t="s">
        <v>75</v>
      </c>
      <c r="I69" t="s">
        <v>73</v>
      </c>
      <c r="J69" t="s">
        <v>74</v>
      </c>
      <c r="K69" t="s">
        <v>74</v>
      </c>
      <c r="L69" t="s">
        <v>75</v>
      </c>
    </row>
    <row r="70" spans="1:12" x14ac:dyDescent="0.25">
      <c r="A70" t="s">
        <v>73</v>
      </c>
      <c r="B70" t="s">
        <v>455</v>
      </c>
      <c r="C70" t="s">
        <v>450</v>
      </c>
      <c r="D70" t="s">
        <v>126</v>
      </c>
      <c r="I70" t="s">
        <v>73</v>
      </c>
      <c r="J70" t="s">
        <v>74</v>
      </c>
      <c r="K70" t="s">
        <v>450</v>
      </c>
      <c r="L70" t="s">
        <v>126</v>
      </c>
    </row>
    <row r="71" spans="1:12" x14ac:dyDescent="0.25">
      <c r="A71" t="s">
        <v>73</v>
      </c>
      <c r="B71" t="s">
        <v>455</v>
      </c>
      <c r="C71" t="s">
        <v>464</v>
      </c>
      <c r="D71" t="s">
        <v>726</v>
      </c>
      <c r="I71" t="s">
        <v>73</v>
      </c>
      <c r="J71" t="s">
        <v>74</v>
      </c>
      <c r="K71" t="s">
        <v>464</v>
      </c>
      <c r="L71" t="s">
        <v>726</v>
      </c>
    </row>
    <row r="72" spans="1:12" x14ac:dyDescent="0.25">
      <c r="A72" t="s">
        <v>73</v>
      </c>
      <c r="B72" t="s">
        <v>455</v>
      </c>
      <c r="C72" t="s">
        <v>214</v>
      </c>
      <c r="D72" t="s">
        <v>215</v>
      </c>
      <c r="I72" t="s">
        <v>73</v>
      </c>
      <c r="J72" t="s">
        <v>74</v>
      </c>
      <c r="K72" t="s">
        <v>214</v>
      </c>
      <c r="L72" t="s">
        <v>215</v>
      </c>
    </row>
    <row r="73" spans="1:12" x14ac:dyDescent="0.25">
      <c r="A73" t="s">
        <v>73</v>
      </c>
      <c r="B73" t="s">
        <v>455</v>
      </c>
      <c r="C73" t="s">
        <v>466</v>
      </c>
      <c r="D73" t="s">
        <v>727</v>
      </c>
      <c r="I73" t="s">
        <v>73</v>
      </c>
      <c r="J73" t="s">
        <v>74</v>
      </c>
      <c r="K73" t="s">
        <v>466</v>
      </c>
      <c r="L73" t="s">
        <v>727</v>
      </c>
    </row>
    <row r="74" spans="1:12" x14ac:dyDescent="0.25">
      <c r="A74" t="s">
        <v>73</v>
      </c>
      <c r="B74" t="s">
        <v>455</v>
      </c>
      <c r="C74" t="s">
        <v>125</v>
      </c>
      <c r="D74" t="s">
        <v>126</v>
      </c>
      <c r="I74" t="s">
        <v>73</v>
      </c>
      <c r="J74" t="s">
        <v>74</v>
      </c>
      <c r="K74" t="s">
        <v>125</v>
      </c>
      <c r="L74" t="s">
        <v>126</v>
      </c>
    </row>
    <row r="75" spans="1:12" x14ac:dyDescent="0.25">
      <c r="A75" t="s">
        <v>73</v>
      </c>
      <c r="B75" t="s">
        <v>455</v>
      </c>
      <c r="C75" t="s">
        <v>468</v>
      </c>
      <c r="D75" t="s">
        <v>728</v>
      </c>
      <c r="I75" t="s">
        <v>73</v>
      </c>
      <c r="J75" t="s">
        <v>74</v>
      </c>
      <c r="K75" t="s">
        <v>468</v>
      </c>
      <c r="L75" t="s">
        <v>728</v>
      </c>
    </row>
    <row r="76" spans="1:12" x14ac:dyDescent="0.25">
      <c r="A76" t="s">
        <v>73</v>
      </c>
      <c r="B76" t="s">
        <v>425</v>
      </c>
      <c r="C76" t="s">
        <v>117</v>
      </c>
      <c r="D76" t="s">
        <v>118</v>
      </c>
      <c r="I76" t="s">
        <v>73</v>
      </c>
      <c r="J76" t="s">
        <v>116</v>
      </c>
      <c r="K76" t="s">
        <v>117</v>
      </c>
      <c r="L76" t="s">
        <v>118</v>
      </c>
    </row>
    <row r="77" spans="1:12" x14ac:dyDescent="0.25">
      <c r="A77" t="s">
        <v>73</v>
      </c>
      <c r="B77" t="s">
        <v>425</v>
      </c>
      <c r="C77" t="s">
        <v>216</v>
      </c>
      <c r="D77" t="s">
        <v>217</v>
      </c>
      <c r="I77" t="s">
        <v>73</v>
      </c>
      <c r="J77" t="s">
        <v>116</v>
      </c>
      <c r="K77" t="s">
        <v>216</v>
      </c>
      <c r="L77" t="s">
        <v>217</v>
      </c>
    </row>
    <row r="78" spans="1:12" x14ac:dyDescent="0.25">
      <c r="A78" t="s">
        <v>73</v>
      </c>
      <c r="B78" t="s">
        <v>425</v>
      </c>
      <c r="C78" t="s">
        <v>428</v>
      </c>
      <c r="D78" t="s">
        <v>753</v>
      </c>
      <c r="I78" t="s">
        <v>73</v>
      </c>
      <c r="J78" t="s">
        <v>116</v>
      </c>
      <c r="K78" t="s">
        <v>428</v>
      </c>
      <c r="L78" t="s">
        <v>753</v>
      </c>
    </row>
    <row r="79" spans="1:12" x14ac:dyDescent="0.25">
      <c r="A79" t="s">
        <v>73</v>
      </c>
      <c r="B79" t="s">
        <v>421</v>
      </c>
      <c r="C79" t="s">
        <v>119</v>
      </c>
      <c r="D79" t="s">
        <v>120</v>
      </c>
      <c r="I79" t="s">
        <v>73</v>
      </c>
      <c r="J79" t="s">
        <v>119</v>
      </c>
      <c r="K79" t="s">
        <v>119</v>
      </c>
      <c r="L79" t="s">
        <v>120</v>
      </c>
    </row>
    <row r="80" spans="1:12" x14ac:dyDescent="0.25">
      <c r="A80" t="s">
        <v>73</v>
      </c>
      <c r="B80" t="s">
        <v>421</v>
      </c>
      <c r="C80" t="s">
        <v>148</v>
      </c>
      <c r="D80" t="s">
        <v>149</v>
      </c>
      <c r="I80" t="s">
        <v>73</v>
      </c>
      <c r="J80" t="s">
        <v>119</v>
      </c>
      <c r="K80" t="s">
        <v>148</v>
      </c>
      <c r="L80" t="s">
        <v>149</v>
      </c>
    </row>
    <row r="81" spans="1:12" x14ac:dyDescent="0.25">
      <c r="A81" t="s">
        <v>41</v>
      </c>
      <c r="B81" t="s">
        <v>493</v>
      </c>
      <c r="C81" t="s">
        <v>492</v>
      </c>
      <c r="D81" t="s">
        <v>698</v>
      </c>
      <c r="I81" t="s">
        <v>41</v>
      </c>
      <c r="J81" t="s">
        <v>813</v>
      </c>
      <c r="K81" t="s">
        <v>492</v>
      </c>
      <c r="L81" t="s">
        <v>698</v>
      </c>
    </row>
    <row r="82" spans="1:12" x14ac:dyDescent="0.25">
      <c r="A82" t="s">
        <v>41</v>
      </c>
      <c r="B82" t="s">
        <v>493</v>
      </c>
      <c r="C82" t="s">
        <v>495</v>
      </c>
      <c r="D82" t="s">
        <v>699</v>
      </c>
      <c r="I82" t="s">
        <v>41</v>
      </c>
      <c r="J82" t="s">
        <v>813</v>
      </c>
      <c r="K82" t="s">
        <v>495</v>
      </c>
      <c r="L82" t="s">
        <v>699</v>
      </c>
    </row>
    <row r="83" spans="1:12" x14ac:dyDescent="0.25">
      <c r="A83" t="s">
        <v>41</v>
      </c>
      <c r="B83" t="s">
        <v>493</v>
      </c>
      <c r="C83" t="s">
        <v>497</v>
      </c>
      <c r="D83" t="s">
        <v>700</v>
      </c>
      <c r="I83" t="s">
        <v>41</v>
      </c>
      <c r="J83" t="s">
        <v>813</v>
      </c>
      <c r="K83" t="s">
        <v>497</v>
      </c>
      <c r="L83" t="s">
        <v>700</v>
      </c>
    </row>
    <row r="84" spans="1:12" x14ac:dyDescent="0.25">
      <c r="A84" t="s">
        <v>41</v>
      </c>
      <c r="B84" t="s">
        <v>493</v>
      </c>
      <c r="C84" t="s">
        <v>42</v>
      </c>
      <c r="D84" t="s">
        <v>43</v>
      </c>
      <c r="I84" t="s">
        <v>41</v>
      </c>
      <c r="J84" t="s">
        <v>813</v>
      </c>
      <c r="K84" t="s">
        <v>42</v>
      </c>
      <c r="L84" t="s">
        <v>43</v>
      </c>
    </row>
    <row r="85" spans="1:12" x14ac:dyDescent="0.25">
      <c r="A85" t="s">
        <v>41</v>
      </c>
      <c r="B85" t="s">
        <v>493</v>
      </c>
      <c r="C85" t="s">
        <v>499</v>
      </c>
      <c r="D85" t="s">
        <v>701</v>
      </c>
      <c r="I85" t="s">
        <v>41</v>
      </c>
      <c r="J85" t="s">
        <v>813</v>
      </c>
      <c r="K85" t="s">
        <v>499</v>
      </c>
      <c r="L85" t="s">
        <v>701</v>
      </c>
    </row>
    <row r="86" spans="1:12" x14ac:dyDescent="0.25">
      <c r="A86" t="s">
        <v>41</v>
      </c>
      <c r="B86" t="s">
        <v>493</v>
      </c>
      <c r="C86" t="s">
        <v>500</v>
      </c>
      <c r="D86" t="s">
        <v>702</v>
      </c>
      <c r="I86" t="s">
        <v>41</v>
      </c>
      <c r="J86" t="s">
        <v>813</v>
      </c>
      <c r="K86" t="s">
        <v>500</v>
      </c>
      <c r="L86" t="s">
        <v>702</v>
      </c>
    </row>
    <row r="87" spans="1:12" x14ac:dyDescent="0.25">
      <c r="A87" t="s">
        <v>41</v>
      </c>
      <c r="B87" t="s">
        <v>493</v>
      </c>
      <c r="C87" t="s">
        <v>501</v>
      </c>
      <c r="D87" t="s">
        <v>703</v>
      </c>
      <c r="I87" t="s">
        <v>41</v>
      </c>
      <c r="J87" t="s">
        <v>813</v>
      </c>
      <c r="K87" t="s">
        <v>501</v>
      </c>
      <c r="L87" t="s">
        <v>703</v>
      </c>
    </row>
    <row r="88" spans="1:12" x14ac:dyDescent="0.25">
      <c r="A88" t="s">
        <v>41</v>
      </c>
      <c r="B88" t="s">
        <v>493</v>
      </c>
      <c r="C88" t="s">
        <v>64</v>
      </c>
      <c r="D88" t="s">
        <v>65</v>
      </c>
      <c r="I88" t="s">
        <v>41</v>
      </c>
      <c r="J88" t="s">
        <v>813</v>
      </c>
      <c r="K88" t="s">
        <v>64</v>
      </c>
      <c r="L88" t="s">
        <v>65</v>
      </c>
    </row>
    <row r="89" spans="1:12" x14ac:dyDescent="0.25">
      <c r="A89" t="s">
        <v>41</v>
      </c>
      <c r="B89" t="s">
        <v>493</v>
      </c>
      <c r="C89" t="s">
        <v>503</v>
      </c>
      <c r="D89" t="s">
        <v>704</v>
      </c>
      <c r="I89" t="s">
        <v>41</v>
      </c>
      <c r="J89" t="s">
        <v>813</v>
      </c>
      <c r="K89" t="s">
        <v>503</v>
      </c>
      <c r="L89" t="s">
        <v>704</v>
      </c>
    </row>
    <row r="90" spans="1:12" x14ac:dyDescent="0.25">
      <c r="A90" t="s">
        <v>41</v>
      </c>
      <c r="B90" t="s">
        <v>493</v>
      </c>
      <c r="C90" t="s">
        <v>504</v>
      </c>
      <c r="D90" t="s">
        <v>705</v>
      </c>
      <c r="I90" t="s">
        <v>41</v>
      </c>
      <c r="J90" t="s">
        <v>813</v>
      </c>
      <c r="K90" t="s">
        <v>504</v>
      </c>
      <c r="L90" t="s">
        <v>705</v>
      </c>
    </row>
    <row r="91" spans="1:12" x14ac:dyDescent="0.25">
      <c r="A91" t="s">
        <v>41</v>
      </c>
      <c r="B91" t="s">
        <v>493</v>
      </c>
      <c r="C91" t="s">
        <v>505</v>
      </c>
      <c r="D91" t="s">
        <v>706</v>
      </c>
      <c r="I91" t="s">
        <v>41</v>
      </c>
      <c r="J91" t="s">
        <v>813</v>
      </c>
      <c r="K91" t="s">
        <v>505</v>
      </c>
      <c r="L91" t="s">
        <v>706</v>
      </c>
    </row>
    <row r="92" spans="1:12" x14ac:dyDescent="0.25">
      <c r="A92" t="s">
        <v>41</v>
      </c>
      <c r="B92" t="s">
        <v>493</v>
      </c>
      <c r="C92" t="s">
        <v>506</v>
      </c>
      <c r="D92" t="s">
        <v>707</v>
      </c>
      <c r="I92" t="s">
        <v>41</v>
      </c>
      <c r="J92" t="s">
        <v>813</v>
      </c>
      <c r="K92" t="s">
        <v>506</v>
      </c>
      <c r="L92" t="s">
        <v>707</v>
      </c>
    </row>
    <row r="93" spans="1:12" x14ac:dyDescent="0.25">
      <c r="A93" t="s">
        <v>41</v>
      </c>
      <c r="B93" t="s">
        <v>493</v>
      </c>
      <c r="C93" t="s">
        <v>507</v>
      </c>
      <c r="D93" t="s">
        <v>708</v>
      </c>
      <c r="I93" t="s">
        <v>41</v>
      </c>
      <c r="J93" t="s">
        <v>813</v>
      </c>
      <c r="K93" t="s">
        <v>507</v>
      </c>
      <c r="L93" t="s">
        <v>708</v>
      </c>
    </row>
    <row r="94" spans="1:12" x14ac:dyDescent="0.25">
      <c r="A94" t="s">
        <v>41</v>
      </c>
      <c r="B94" t="s">
        <v>493</v>
      </c>
      <c r="C94" t="s">
        <v>508</v>
      </c>
      <c r="D94" t="s">
        <v>709</v>
      </c>
      <c r="I94" t="s">
        <v>41</v>
      </c>
      <c r="J94" t="s">
        <v>813</v>
      </c>
      <c r="K94" t="s">
        <v>508</v>
      </c>
      <c r="L94" t="s">
        <v>709</v>
      </c>
    </row>
    <row r="95" spans="1:12" x14ac:dyDescent="0.25">
      <c r="A95" t="s">
        <v>55</v>
      </c>
      <c r="B95" t="s">
        <v>511</v>
      </c>
      <c r="C95" t="s">
        <v>220</v>
      </c>
      <c r="D95" t="s">
        <v>221</v>
      </c>
      <c r="I95" t="s">
        <v>55</v>
      </c>
      <c r="J95" t="s">
        <v>220</v>
      </c>
      <c r="K95" t="s">
        <v>220</v>
      </c>
      <c r="L95" t="s">
        <v>221</v>
      </c>
    </row>
    <row r="96" spans="1:12" x14ac:dyDescent="0.25">
      <c r="A96" t="s">
        <v>55</v>
      </c>
      <c r="B96" t="s">
        <v>511</v>
      </c>
      <c r="C96" t="s">
        <v>513</v>
      </c>
      <c r="D96" t="s">
        <v>696</v>
      </c>
      <c r="I96" t="s">
        <v>55</v>
      </c>
      <c r="J96" t="s">
        <v>220</v>
      </c>
      <c r="K96" t="s">
        <v>513</v>
      </c>
      <c r="L96" t="s">
        <v>696</v>
      </c>
    </row>
    <row r="97" spans="1:12" x14ac:dyDescent="0.25">
      <c r="A97" t="s">
        <v>55</v>
      </c>
      <c r="B97" t="s">
        <v>511</v>
      </c>
      <c r="C97" t="s">
        <v>515</v>
      </c>
      <c r="D97" t="s">
        <v>697</v>
      </c>
      <c r="I97" t="s">
        <v>55</v>
      </c>
      <c r="J97" t="s">
        <v>220</v>
      </c>
      <c r="K97" t="s">
        <v>515</v>
      </c>
      <c r="L97" t="s">
        <v>697</v>
      </c>
    </row>
    <row r="98" spans="1:12" x14ac:dyDescent="0.25">
      <c r="A98" t="s">
        <v>55</v>
      </c>
      <c r="B98" t="s">
        <v>489</v>
      </c>
      <c r="C98" t="s">
        <v>488</v>
      </c>
      <c r="D98" t="s">
        <v>711</v>
      </c>
      <c r="I98" t="s">
        <v>55</v>
      </c>
      <c r="J98" t="s">
        <v>56</v>
      </c>
      <c r="K98" t="s">
        <v>488</v>
      </c>
      <c r="L98" t="s">
        <v>711</v>
      </c>
    </row>
    <row r="99" spans="1:12" x14ac:dyDescent="0.25">
      <c r="A99" t="s">
        <v>55</v>
      </c>
      <c r="B99" t="s">
        <v>489</v>
      </c>
      <c r="C99" t="s">
        <v>56</v>
      </c>
      <c r="D99" t="s">
        <v>57</v>
      </c>
      <c r="I99" t="s">
        <v>55</v>
      </c>
      <c r="J99" t="s">
        <v>56</v>
      </c>
      <c r="K99" t="s">
        <v>56</v>
      </c>
      <c r="L99" t="s">
        <v>57</v>
      </c>
    </row>
    <row r="100" spans="1:12" x14ac:dyDescent="0.25">
      <c r="A100" t="s">
        <v>55</v>
      </c>
      <c r="B100" t="s">
        <v>446</v>
      </c>
      <c r="C100" t="s">
        <v>445</v>
      </c>
      <c r="D100" t="s">
        <v>719</v>
      </c>
      <c r="I100" t="s">
        <v>55</v>
      </c>
      <c r="J100" t="s">
        <v>86</v>
      </c>
      <c r="K100" t="s">
        <v>445</v>
      </c>
      <c r="L100" t="s">
        <v>719</v>
      </c>
    </row>
    <row r="101" spans="1:12" x14ac:dyDescent="0.25">
      <c r="A101" t="s">
        <v>55</v>
      </c>
      <c r="B101" t="s">
        <v>446</v>
      </c>
      <c r="C101" t="s">
        <v>448</v>
      </c>
      <c r="D101" t="s">
        <v>720</v>
      </c>
      <c r="I101" t="s">
        <v>55</v>
      </c>
      <c r="J101" t="s">
        <v>86</v>
      </c>
      <c r="K101" t="s">
        <v>448</v>
      </c>
      <c r="L101" t="s">
        <v>720</v>
      </c>
    </row>
    <row r="102" spans="1:12" x14ac:dyDescent="0.25">
      <c r="A102" t="s">
        <v>55</v>
      </c>
      <c r="B102" t="s">
        <v>446</v>
      </c>
      <c r="C102" t="s">
        <v>449</v>
      </c>
      <c r="D102" t="s">
        <v>721</v>
      </c>
      <c r="I102" t="s">
        <v>55</v>
      </c>
      <c r="J102" t="s">
        <v>86</v>
      </c>
      <c r="K102" t="s">
        <v>449</v>
      </c>
      <c r="L102" t="s">
        <v>721</v>
      </c>
    </row>
    <row r="103" spans="1:12" x14ac:dyDescent="0.25">
      <c r="A103" t="s">
        <v>55</v>
      </c>
      <c r="B103" t="s">
        <v>446</v>
      </c>
      <c r="C103" t="s">
        <v>450</v>
      </c>
      <c r="D103" t="s">
        <v>722</v>
      </c>
      <c r="I103" t="s">
        <v>55</v>
      </c>
      <c r="J103" t="s">
        <v>86</v>
      </c>
      <c r="K103" t="s">
        <v>450</v>
      </c>
      <c r="L103" t="s">
        <v>722</v>
      </c>
    </row>
    <row r="104" spans="1:12" x14ac:dyDescent="0.25">
      <c r="A104" t="s">
        <v>55</v>
      </c>
      <c r="B104" t="s">
        <v>446</v>
      </c>
      <c r="C104" t="s">
        <v>87</v>
      </c>
      <c r="D104" t="s">
        <v>88</v>
      </c>
      <c r="I104" t="s">
        <v>55</v>
      </c>
      <c r="J104" t="s">
        <v>86</v>
      </c>
      <c r="K104" t="s">
        <v>87</v>
      </c>
      <c r="L104" t="s">
        <v>88</v>
      </c>
    </row>
    <row r="105" spans="1:12" x14ac:dyDescent="0.25">
      <c r="A105" t="s">
        <v>55</v>
      </c>
      <c r="B105" t="s">
        <v>446</v>
      </c>
      <c r="C105" t="s">
        <v>452</v>
      </c>
      <c r="D105" t="s">
        <v>723</v>
      </c>
      <c r="I105" t="s">
        <v>55</v>
      </c>
      <c r="J105" t="s">
        <v>86</v>
      </c>
      <c r="K105" t="s">
        <v>452</v>
      </c>
      <c r="L105" t="s">
        <v>723</v>
      </c>
    </row>
    <row r="106" spans="1:12" x14ac:dyDescent="0.25">
      <c r="A106" t="s">
        <v>55</v>
      </c>
      <c r="B106" t="s">
        <v>78</v>
      </c>
      <c r="C106" t="s">
        <v>326</v>
      </c>
      <c r="D106" t="s">
        <v>693</v>
      </c>
      <c r="I106" t="s">
        <v>55</v>
      </c>
      <c r="J106" t="s">
        <v>78</v>
      </c>
      <c r="K106" t="s">
        <v>326</v>
      </c>
      <c r="L106" t="s">
        <v>693</v>
      </c>
    </row>
    <row r="107" spans="1:12" x14ac:dyDescent="0.25">
      <c r="A107" t="s">
        <v>55</v>
      </c>
      <c r="B107" t="s">
        <v>78</v>
      </c>
      <c r="C107" t="s">
        <v>79</v>
      </c>
      <c r="D107" t="s">
        <v>80</v>
      </c>
      <c r="I107" t="s">
        <v>55</v>
      </c>
      <c r="J107" t="s">
        <v>78</v>
      </c>
      <c r="K107" t="s">
        <v>79</v>
      </c>
      <c r="L107" t="s">
        <v>80</v>
      </c>
    </row>
    <row r="108" spans="1:12" x14ac:dyDescent="0.25">
      <c r="A108" t="s">
        <v>55</v>
      </c>
      <c r="B108" t="s">
        <v>78</v>
      </c>
      <c r="C108" t="s">
        <v>330</v>
      </c>
      <c r="D108" t="s">
        <v>694</v>
      </c>
      <c r="I108" t="s">
        <v>55</v>
      </c>
      <c r="J108" t="s">
        <v>78</v>
      </c>
      <c r="K108" t="s">
        <v>330</v>
      </c>
      <c r="L108" t="s">
        <v>694</v>
      </c>
    </row>
    <row r="109" spans="1:12" x14ac:dyDescent="0.25">
      <c r="A109" t="s">
        <v>55</v>
      </c>
      <c r="B109" t="s">
        <v>78</v>
      </c>
      <c r="C109" t="s">
        <v>98</v>
      </c>
      <c r="D109" t="s">
        <v>99</v>
      </c>
      <c r="I109" t="s">
        <v>55</v>
      </c>
      <c r="J109" t="s">
        <v>78</v>
      </c>
      <c r="K109" t="s">
        <v>98</v>
      </c>
      <c r="L109" t="s">
        <v>99</v>
      </c>
    </row>
    <row r="110" spans="1:12" x14ac:dyDescent="0.25">
      <c r="A110" t="s">
        <v>55</v>
      </c>
      <c r="B110" t="s">
        <v>78</v>
      </c>
      <c r="C110" t="s">
        <v>333</v>
      </c>
      <c r="D110" t="s">
        <v>695</v>
      </c>
      <c r="I110" t="s">
        <v>55</v>
      </c>
      <c r="J110" t="s">
        <v>78</v>
      </c>
      <c r="K110" t="s">
        <v>333</v>
      </c>
      <c r="L110" t="s">
        <v>695</v>
      </c>
    </row>
    <row r="111" spans="1:12" x14ac:dyDescent="0.25">
      <c r="A111" t="s">
        <v>31</v>
      </c>
      <c r="B111" t="s">
        <v>549</v>
      </c>
      <c r="C111" t="s">
        <v>32</v>
      </c>
      <c r="D111" t="s">
        <v>33</v>
      </c>
      <c r="I111" t="s">
        <v>31</v>
      </c>
      <c r="J111" t="s">
        <v>32</v>
      </c>
      <c r="K111" t="s">
        <v>32</v>
      </c>
      <c r="L111" t="s">
        <v>33</v>
      </c>
    </row>
    <row r="112" spans="1:12" x14ac:dyDescent="0.25">
      <c r="A112" t="s">
        <v>31</v>
      </c>
      <c r="B112" t="s">
        <v>480</v>
      </c>
      <c r="C112" t="s">
        <v>479</v>
      </c>
      <c r="D112" t="s">
        <v>712</v>
      </c>
      <c r="I112" t="s">
        <v>31</v>
      </c>
      <c r="J112" t="s">
        <v>127</v>
      </c>
      <c r="K112" t="s">
        <v>479</v>
      </c>
      <c r="L112" t="s">
        <v>712</v>
      </c>
    </row>
    <row r="113" spans="1:12" x14ac:dyDescent="0.25">
      <c r="A113" t="s">
        <v>31</v>
      </c>
      <c r="B113" t="s">
        <v>480</v>
      </c>
      <c r="C113" t="s">
        <v>483</v>
      </c>
      <c r="D113" t="s">
        <v>713</v>
      </c>
      <c r="I113" t="s">
        <v>31</v>
      </c>
      <c r="J113" t="s">
        <v>127</v>
      </c>
      <c r="K113" t="s">
        <v>483</v>
      </c>
      <c r="L113" t="s">
        <v>713</v>
      </c>
    </row>
    <row r="114" spans="1:12" x14ac:dyDescent="0.25">
      <c r="A114" t="s">
        <v>31</v>
      </c>
      <c r="B114" t="s">
        <v>480</v>
      </c>
      <c r="C114" t="s">
        <v>485</v>
      </c>
      <c r="D114" t="s">
        <v>714</v>
      </c>
      <c r="I114" t="s">
        <v>31</v>
      </c>
      <c r="J114" t="s">
        <v>127</v>
      </c>
      <c r="K114" t="s">
        <v>485</v>
      </c>
      <c r="L114" t="s">
        <v>714</v>
      </c>
    </row>
    <row r="115" spans="1:12" x14ac:dyDescent="0.25">
      <c r="A115" t="s">
        <v>31</v>
      </c>
      <c r="B115" t="s">
        <v>480</v>
      </c>
      <c r="C115" t="s">
        <v>486</v>
      </c>
      <c r="D115" t="s">
        <v>715</v>
      </c>
      <c r="I115" t="s">
        <v>31</v>
      </c>
      <c r="J115" t="s">
        <v>127</v>
      </c>
      <c r="K115" t="s">
        <v>486</v>
      </c>
      <c r="L115" t="s">
        <v>715</v>
      </c>
    </row>
    <row r="116" spans="1:12" x14ac:dyDescent="0.25">
      <c r="A116" t="s">
        <v>31</v>
      </c>
      <c r="B116" t="s">
        <v>480</v>
      </c>
      <c r="C116" t="s">
        <v>128</v>
      </c>
      <c r="D116" t="s">
        <v>129</v>
      </c>
      <c r="I116" t="s">
        <v>31</v>
      </c>
      <c r="J116" t="s">
        <v>127</v>
      </c>
      <c r="K116" t="s">
        <v>128</v>
      </c>
      <c r="L116" t="s">
        <v>129</v>
      </c>
    </row>
    <row r="117" spans="1:12" x14ac:dyDescent="0.25">
      <c r="A117" t="s">
        <v>31</v>
      </c>
      <c r="B117" t="s">
        <v>431</v>
      </c>
      <c r="C117" t="s">
        <v>430</v>
      </c>
      <c r="D117" t="s">
        <v>730</v>
      </c>
      <c r="I117" t="s">
        <v>31</v>
      </c>
      <c r="J117" t="s">
        <v>111</v>
      </c>
      <c r="K117" t="s">
        <v>430</v>
      </c>
      <c r="L117" t="s">
        <v>730</v>
      </c>
    </row>
    <row r="118" spans="1:12" x14ac:dyDescent="0.25">
      <c r="A118" t="s">
        <v>31</v>
      </c>
      <c r="B118" t="s">
        <v>431</v>
      </c>
      <c r="C118" t="s">
        <v>433</v>
      </c>
      <c r="D118" t="s">
        <v>731</v>
      </c>
      <c r="I118" t="s">
        <v>31</v>
      </c>
      <c r="J118" t="s">
        <v>111</v>
      </c>
      <c r="K118" t="s">
        <v>433</v>
      </c>
      <c r="L118" t="s">
        <v>731</v>
      </c>
    </row>
    <row r="119" spans="1:12" x14ac:dyDescent="0.25">
      <c r="A119" t="s">
        <v>31</v>
      </c>
      <c r="B119" t="s">
        <v>431</v>
      </c>
      <c r="C119" t="s">
        <v>111</v>
      </c>
      <c r="D119" t="s">
        <v>112</v>
      </c>
      <c r="I119" t="s">
        <v>31</v>
      </c>
      <c r="J119" t="s">
        <v>111</v>
      </c>
      <c r="K119" t="s">
        <v>111</v>
      </c>
      <c r="L119" t="s">
        <v>112</v>
      </c>
    </row>
    <row r="120" spans="1:12" x14ac:dyDescent="0.25">
      <c r="A120" t="s">
        <v>31</v>
      </c>
      <c r="B120" t="s">
        <v>347</v>
      </c>
      <c r="C120" t="s">
        <v>346</v>
      </c>
      <c r="D120" t="s">
        <v>733</v>
      </c>
      <c r="I120" t="s">
        <v>31</v>
      </c>
      <c r="J120" t="s">
        <v>132</v>
      </c>
      <c r="K120" t="s">
        <v>346</v>
      </c>
      <c r="L120" t="s">
        <v>733</v>
      </c>
    </row>
    <row r="121" spans="1:12" x14ac:dyDescent="0.25">
      <c r="A121" t="s">
        <v>31</v>
      </c>
      <c r="B121" t="s">
        <v>347</v>
      </c>
      <c r="C121" t="s">
        <v>132</v>
      </c>
      <c r="D121" t="s">
        <v>133</v>
      </c>
      <c r="I121" t="s">
        <v>31</v>
      </c>
      <c r="J121" t="s">
        <v>132</v>
      </c>
      <c r="K121" t="s">
        <v>132</v>
      </c>
      <c r="L121" t="s">
        <v>133</v>
      </c>
    </row>
    <row r="122" spans="1:12" x14ac:dyDescent="0.25">
      <c r="A122" t="s">
        <v>31</v>
      </c>
      <c r="B122" t="s">
        <v>335</v>
      </c>
      <c r="C122" t="s">
        <v>334</v>
      </c>
      <c r="D122" t="s">
        <v>754</v>
      </c>
      <c r="I122" t="s">
        <v>31</v>
      </c>
      <c r="J122" t="s">
        <v>814</v>
      </c>
      <c r="K122" t="s">
        <v>334</v>
      </c>
      <c r="L122" t="s">
        <v>754</v>
      </c>
    </row>
    <row r="123" spans="1:12" x14ac:dyDescent="0.25">
      <c r="A123" t="s">
        <v>31</v>
      </c>
      <c r="B123" t="s">
        <v>335</v>
      </c>
      <c r="C123" t="s">
        <v>337</v>
      </c>
      <c r="D123" t="s">
        <v>755</v>
      </c>
      <c r="I123" t="s">
        <v>31</v>
      </c>
      <c r="J123" t="s">
        <v>814</v>
      </c>
      <c r="K123" t="s">
        <v>337</v>
      </c>
      <c r="L123" t="s">
        <v>755</v>
      </c>
    </row>
    <row r="124" spans="1:12" x14ac:dyDescent="0.25">
      <c r="A124" t="s">
        <v>31</v>
      </c>
      <c r="B124" t="s">
        <v>335</v>
      </c>
      <c r="C124" t="s">
        <v>338</v>
      </c>
      <c r="D124" t="s">
        <v>756</v>
      </c>
      <c r="I124" t="s">
        <v>31</v>
      </c>
      <c r="J124" t="s">
        <v>814</v>
      </c>
      <c r="K124" t="s">
        <v>338</v>
      </c>
      <c r="L124" t="s">
        <v>756</v>
      </c>
    </row>
    <row r="125" spans="1:12" x14ac:dyDescent="0.25">
      <c r="A125" t="s">
        <v>31</v>
      </c>
      <c r="B125" t="s">
        <v>335</v>
      </c>
      <c r="C125" t="s">
        <v>339</v>
      </c>
      <c r="D125" t="s">
        <v>757</v>
      </c>
      <c r="I125" t="s">
        <v>31</v>
      </c>
      <c r="J125" t="s">
        <v>814</v>
      </c>
      <c r="K125" t="s">
        <v>339</v>
      </c>
      <c r="L125" t="s">
        <v>757</v>
      </c>
    </row>
    <row r="126" spans="1:12" x14ac:dyDescent="0.25">
      <c r="A126" t="s">
        <v>31</v>
      </c>
      <c r="B126" t="s">
        <v>335</v>
      </c>
      <c r="C126" t="s">
        <v>123</v>
      </c>
      <c r="D126" t="s">
        <v>124</v>
      </c>
      <c r="I126" t="s">
        <v>31</v>
      </c>
      <c r="J126" t="s">
        <v>814</v>
      </c>
      <c r="K126" t="s">
        <v>123</v>
      </c>
      <c r="L126" t="s">
        <v>124</v>
      </c>
    </row>
    <row r="127" spans="1:12" x14ac:dyDescent="0.25">
      <c r="A127" t="s">
        <v>31</v>
      </c>
      <c r="B127" t="s">
        <v>335</v>
      </c>
      <c r="C127" t="s">
        <v>341</v>
      </c>
      <c r="D127" t="s">
        <v>758</v>
      </c>
      <c r="I127" t="s">
        <v>31</v>
      </c>
      <c r="J127" t="s">
        <v>814</v>
      </c>
      <c r="K127" t="s">
        <v>341</v>
      </c>
      <c r="L127" t="s">
        <v>758</v>
      </c>
    </row>
    <row r="128" spans="1:12" x14ac:dyDescent="0.25">
      <c r="A128" t="s">
        <v>58</v>
      </c>
      <c r="B128" t="s">
        <v>552</v>
      </c>
      <c r="C128" t="s">
        <v>585</v>
      </c>
      <c r="D128" t="s">
        <v>660</v>
      </c>
      <c r="I128" t="s">
        <v>58</v>
      </c>
      <c r="J128" t="s">
        <v>66</v>
      </c>
      <c r="K128" t="s">
        <v>585</v>
      </c>
      <c r="L128" t="s">
        <v>660</v>
      </c>
    </row>
    <row r="129" spans="1:12" x14ac:dyDescent="0.25">
      <c r="A129" t="s">
        <v>58</v>
      </c>
      <c r="B129" t="s">
        <v>552</v>
      </c>
      <c r="C129" t="s">
        <v>588</v>
      </c>
      <c r="D129" t="s">
        <v>661</v>
      </c>
      <c r="I129" t="s">
        <v>58</v>
      </c>
      <c r="J129" t="s">
        <v>66</v>
      </c>
      <c r="K129" t="s">
        <v>588</v>
      </c>
      <c r="L129" t="s">
        <v>661</v>
      </c>
    </row>
    <row r="130" spans="1:12" x14ac:dyDescent="0.25">
      <c r="A130" t="s">
        <v>58</v>
      </c>
      <c r="B130" t="s">
        <v>552</v>
      </c>
      <c r="C130" t="s">
        <v>590</v>
      </c>
      <c r="D130" t="s">
        <v>662</v>
      </c>
      <c r="I130" t="s">
        <v>58</v>
      </c>
      <c r="J130" t="s">
        <v>66</v>
      </c>
      <c r="K130" t="s">
        <v>590</v>
      </c>
      <c r="L130" t="s">
        <v>662</v>
      </c>
    </row>
    <row r="131" spans="1:12" x14ac:dyDescent="0.25">
      <c r="A131" t="s">
        <v>58</v>
      </c>
      <c r="B131" t="s">
        <v>552</v>
      </c>
      <c r="C131" t="s">
        <v>598</v>
      </c>
      <c r="D131" t="s">
        <v>666</v>
      </c>
      <c r="I131" t="s">
        <v>58</v>
      </c>
      <c r="J131" t="s">
        <v>66</v>
      </c>
      <c r="K131" t="s">
        <v>598</v>
      </c>
      <c r="L131" t="s">
        <v>666</v>
      </c>
    </row>
    <row r="132" spans="1:12" x14ac:dyDescent="0.25">
      <c r="A132" t="s">
        <v>58</v>
      </c>
      <c r="B132" t="s">
        <v>552</v>
      </c>
      <c r="C132" t="s">
        <v>222</v>
      </c>
      <c r="D132" t="s">
        <v>223</v>
      </c>
      <c r="I132" t="s">
        <v>58</v>
      </c>
      <c r="J132" t="s">
        <v>66</v>
      </c>
      <c r="K132" t="s">
        <v>222</v>
      </c>
      <c r="L132" t="s">
        <v>223</v>
      </c>
    </row>
    <row r="133" spans="1:12" x14ac:dyDescent="0.25">
      <c r="A133" t="s">
        <v>58</v>
      </c>
      <c r="B133" t="s">
        <v>552</v>
      </c>
      <c r="C133" t="s">
        <v>186</v>
      </c>
      <c r="D133" t="s">
        <v>663</v>
      </c>
      <c r="I133" t="s">
        <v>58</v>
      </c>
      <c r="J133" t="s">
        <v>66</v>
      </c>
      <c r="K133" t="s">
        <v>186</v>
      </c>
      <c r="L133" t="s">
        <v>663</v>
      </c>
    </row>
    <row r="134" spans="1:12" x14ac:dyDescent="0.25">
      <c r="A134" t="s">
        <v>58</v>
      </c>
      <c r="B134" t="s">
        <v>552</v>
      </c>
      <c r="C134" t="s">
        <v>224</v>
      </c>
      <c r="D134" t="s">
        <v>225</v>
      </c>
      <c r="I134" t="s">
        <v>58</v>
      </c>
      <c r="J134" t="s">
        <v>66</v>
      </c>
      <c r="K134" t="s">
        <v>224</v>
      </c>
      <c r="L134" t="s">
        <v>225</v>
      </c>
    </row>
    <row r="135" spans="1:12" x14ac:dyDescent="0.25">
      <c r="A135" t="s">
        <v>58</v>
      </c>
      <c r="B135" t="s">
        <v>552</v>
      </c>
      <c r="C135" t="s">
        <v>594</v>
      </c>
      <c r="D135" t="s">
        <v>664</v>
      </c>
      <c r="I135" t="s">
        <v>58</v>
      </c>
      <c r="J135" t="s">
        <v>66</v>
      </c>
      <c r="K135" t="s">
        <v>594</v>
      </c>
      <c r="L135" t="s">
        <v>664</v>
      </c>
    </row>
    <row r="136" spans="1:12" x14ac:dyDescent="0.25">
      <c r="A136" t="s">
        <v>58</v>
      </c>
      <c r="B136" t="s">
        <v>552</v>
      </c>
      <c r="C136" t="s">
        <v>166</v>
      </c>
      <c r="D136" t="s">
        <v>167</v>
      </c>
      <c r="I136" t="s">
        <v>58</v>
      </c>
      <c r="J136" t="s">
        <v>66</v>
      </c>
      <c r="K136" t="s">
        <v>166</v>
      </c>
      <c r="L136" t="s">
        <v>167</v>
      </c>
    </row>
    <row r="137" spans="1:12" x14ac:dyDescent="0.25">
      <c r="A137" t="s">
        <v>58</v>
      </c>
      <c r="B137" t="s">
        <v>552</v>
      </c>
      <c r="C137" t="s">
        <v>596</v>
      </c>
      <c r="D137" t="s">
        <v>665</v>
      </c>
      <c r="I137" t="s">
        <v>58</v>
      </c>
      <c r="J137" t="s">
        <v>66</v>
      </c>
      <c r="K137" t="s">
        <v>596</v>
      </c>
      <c r="L137" t="s">
        <v>665</v>
      </c>
    </row>
    <row r="138" spans="1:12" x14ac:dyDescent="0.25">
      <c r="A138" t="s">
        <v>58</v>
      </c>
      <c r="B138" t="s">
        <v>552</v>
      </c>
      <c r="C138" t="s">
        <v>599</v>
      </c>
      <c r="D138" t="s">
        <v>667</v>
      </c>
      <c r="I138" t="s">
        <v>58</v>
      </c>
      <c r="J138" t="s">
        <v>66</v>
      </c>
      <c r="K138" t="s">
        <v>599</v>
      </c>
      <c r="L138" t="s">
        <v>667</v>
      </c>
    </row>
    <row r="139" spans="1:12" x14ac:dyDescent="0.25">
      <c r="A139" t="s">
        <v>58</v>
      </c>
      <c r="B139" t="s">
        <v>552</v>
      </c>
      <c r="C139" t="s">
        <v>67</v>
      </c>
      <c r="D139" t="s">
        <v>68</v>
      </c>
      <c r="I139" t="s">
        <v>58</v>
      </c>
      <c r="J139" t="s">
        <v>66</v>
      </c>
      <c r="K139" t="s">
        <v>67</v>
      </c>
      <c r="L139" t="s">
        <v>68</v>
      </c>
    </row>
    <row r="140" spans="1:12" x14ac:dyDescent="0.25">
      <c r="A140" t="s">
        <v>58</v>
      </c>
      <c r="B140" t="s">
        <v>552</v>
      </c>
      <c r="C140" t="s">
        <v>602</v>
      </c>
      <c r="D140" t="s">
        <v>668</v>
      </c>
      <c r="I140" t="s">
        <v>58</v>
      </c>
      <c r="J140" t="s">
        <v>66</v>
      </c>
      <c r="K140" t="s">
        <v>602</v>
      </c>
      <c r="L140" t="s">
        <v>668</v>
      </c>
    </row>
    <row r="141" spans="1:12" x14ac:dyDescent="0.25">
      <c r="A141" t="s">
        <v>58</v>
      </c>
      <c r="B141" t="s">
        <v>552</v>
      </c>
      <c r="C141" t="s">
        <v>603</v>
      </c>
      <c r="D141" t="s">
        <v>669</v>
      </c>
      <c r="I141" t="s">
        <v>58</v>
      </c>
      <c r="J141" t="s">
        <v>66</v>
      </c>
      <c r="K141" t="s">
        <v>603</v>
      </c>
      <c r="L141" t="s">
        <v>669</v>
      </c>
    </row>
    <row r="142" spans="1:12" x14ac:dyDescent="0.25">
      <c r="A142" t="s">
        <v>58</v>
      </c>
      <c r="B142" t="s">
        <v>552</v>
      </c>
      <c r="C142" t="s">
        <v>226</v>
      </c>
      <c r="D142" t="s">
        <v>227</v>
      </c>
      <c r="I142" t="s">
        <v>58</v>
      </c>
      <c r="J142" t="s">
        <v>66</v>
      </c>
      <c r="K142" t="s">
        <v>226</v>
      </c>
      <c r="L142" t="s">
        <v>227</v>
      </c>
    </row>
    <row r="143" spans="1:12" x14ac:dyDescent="0.25">
      <c r="A143" t="s">
        <v>58</v>
      </c>
      <c r="B143" t="s">
        <v>552</v>
      </c>
      <c r="C143" t="s">
        <v>605</v>
      </c>
      <c r="D143" t="s">
        <v>670</v>
      </c>
      <c r="I143" t="s">
        <v>58</v>
      </c>
      <c r="J143" t="s">
        <v>66</v>
      </c>
      <c r="K143" t="s">
        <v>605</v>
      </c>
      <c r="L143" t="s">
        <v>670</v>
      </c>
    </row>
    <row r="144" spans="1:12" x14ac:dyDescent="0.25">
      <c r="A144" t="s">
        <v>58</v>
      </c>
      <c r="B144" t="s">
        <v>552</v>
      </c>
      <c r="C144" t="s">
        <v>607</v>
      </c>
      <c r="D144" t="s">
        <v>81</v>
      </c>
      <c r="I144" t="s">
        <v>58</v>
      </c>
      <c r="J144" t="s">
        <v>66</v>
      </c>
      <c r="K144" t="s">
        <v>607</v>
      </c>
      <c r="L144" t="s">
        <v>81</v>
      </c>
    </row>
    <row r="145" spans="1:12" x14ac:dyDescent="0.25">
      <c r="A145" t="s">
        <v>58</v>
      </c>
      <c r="B145" t="s">
        <v>552</v>
      </c>
      <c r="C145" t="s">
        <v>609</v>
      </c>
      <c r="D145" t="s">
        <v>671</v>
      </c>
      <c r="I145" t="s">
        <v>58</v>
      </c>
      <c r="J145" t="s">
        <v>66</v>
      </c>
      <c r="K145" t="s">
        <v>609</v>
      </c>
      <c r="L145" t="s">
        <v>671</v>
      </c>
    </row>
    <row r="146" spans="1:12" x14ac:dyDescent="0.25">
      <c r="A146" t="s">
        <v>58</v>
      </c>
      <c r="B146" t="s">
        <v>552</v>
      </c>
      <c r="C146" t="s">
        <v>172</v>
      </c>
      <c r="D146" t="s">
        <v>173</v>
      </c>
      <c r="I146" t="s">
        <v>58</v>
      </c>
      <c r="J146" t="s">
        <v>66</v>
      </c>
      <c r="K146" t="s">
        <v>172</v>
      </c>
      <c r="L146" t="s">
        <v>173</v>
      </c>
    </row>
    <row r="147" spans="1:12" x14ac:dyDescent="0.25">
      <c r="A147" t="s">
        <v>58</v>
      </c>
      <c r="B147" t="s">
        <v>552</v>
      </c>
      <c r="C147" t="s">
        <v>610</v>
      </c>
      <c r="D147" t="s">
        <v>672</v>
      </c>
      <c r="I147" t="s">
        <v>58</v>
      </c>
      <c r="J147" t="s">
        <v>66</v>
      </c>
      <c r="K147" t="s">
        <v>610</v>
      </c>
      <c r="L147" t="s">
        <v>672</v>
      </c>
    </row>
    <row r="148" spans="1:12" x14ac:dyDescent="0.25">
      <c r="A148" t="s">
        <v>58</v>
      </c>
      <c r="B148" t="s">
        <v>552</v>
      </c>
      <c r="C148" t="s">
        <v>136</v>
      </c>
      <c r="D148" t="s">
        <v>137</v>
      </c>
      <c r="I148" t="s">
        <v>58</v>
      </c>
      <c r="J148" t="s">
        <v>66</v>
      </c>
      <c r="K148" t="s">
        <v>136</v>
      </c>
      <c r="L148" t="s">
        <v>137</v>
      </c>
    </row>
    <row r="149" spans="1:12" x14ac:dyDescent="0.25">
      <c r="A149" t="s">
        <v>58</v>
      </c>
      <c r="B149" t="s">
        <v>552</v>
      </c>
      <c r="C149" t="s">
        <v>615</v>
      </c>
      <c r="D149" t="s">
        <v>675</v>
      </c>
      <c r="I149" t="s">
        <v>58</v>
      </c>
      <c r="J149" t="s">
        <v>66</v>
      </c>
      <c r="K149" t="s">
        <v>615</v>
      </c>
      <c r="L149" t="s">
        <v>675</v>
      </c>
    </row>
    <row r="150" spans="1:12" x14ac:dyDescent="0.25">
      <c r="A150" t="s">
        <v>58</v>
      </c>
      <c r="B150" t="s">
        <v>552</v>
      </c>
      <c r="C150" t="s">
        <v>180</v>
      </c>
      <c r="D150" t="s">
        <v>181</v>
      </c>
      <c r="I150" t="s">
        <v>58</v>
      </c>
      <c r="J150" t="s">
        <v>66</v>
      </c>
      <c r="K150" t="s">
        <v>180</v>
      </c>
      <c r="L150" t="s">
        <v>181</v>
      </c>
    </row>
    <row r="151" spans="1:12" x14ac:dyDescent="0.25">
      <c r="A151" t="s">
        <v>58</v>
      </c>
      <c r="B151" t="s">
        <v>552</v>
      </c>
      <c r="C151" t="s">
        <v>612</v>
      </c>
      <c r="D151" t="s">
        <v>673</v>
      </c>
      <c r="I151" t="s">
        <v>58</v>
      </c>
      <c r="J151" t="s">
        <v>66</v>
      </c>
      <c r="K151" t="s">
        <v>612</v>
      </c>
      <c r="L151" t="s">
        <v>673</v>
      </c>
    </row>
    <row r="152" spans="1:12" x14ac:dyDescent="0.25">
      <c r="A152" t="s">
        <v>58</v>
      </c>
      <c r="B152" t="s">
        <v>475</v>
      </c>
      <c r="C152" t="s">
        <v>60</v>
      </c>
      <c r="D152" t="s">
        <v>61</v>
      </c>
      <c r="I152" t="s">
        <v>58</v>
      </c>
      <c r="J152" t="s">
        <v>59</v>
      </c>
      <c r="K152" t="s">
        <v>60</v>
      </c>
      <c r="L152" t="s">
        <v>61</v>
      </c>
    </row>
    <row r="153" spans="1:12" x14ac:dyDescent="0.25">
      <c r="A153" t="s">
        <v>58</v>
      </c>
      <c r="B153" t="s">
        <v>475</v>
      </c>
      <c r="C153" t="s">
        <v>477</v>
      </c>
      <c r="D153" t="s">
        <v>716</v>
      </c>
      <c r="I153" t="s">
        <v>58</v>
      </c>
      <c r="J153" t="s">
        <v>59</v>
      </c>
      <c r="K153" t="s">
        <v>477</v>
      </c>
      <c r="L153" t="s">
        <v>716</v>
      </c>
    </row>
    <row r="154" spans="1:12" x14ac:dyDescent="0.25">
      <c r="A154" t="s">
        <v>58</v>
      </c>
      <c r="B154" t="s">
        <v>475</v>
      </c>
      <c r="C154" t="s">
        <v>59</v>
      </c>
      <c r="D154" t="s">
        <v>717</v>
      </c>
      <c r="I154" t="s">
        <v>58</v>
      </c>
      <c r="J154" t="s">
        <v>59</v>
      </c>
      <c r="K154" t="s">
        <v>59</v>
      </c>
      <c r="L154" t="s">
        <v>717</v>
      </c>
    </row>
    <row r="155" spans="1:12" x14ac:dyDescent="0.25">
      <c r="A155" t="s">
        <v>58</v>
      </c>
      <c r="B155" t="s">
        <v>475</v>
      </c>
      <c r="C155" t="s">
        <v>228</v>
      </c>
      <c r="D155" t="s">
        <v>131</v>
      </c>
      <c r="I155" t="s">
        <v>58</v>
      </c>
      <c r="J155" t="s">
        <v>59</v>
      </c>
      <c r="K155" t="s">
        <v>228</v>
      </c>
      <c r="L155" t="s">
        <v>131</v>
      </c>
    </row>
    <row r="156" spans="1:12" x14ac:dyDescent="0.25">
      <c r="A156" t="s">
        <v>23</v>
      </c>
      <c r="B156" t="s">
        <v>407</v>
      </c>
      <c r="C156" t="s">
        <v>25</v>
      </c>
      <c r="D156" t="s">
        <v>26</v>
      </c>
      <c r="I156" t="s">
        <v>23</v>
      </c>
      <c r="J156" t="s">
        <v>24</v>
      </c>
      <c r="K156" t="s">
        <v>25</v>
      </c>
      <c r="L156" t="s">
        <v>26</v>
      </c>
    </row>
    <row r="157" spans="1:12" x14ac:dyDescent="0.25">
      <c r="A157" t="s">
        <v>23</v>
      </c>
      <c r="B157" t="s">
        <v>407</v>
      </c>
      <c r="C157" t="s">
        <v>47</v>
      </c>
      <c r="D157" t="s">
        <v>48</v>
      </c>
      <c r="I157" t="s">
        <v>23</v>
      </c>
      <c r="J157" t="s">
        <v>24</v>
      </c>
      <c r="K157" t="s">
        <v>47</v>
      </c>
      <c r="L157" t="s">
        <v>48</v>
      </c>
    </row>
    <row r="158" spans="1:12" x14ac:dyDescent="0.25">
      <c r="A158" t="s">
        <v>23</v>
      </c>
      <c r="B158" t="s">
        <v>407</v>
      </c>
      <c r="C158" t="s">
        <v>51</v>
      </c>
      <c r="D158" t="s">
        <v>52</v>
      </c>
      <c r="I158" t="s">
        <v>23</v>
      </c>
      <c r="J158" t="s">
        <v>24</v>
      </c>
      <c r="K158" t="s">
        <v>51</v>
      </c>
      <c r="L158" t="s">
        <v>52</v>
      </c>
    </row>
    <row r="159" spans="1:12" x14ac:dyDescent="0.25">
      <c r="A159" t="s">
        <v>23</v>
      </c>
      <c r="B159" t="s">
        <v>407</v>
      </c>
      <c r="C159" t="s">
        <v>168</v>
      </c>
      <c r="D159" t="s">
        <v>169</v>
      </c>
      <c r="I159" t="s">
        <v>23</v>
      </c>
      <c r="J159" t="s">
        <v>24</v>
      </c>
      <c r="K159" t="s">
        <v>168</v>
      </c>
      <c r="L159" t="s">
        <v>169</v>
      </c>
    </row>
    <row r="160" spans="1:12" x14ac:dyDescent="0.25">
      <c r="A160" t="s">
        <v>23</v>
      </c>
      <c r="B160" t="s">
        <v>407</v>
      </c>
      <c r="C160" t="s">
        <v>170</v>
      </c>
      <c r="D160" t="s">
        <v>171</v>
      </c>
      <c r="I160" t="s">
        <v>23</v>
      </c>
      <c r="J160" t="s">
        <v>24</v>
      </c>
      <c r="K160" t="s">
        <v>170</v>
      </c>
      <c r="L160" t="s">
        <v>171</v>
      </c>
    </row>
    <row r="161" spans="1:12" x14ac:dyDescent="0.25">
      <c r="A161" t="s">
        <v>23</v>
      </c>
      <c r="B161" t="s">
        <v>407</v>
      </c>
      <c r="C161" t="s">
        <v>413</v>
      </c>
      <c r="D161" t="s">
        <v>732</v>
      </c>
      <c r="I161" t="s">
        <v>23</v>
      </c>
      <c r="J161" t="s">
        <v>24</v>
      </c>
      <c r="K161" t="s">
        <v>413</v>
      </c>
      <c r="L161" t="s">
        <v>732</v>
      </c>
    </row>
    <row r="162" spans="1:12" x14ac:dyDescent="0.25">
      <c r="A162" t="s">
        <v>23</v>
      </c>
      <c r="B162" t="s">
        <v>407</v>
      </c>
      <c r="C162" t="s">
        <v>82</v>
      </c>
      <c r="D162" t="s">
        <v>83</v>
      </c>
      <c r="I162" t="s">
        <v>23</v>
      </c>
      <c r="J162" t="s">
        <v>24</v>
      </c>
      <c r="K162" t="s">
        <v>82</v>
      </c>
      <c r="L162" t="s">
        <v>83</v>
      </c>
    </row>
    <row r="163" spans="1:12" x14ac:dyDescent="0.25">
      <c r="A163" t="s">
        <v>23</v>
      </c>
      <c r="B163" t="s">
        <v>407</v>
      </c>
      <c r="C163" t="s">
        <v>84</v>
      </c>
      <c r="D163" t="s">
        <v>85</v>
      </c>
      <c r="I163" t="s">
        <v>23</v>
      </c>
      <c r="J163" t="s">
        <v>24</v>
      </c>
      <c r="K163" t="s">
        <v>84</v>
      </c>
      <c r="L163" t="s">
        <v>85</v>
      </c>
    </row>
    <row r="164" spans="1:12" x14ac:dyDescent="0.25">
      <c r="A164" t="s">
        <v>23</v>
      </c>
      <c r="B164" t="s">
        <v>407</v>
      </c>
      <c r="C164" t="s">
        <v>89</v>
      </c>
      <c r="D164" t="s">
        <v>90</v>
      </c>
      <c r="I164" t="s">
        <v>23</v>
      </c>
      <c r="J164" t="s">
        <v>24</v>
      </c>
      <c r="K164" t="s">
        <v>89</v>
      </c>
      <c r="L164" t="s">
        <v>90</v>
      </c>
    </row>
    <row r="165" spans="1:12" x14ac:dyDescent="0.25">
      <c r="A165" t="s">
        <v>23</v>
      </c>
      <c r="B165" t="s">
        <v>407</v>
      </c>
      <c r="C165" t="s">
        <v>176</v>
      </c>
      <c r="D165" t="s">
        <v>177</v>
      </c>
      <c r="I165" t="s">
        <v>23</v>
      </c>
      <c r="J165" t="s">
        <v>24</v>
      </c>
      <c r="K165" t="s">
        <v>176</v>
      </c>
      <c r="L165" t="s">
        <v>177</v>
      </c>
    </row>
    <row r="166" spans="1:12" x14ac:dyDescent="0.25">
      <c r="A166" t="s">
        <v>23</v>
      </c>
      <c r="B166" t="s">
        <v>407</v>
      </c>
      <c r="C166" t="s">
        <v>93</v>
      </c>
      <c r="D166" t="s">
        <v>94</v>
      </c>
      <c r="I166" t="s">
        <v>23</v>
      </c>
      <c r="J166" t="s">
        <v>24</v>
      </c>
      <c r="K166" t="s">
        <v>93</v>
      </c>
      <c r="L166" t="s">
        <v>94</v>
      </c>
    </row>
    <row r="167" spans="1:12" x14ac:dyDescent="0.25">
      <c r="A167" t="s">
        <v>23</v>
      </c>
      <c r="B167" t="s">
        <v>407</v>
      </c>
      <c r="C167" t="s">
        <v>102</v>
      </c>
      <c r="D167" t="s">
        <v>103</v>
      </c>
      <c r="I167" t="s">
        <v>23</v>
      </c>
      <c r="J167" t="s">
        <v>24</v>
      </c>
      <c r="K167" t="s">
        <v>102</v>
      </c>
      <c r="L167" t="s">
        <v>103</v>
      </c>
    </row>
    <row r="168" spans="1:12" x14ac:dyDescent="0.25">
      <c r="A168" t="s">
        <v>23</v>
      </c>
      <c r="B168" t="s">
        <v>407</v>
      </c>
      <c r="C168" t="s">
        <v>107</v>
      </c>
      <c r="D168" t="s">
        <v>108</v>
      </c>
      <c r="I168" t="s">
        <v>23</v>
      </c>
      <c r="J168" t="s">
        <v>24</v>
      </c>
      <c r="K168" t="s">
        <v>107</v>
      </c>
      <c r="L168" t="s">
        <v>108</v>
      </c>
    </row>
    <row r="169" spans="1:12" x14ac:dyDescent="0.25">
      <c r="A169" t="s">
        <v>23</v>
      </c>
      <c r="B169" t="s">
        <v>343</v>
      </c>
      <c r="C169" t="s">
        <v>105</v>
      </c>
      <c r="D169" t="s">
        <v>106</v>
      </c>
      <c r="I169" t="s">
        <v>23</v>
      </c>
      <c r="J169" t="s">
        <v>104</v>
      </c>
      <c r="K169" t="s">
        <v>105</v>
      </c>
      <c r="L169" t="s">
        <v>106</v>
      </c>
    </row>
    <row r="170" spans="1:12" x14ac:dyDescent="0.25">
      <c r="A170" t="s">
        <v>23</v>
      </c>
      <c r="B170" t="s">
        <v>343</v>
      </c>
      <c r="C170" t="s">
        <v>140</v>
      </c>
      <c r="D170" t="s">
        <v>141</v>
      </c>
      <c r="I170" t="s">
        <v>23</v>
      </c>
      <c r="J170" t="s">
        <v>104</v>
      </c>
      <c r="K170" t="s">
        <v>140</v>
      </c>
      <c r="L170" t="s">
        <v>141</v>
      </c>
    </row>
    <row r="171" spans="1:12" x14ac:dyDescent="0.25">
      <c r="A171" t="s">
        <v>23</v>
      </c>
      <c r="B171" t="s">
        <v>38</v>
      </c>
      <c r="C171" t="s">
        <v>39</v>
      </c>
      <c r="D171" t="s">
        <v>40</v>
      </c>
      <c r="I171" t="s">
        <v>23</v>
      </c>
      <c r="J171" t="s">
        <v>38</v>
      </c>
      <c r="K171" t="s">
        <v>39</v>
      </c>
      <c r="L171" t="s">
        <v>40</v>
      </c>
    </row>
    <row r="172" spans="1:12" x14ac:dyDescent="0.25">
      <c r="A172" t="s">
        <v>23</v>
      </c>
      <c r="B172" t="s">
        <v>38</v>
      </c>
      <c r="C172" t="s">
        <v>53</v>
      </c>
      <c r="D172" t="s">
        <v>54</v>
      </c>
      <c r="I172" t="s">
        <v>23</v>
      </c>
      <c r="J172" t="s">
        <v>38</v>
      </c>
      <c r="K172" t="s">
        <v>53</v>
      </c>
      <c r="L172" t="s">
        <v>54</v>
      </c>
    </row>
    <row r="173" spans="1:12" x14ac:dyDescent="0.25">
      <c r="A173" t="s">
        <v>23</v>
      </c>
      <c r="B173" t="s">
        <v>38</v>
      </c>
      <c r="C173" t="s">
        <v>174</v>
      </c>
      <c r="D173" t="s">
        <v>175</v>
      </c>
      <c r="I173" t="s">
        <v>23</v>
      </c>
      <c r="J173" t="s">
        <v>38</v>
      </c>
      <c r="K173" t="s">
        <v>174</v>
      </c>
      <c r="L173" t="s">
        <v>175</v>
      </c>
    </row>
    <row r="174" spans="1:12" x14ac:dyDescent="0.25">
      <c r="A174" t="s">
        <v>23</v>
      </c>
      <c r="B174" t="s">
        <v>38</v>
      </c>
      <c r="C174" t="s">
        <v>91</v>
      </c>
      <c r="D174" t="s">
        <v>92</v>
      </c>
      <c r="I174" t="s">
        <v>23</v>
      </c>
      <c r="J174" t="s">
        <v>38</v>
      </c>
      <c r="K174" t="s">
        <v>91</v>
      </c>
      <c r="L174" t="s">
        <v>92</v>
      </c>
    </row>
    <row r="175" spans="1:12" x14ac:dyDescent="0.25">
      <c r="A175" t="s">
        <v>23</v>
      </c>
      <c r="B175" t="s">
        <v>38</v>
      </c>
      <c r="C175" t="s">
        <v>317</v>
      </c>
      <c r="D175" t="s">
        <v>92</v>
      </c>
      <c r="I175" t="s">
        <v>23</v>
      </c>
      <c r="J175" t="s">
        <v>38</v>
      </c>
      <c r="K175" t="s">
        <v>317</v>
      </c>
      <c r="L175" t="s">
        <v>92</v>
      </c>
    </row>
    <row r="176" spans="1:12" x14ac:dyDescent="0.25">
      <c r="A176" t="s">
        <v>23</v>
      </c>
      <c r="B176" t="s">
        <v>38</v>
      </c>
      <c r="C176" t="s">
        <v>95</v>
      </c>
      <c r="D176" t="s">
        <v>96</v>
      </c>
      <c r="I176" t="s">
        <v>23</v>
      </c>
      <c r="J176" t="s">
        <v>38</v>
      </c>
      <c r="K176" t="s">
        <v>95</v>
      </c>
      <c r="L176" t="s">
        <v>96</v>
      </c>
    </row>
    <row r="177" spans="1:12" x14ac:dyDescent="0.25">
      <c r="A177" t="s">
        <v>23</v>
      </c>
      <c r="B177" t="s">
        <v>38</v>
      </c>
      <c r="C177" t="s">
        <v>178</v>
      </c>
      <c r="D177" t="s">
        <v>179</v>
      </c>
      <c r="I177" t="s">
        <v>23</v>
      </c>
      <c r="J177" t="s">
        <v>38</v>
      </c>
      <c r="K177" t="s">
        <v>178</v>
      </c>
      <c r="L177" t="s">
        <v>179</v>
      </c>
    </row>
    <row r="178" spans="1:12" x14ac:dyDescent="0.25">
      <c r="A178" t="s">
        <v>23</v>
      </c>
      <c r="B178" t="s">
        <v>38</v>
      </c>
      <c r="C178" t="s">
        <v>134</v>
      </c>
      <c r="D178" t="s">
        <v>135</v>
      </c>
      <c r="I178" t="s">
        <v>23</v>
      </c>
      <c r="J178" t="s">
        <v>38</v>
      </c>
      <c r="K178" t="s">
        <v>134</v>
      </c>
      <c r="L178" t="s">
        <v>135</v>
      </c>
    </row>
    <row r="179" spans="1:12" x14ac:dyDescent="0.25">
      <c r="A179" t="s">
        <v>23</v>
      </c>
      <c r="B179" t="s">
        <v>38</v>
      </c>
      <c r="C179" t="s">
        <v>138</v>
      </c>
      <c r="D179" t="s">
        <v>139</v>
      </c>
      <c r="I179" t="s">
        <v>23</v>
      </c>
      <c r="J179" t="s">
        <v>38</v>
      </c>
      <c r="K179" t="s">
        <v>138</v>
      </c>
      <c r="L179" t="s">
        <v>139</v>
      </c>
    </row>
    <row r="180" spans="1:12" x14ac:dyDescent="0.25">
      <c r="A180" t="s">
        <v>27</v>
      </c>
      <c r="B180" t="s">
        <v>552</v>
      </c>
      <c r="C180" t="s">
        <v>614</v>
      </c>
      <c r="D180" t="s">
        <v>674</v>
      </c>
      <c r="I180" t="s">
        <v>27</v>
      </c>
      <c r="J180" t="s">
        <v>66</v>
      </c>
      <c r="K180" t="s">
        <v>614</v>
      </c>
      <c r="L180" t="s">
        <v>674</v>
      </c>
    </row>
    <row r="181" spans="1:12" x14ac:dyDescent="0.25">
      <c r="A181" t="s">
        <v>27</v>
      </c>
      <c r="B181" t="s">
        <v>493</v>
      </c>
      <c r="C181" t="s">
        <v>218</v>
      </c>
      <c r="D181" t="s">
        <v>219</v>
      </c>
      <c r="I181" t="s">
        <v>27</v>
      </c>
      <c r="J181" t="s">
        <v>813</v>
      </c>
      <c r="K181" t="s">
        <v>218</v>
      </c>
      <c r="L181" t="s">
        <v>219</v>
      </c>
    </row>
    <row r="182" spans="1:12" x14ac:dyDescent="0.25">
      <c r="A182" t="s">
        <v>27</v>
      </c>
      <c r="B182" t="s">
        <v>351</v>
      </c>
      <c r="C182" t="s">
        <v>350</v>
      </c>
      <c r="D182" t="s">
        <v>734</v>
      </c>
      <c r="I182" t="s">
        <v>27</v>
      </c>
      <c r="J182" t="s">
        <v>28</v>
      </c>
      <c r="K182" t="s">
        <v>350</v>
      </c>
      <c r="L182" t="s">
        <v>734</v>
      </c>
    </row>
    <row r="183" spans="1:12" x14ac:dyDescent="0.25">
      <c r="A183" t="s">
        <v>27</v>
      </c>
      <c r="B183" t="s">
        <v>351</v>
      </c>
      <c r="C183" t="s">
        <v>356</v>
      </c>
      <c r="D183" t="s">
        <v>735</v>
      </c>
      <c r="I183" t="s">
        <v>27</v>
      </c>
      <c r="J183" t="s">
        <v>28</v>
      </c>
      <c r="K183" t="s">
        <v>356</v>
      </c>
      <c r="L183" t="s">
        <v>735</v>
      </c>
    </row>
    <row r="184" spans="1:12" x14ac:dyDescent="0.25">
      <c r="A184" t="s">
        <v>27</v>
      </c>
      <c r="B184" t="s">
        <v>351</v>
      </c>
      <c r="C184" t="s">
        <v>358</v>
      </c>
      <c r="D184" t="s">
        <v>736</v>
      </c>
      <c r="I184" t="s">
        <v>27</v>
      </c>
      <c r="J184" t="s">
        <v>28</v>
      </c>
      <c r="K184" t="s">
        <v>358</v>
      </c>
      <c r="L184" t="s">
        <v>736</v>
      </c>
    </row>
    <row r="185" spans="1:12" x14ac:dyDescent="0.25">
      <c r="A185" t="s">
        <v>27</v>
      </c>
      <c r="B185" t="s">
        <v>351</v>
      </c>
      <c r="C185" t="s">
        <v>29</v>
      </c>
      <c r="D185" t="s">
        <v>30</v>
      </c>
      <c r="I185" t="s">
        <v>27</v>
      </c>
      <c r="J185" t="s">
        <v>28</v>
      </c>
      <c r="K185" t="s">
        <v>29</v>
      </c>
      <c r="L185" t="s">
        <v>30</v>
      </c>
    </row>
    <row r="186" spans="1:12" x14ac:dyDescent="0.25">
      <c r="A186" t="s">
        <v>27</v>
      </c>
      <c r="B186" t="s">
        <v>351</v>
      </c>
      <c r="C186" t="s">
        <v>361</v>
      </c>
      <c r="D186" t="s">
        <v>737</v>
      </c>
      <c r="I186" t="s">
        <v>27</v>
      </c>
      <c r="J186" t="s">
        <v>28</v>
      </c>
      <c r="K186" t="s">
        <v>361</v>
      </c>
      <c r="L186" t="s">
        <v>737</v>
      </c>
    </row>
    <row r="187" spans="1:12" x14ac:dyDescent="0.25">
      <c r="A187" t="s">
        <v>27</v>
      </c>
      <c r="B187" t="s">
        <v>351</v>
      </c>
      <c r="C187" t="s">
        <v>363</v>
      </c>
      <c r="D187" t="s">
        <v>738</v>
      </c>
      <c r="I187" t="s">
        <v>27</v>
      </c>
      <c r="J187" t="s">
        <v>28</v>
      </c>
      <c r="K187" t="s">
        <v>363</v>
      </c>
      <c r="L187" t="s">
        <v>738</v>
      </c>
    </row>
    <row r="188" spans="1:12" x14ac:dyDescent="0.25">
      <c r="A188" t="s">
        <v>27</v>
      </c>
      <c r="B188" t="s">
        <v>351</v>
      </c>
      <c r="C188" t="s">
        <v>364</v>
      </c>
      <c r="D188" t="s">
        <v>739</v>
      </c>
      <c r="I188" t="s">
        <v>27</v>
      </c>
      <c r="J188" t="s">
        <v>28</v>
      </c>
      <c r="K188" t="s">
        <v>364</v>
      </c>
      <c r="L188" t="s">
        <v>739</v>
      </c>
    </row>
    <row r="189" spans="1:12" x14ac:dyDescent="0.25">
      <c r="A189" t="s">
        <v>27</v>
      </c>
      <c r="B189" t="s">
        <v>351</v>
      </c>
      <c r="C189" t="s">
        <v>365</v>
      </c>
      <c r="D189" t="s">
        <v>740</v>
      </c>
      <c r="I189" t="s">
        <v>27</v>
      </c>
      <c r="J189" t="s">
        <v>28</v>
      </c>
      <c r="K189" t="s">
        <v>365</v>
      </c>
      <c r="L189" t="s">
        <v>740</v>
      </c>
    </row>
    <row r="190" spans="1:12" x14ac:dyDescent="0.25">
      <c r="A190" t="s">
        <v>27</v>
      </c>
      <c r="B190" t="s">
        <v>351</v>
      </c>
      <c r="C190" t="s">
        <v>367</v>
      </c>
      <c r="D190" t="s">
        <v>741</v>
      </c>
      <c r="I190" t="s">
        <v>27</v>
      </c>
      <c r="J190" t="s">
        <v>28</v>
      </c>
      <c r="K190" t="s">
        <v>367</v>
      </c>
      <c r="L190" t="s">
        <v>741</v>
      </c>
    </row>
    <row r="191" spans="1:12" x14ac:dyDescent="0.25">
      <c r="A191" t="s">
        <v>27</v>
      </c>
      <c r="B191" t="s">
        <v>351</v>
      </c>
      <c r="C191" t="s">
        <v>232</v>
      </c>
      <c r="D191" t="s">
        <v>233</v>
      </c>
      <c r="I191" t="s">
        <v>27</v>
      </c>
      <c r="J191" t="s">
        <v>28</v>
      </c>
      <c r="K191" t="s">
        <v>232</v>
      </c>
      <c r="L191" t="s">
        <v>233</v>
      </c>
    </row>
    <row r="192" spans="1:12" x14ac:dyDescent="0.25">
      <c r="A192" t="s">
        <v>27</v>
      </c>
      <c r="B192" t="s">
        <v>351</v>
      </c>
      <c r="C192" t="s">
        <v>371</v>
      </c>
      <c r="D192" t="s">
        <v>742</v>
      </c>
      <c r="I192" t="s">
        <v>27</v>
      </c>
      <c r="J192" t="s">
        <v>28</v>
      </c>
      <c r="K192" t="s">
        <v>371</v>
      </c>
      <c r="L192" t="s">
        <v>742</v>
      </c>
    </row>
    <row r="193" spans="1:12" x14ac:dyDescent="0.25">
      <c r="A193" t="s">
        <v>27</v>
      </c>
      <c r="B193" t="s">
        <v>351</v>
      </c>
      <c r="C193" t="s">
        <v>373</v>
      </c>
      <c r="D193" t="s">
        <v>743</v>
      </c>
      <c r="I193" t="s">
        <v>27</v>
      </c>
      <c r="J193" t="s">
        <v>28</v>
      </c>
      <c r="K193" t="s">
        <v>373</v>
      </c>
      <c r="L193" t="s">
        <v>743</v>
      </c>
    </row>
    <row r="194" spans="1:12" x14ac:dyDescent="0.25">
      <c r="A194" t="s">
        <v>27</v>
      </c>
      <c r="B194" t="s">
        <v>351</v>
      </c>
      <c r="C194" t="s">
        <v>375</v>
      </c>
      <c r="D194" t="s">
        <v>744</v>
      </c>
      <c r="I194" t="s">
        <v>27</v>
      </c>
      <c r="J194" t="s">
        <v>28</v>
      </c>
      <c r="K194" t="s">
        <v>375</v>
      </c>
      <c r="L194" t="s">
        <v>744</v>
      </c>
    </row>
    <row r="195" spans="1:12" x14ac:dyDescent="0.25">
      <c r="A195" t="s">
        <v>27</v>
      </c>
      <c r="B195" t="s">
        <v>351</v>
      </c>
      <c r="C195" t="s">
        <v>378</v>
      </c>
      <c r="D195" t="s">
        <v>745</v>
      </c>
      <c r="I195" t="s">
        <v>27</v>
      </c>
      <c r="J195" t="s">
        <v>28</v>
      </c>
      <c r="K195" t="s">
        <v>378</v>
      </c>
      <c r="L195" t="s">
        <v>745</v>
      </c>
    </row>
    <row r="196" spans="1:12" x14ac:dyDescent="0.25">
      <c r="A196" t="s">
        <v>27</v>
      </c>
      <c r="B196" t="s">
        <v>351</v>
      </c>
      <c r="C196" t="s">
        <v>381</v>
      </c>
      <c r="D196" t="s">
        <v>97</v>
      </c>
      <c r="I196" t="s">
        <v>27</v>
      </c>
      <c r="J196" t="s">
        <v>28</v>
      </c>
      <c r="K196" t="s">
        <v>381</v>
      </c>
      <c r="L196" t="s">
        <v>97</v>
      </c>
    </row>
    <row r="197" spans="1:12" x14ac:dyDescent="0.25">
      <c r="A197" t="s">
        <v>27</v>
      </c>
      <c r="B197" t="s">
        <v>351</v>
      </c>
      <c r="C197" t="s">
        <v>109</v>
      </c>
      <c r="D197" t="s">
        <v>110</v>
      </c>
      <c r="I197" t="s">
        <v>27</v>
      </c>
      <c r="J197" t="s">
        <v>28</v>
      </c>
      <c r="K197" t="s">
        <v>109</v>
      </c>
      <c r="L197" t="s">
        <v>110</v>
      </c>
    </row>
    <row r="198" spans="1:12" x14ac:dyDescent="0.25">
      <c r="A198" t="s">
        <v>27</v>
      </c>
      <c r="B198" t="s">
        <v>351</v>
      </c>
      <c r="C198" t="s">
        <v>386</v>
      </c>
      <c r="D198" t="s">
        <v>746</v>
      </c>
      <c r="I198" t="s">
        <v>27</v>
      </c>
      <c r="J198" t="s">
        <v>28</v>
      </c>
      <c r="K198" t="s">
        <v>386</v>
      </c>
      <c r="L198" t="s">
        <v>746</v>
      </c>
    </row>
    <row r="199" spans="1:12" x14ac:dyDescent="0.25">
      <c r="A199" t="s">
        <v>27</v>
      </c>
      <c r="B199" t="s">
        <v>351</v>
      </c>
      <c r="C199" t="s">
        <v>388</v>
      </c>
      <c r="D199" t="s">
        <v>747</v>
      </c>
      <c r="I199" t="s">
        <v>27</v>
      </c>
      <c r="J199" t="s">
        <v>28</v>
      </c>
      <c r="K199" t="s">
        <v>388</v>
      </c>
      <c r="L199" t="s">
        <v>747</v>
      </c>
    </row>
    <row r="200" spans="1:12" x14ac:dyDescent="0.25">
      <c r="A200" t="s">
        <v>27</v>
      </c>
      <c r="B200" t="s">
        <v>351</v>
      </c>
      <c r="C200" t="s">
        <v>391</v>
      </c>
      <c r="D200" t="s">
        <v>748</v>
      </c>
      <c r="I200" t="s">
        <v>27</v>
      </c>
      <c r="J200" t="s">
        <v>28</v>
      </c>
      <c r="K200" t="s">
        <v>391</v>
      </c>
      <c r="L200" t="s">
        <v>748</v>
      </c>
    </row>
    <row r="201" spans="1:12" x14ac:dyDescent="0.25">
      <c r="A201" t="s">
        <v>27</v>
      </c>
      <c r="B201" t="s">
        <v>351</v>
      </c>
      <c r="C201" t="s">
        <v>393</v>
      </c>
      <c r="D201" t="s">
        <v>749</v>
      </c>
      <c r="I201" t="s">
        <v>27</v>
      </c>
      <c r="J201" t="s">
        <v>28</v>
      </c>
      <c r="K201" t="s">
        <v>393</v>
      </c>
      <c r="L201" t="s">
        <v>749</v>
      </c>
    </row>
    <row r="202" spans="1:12" x14ac:dyDescent="0.25">
      <c r="A202" t="s">
        <v>27</v>
      </c>
      <c r="B202" t="s">
        <v>351</v>
      </c>
      <c r="C202" t="s">
        <v>28</v>
      </c>
      <c r="D202" t="s">
        <v>130</v>
      </c>
      <c r="I202" t="s">
        <v>27</v>
      </c>
      <c r="J202" t="s">
        <v>28</v>
      </c>
      <c r="K202" t="s">
        <v>28</v>
      </c>
      <c r="L202" t="s">
        <v>130</v>
      </c>
    </row>
    <row r="203" spans="1:12" x14ac:dyDescent="0.25">
      <c r="A203" t="s">
        <v>27</v>
      </c>
      <c r="B203" t="s">
        <v>351</v>
      </c>
      <c r="C203" t="s">
        <v>397</v>
      </c>
      <c r="D203" t="s">
        <v>750</v>
      </c>
      <c r="I203" t="s">
        <v>27</v>
      </c>
      <c r="J203" t="s">
        <v>28</v>
      </c>
      <c r="K203" t="s">
        <v>397</v>
      </c>
      <c r="L203" t="s">
        <v>750</v>
      </c>
    </row>
    <row r="204" spans="1:12" x14ac:dyDescent="0.25">
      <c r="A204" t="s">
        <v>27</v>
      </c>
      <c r="B204" t="s">
        <v>351</v>
      </c>
      <c r="C204" t="s">
        <v>400</v>
      </c>
      <c r="D204" t="s">
        <v>751</v>
      </c>
      <c r="I204" t="s">
        <v>27</v>
      </c>
      <c r="J204" t="s">
        <v>28</v>
      </c>
      <c r="K204" t="s">
        <v>400</v>
      </c>
      <c r="L204" t="s">
        <v>751</v>
      </c>
    </row>
    <row r="205" spans="1:12" x14ac:dyDescent="0.25">
      <c r="A205" t="s">
        <v>27</v>
      </c>
      <c r="B205" t="s">
        <v>351</v>
      </c>
      <c r="C205" t="s">
        <v>142</v>
      </c>
      <c r="D205" t="s">
        <v>143</v>
      </c>
      <c r="I205" t="s">
        <v>27</v>
      </c>
      <c r="J205" t="s">
        <v>28</v>
      </c>
      <c r="K205" t="s">
        <v>142</v>
      </c>
      <c r="L205" t="s">
        <v>143</v>
      </c>
    </row>
    <row r="206" spans="1:12" x14ac:dyDescent="0.25">
      <c r="A206" t="s">
        <v>27</v>
      </c>
      <c r="B206" t="s">
        <v>351</v>
      </c>
      <c r="C206" t="s">
        <v>404</v>
      </c>
      <c r="D206" t="s">
        <v>752</v>
      </c>
      <c r="I206" t="s">
        <v>27</v>
      </c>
      <c r="J206" t="s">
        <v>28</v>
      </c>
      <c r="K206" t="s">
        <v>404</v>
      </c>
      <c r="L206" t="s">
        <v>752</v>
      </c>
    </row>
    <row r="207" spans="1:12" x14ac:dyDescent="0.25">
      <c r="A207" t="s">
        <v>807</v>
      </c>
      <c r="B207" t="s">
        <v>623</v>
      </c>
      <c r="C207" t="s">
        <v>24</v>
      </c>
      <c r="D207" t="s">
        <v>808</v>
      </c>
    </row>
    <row r="208" spans="1:12" x14ac:dyDescent="0.25">
      <c r="A208" t="s">
        <v>807</v>
      </c>
      <c r="B208" t="s">
        <v>621</v>
      </c>
      <c r="C208" t="s">
        <v>620</v>
      </c>
      <c r="D208" t="s">
        <v>809</v>
      </c>
    </row>
    <row r="209" spans="1:4" x14ac:dyDescent="0.25">
      <c r="A209" t="s">
        <v>807</v>
      </c>
      <c r="B209" t="s">
        <v>618</v>
      </c>
      <c r="C209" t="s">
        <v>617</v>
      </c>
      <c r="D209" t="s">
        <v>810</v>
      </c>
    </row>
    <row r="210" spans="1:4" x14ac:dyDescent="0.25">
      <c r="A210" t="s">
        <v>807</v>
      </c>
      <c r="B210" t="s">
        <v>289</v>
      </c>
      <c r="C210" t="s">
        <v>288</v>
      </c>
      <c r="D210" t="s">
        <v>811</v>
      </c>
    </row>
  </sheetData>
  <autoFilter ref="I3:L206" xr:uid="{32FD2170-1A80-4F4E-B67F-923ED807CC4D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V409"/>
  <sheetViews>
    <sheetView topLeftCell="B379" zoomScale="115" zoomScaleNormal="115" workbookViewId="0">
      <selection activeCell="D409" sqref="D409"/>
    </sheetView>
  </sheetViews>
  <sheetFormatPr baseColWidth="10" defaultColWidth="29.7109375" defaultRowHeight="15" x14ac:dyDescent="0.25"/>
  <cols>
    <col min="1" max="1" width="9.140625" bestFit="1" customWidth="1"/>
    <col min="2" max="2" width="30.7109375" bestFit="1" customWidth="1"/>
    <col min="3" max="3" width="36.28515625" customWidth="1"/>
    <col min="4" max="4" width="98.42578125" customWidth="1"/>
    <col min="5" max="5" width="9.5703125" bestFit="1" customWidth="1"/>
    <col min="6" max="6" width="10.7109375" bestFit="1" customWidth="1"/>
    <col min="7" max="7" width="11.5703125" bestFit="1" customWidth="1"/>
    <col min="8" max="9" width="12.140625" bestFit="1" customWidth="1"/>
    <col min="10" max="10" width="11.7109375" bestFit="1" customWidth="1"/>
    <col min="11" max="11" width="14" bestFit="1" customWidth="1"/>
    <col min="12" max="12" width="11" bestFit="1" customWidth="1"/>
    <col min="13" max="13" width="8" bestFit="1" customWidth="1"/>
    <col min="14" max="14" width="13.5703125" bestFit="1" customWidth="1"/>
    <col min="15" max="15" width="22.28515625" bestFit="1" customWidth="1"/>
    <col min="16" max="16" width="24" bestFit="1" customWidth="1"/>
    <col min="17" max="17" width="16.140625" bestFit="1" customWidth="1"/>
    <col min="18" max="18" width="22.85546875" bestFit="1" customWidth="1"/>
    <col min="19" max="19" width="13.42578125" bestFit="1" customWidth="1"/>
    <col min="20" max="20" width="11.42578125" bestFit="1" customWidth="1"/>
    <col min="21" max="21" width="10.140625" bestFit="1" customWidth="1"/>
  </cols>
  <sheetData>
    <row r="1" spans="1:22" ht="16.5" thickTop="1" thickBot="1" x14ac:dyDescent="0.3">
      <c r="A1" s="4" t="s">
        <v>266</v>
      </c>
      <c r="B1" s="4" t="s">
        <v>267</v>
      </c>
      <c r="C1" s="4" t="s">
        <v>268</v>
      </c>
      <c r="D1" s="4" t="s">
        <v>269</v>
      </c>
      <c r="E1" s="4" t="s">
        <v>270</v>
      </c>
      <c r="F1" s="4" t="s">
        <v>271</v>
      </c>
      <c r="G1" s="4" t="s">
        <v>272</v>
      </c>
      <c r="H1" s="24" t="s">
        <v>273</v>
      </c>
      <c r="I1" s="24" t="s">
        <v>274</v>
      </c>
      <c r="J1" s="25" t="s">
        <v>275</v>
      </c>
      <c r="K1" s="25" t="s">
        <v>276</v>
      </c>
      <c r="L1" s="26" t="s">
        <v>277</v>
      </c>
      <c r="M1" s="26" t="s">
        <v>278</v>
      </c>
      <c r="N1" s="26" t="s">
        <v>279</v>
      </c>
      <c r="O1" s="26" t="s">
        <v>280</v>
      </c>
      <c r="P1" s="26" t="s">
        <v>281</v>
      </c>
      <c r="Q1" s="26" t="s">
        <v>282</v>
      </c>
      <c r="R1" s="27" t="s">
        <v>283</v>
      </c>
      <c r="S1" s="27" t="s">
        <v>284</v>
      </c>
      <c r="T1" s="28" t="s">
        <v>285</v>
      </c>
      <c r="U1" s="29" t="s">
        <v>286</v>
      </c>
      <c r="V1" s="28" t="s">
        <v>803</v>
      </c>
    </row>
    <row r="2" spans="1:22" ht="15.75" thickTop="1" x14ac:dyDescent="0.25">
      <c r="A2" s="48" t="s">
        <v>287</v>
      </c>
      <c r="B2" s="30" t="s">
        <v>24</v>
      </c>
      <c r="C2" s="30" t="s">
        <v>24</v>
      </c>
      <c r="D2" s="31" t="s">
        <v>623</v>
      </c>
      <c r="E2" s="9"/>
      <c r="F2" s="5"/>
      <c r="G2" s="9"/>
      <c r="H2" s="32" t="s">
        <v>290</v>
      </c>
      <c r="I2" s="32" t="s">
        <v>624</v>
      </c>
      <c r="J2" s="33" t="s">
        <v>292</v>
      </c>
      <c r="K2" s="33" t="s">
        <v>306</v>
      </c>
      <c r="L2" s="49" t="s">
        <v>294</v>
      </c>
      <c r="M2" s="50" t="str">
        <f>Tabla16[[#This Row],[ABR_02]]</f>
        <v>BO</v>
      </c>
      <c r="N2" t="s">
        <v>295</v>
      </c>
      <c r="O2" s="51" t="s">
        <v>293</v>
      </c>
      <c r="P2" t="s">
        <v>296</v>
      </c>
      <c r="Q2" t="s">
        <v>297</v>
      </c>
      <c r="R2" s="52" t="str">
        <f>_xlfn.CONCAT(Tabla16[[#This Row],[ABR_01]],"00",Tabla16[[#This Row],[ABR_02]],Tabla16[[#This Row],[ZONA2]],,"0",Tabla16[[#This Row],[PARADA2]])</f>
        <v>AR00BO1002</v>
      </c>
      <c r="S2" s="52" t="s">
        <v>298</v>
      </c>
      <c r="T2" s="34" t="s">
        <v>299</v>
      </c>
      <c r="U2" s="34" t="s">
        <v>299</v>
      </c>
      <c r="V2" t="s">
        <v>806</v>
      </c>
    </row>
    <row r="3" spans="1:22" x14ac:dyDescent="0.25">
      <c r="A3" s="48" t="s">
        <v>287</v>
      </c>
      <c r="B3" s="30" t="s">
        <v>24</v>
      </c>
      <c r="C3" s="30" t="s">
        <v>24</v>
      </c>
      <c r="D3" s="31" t="s">
        <v>623</v>
      </c>
      <c r="E3" s="9"/>
      <c r="F3" s="5"/>
      <c r="G3" s="9"/>
      <c r="H3" s="32" t="s">
        <v>290</v>
      </c>
      <c r="I3" s="32" t="s">
        <v>624</v>
      </c>
      <c r="J3" s="33" t="s">
        <v>292</v>
      </c>
      <c r="K3" s="33" t="s">
        <v>306</v>
      </c>
      <c r="L3" s="49" t="s">
        <v>294</v>
      </c>
      <c r="M3" s="50" t="str">
        <f>Tabla16[[#This Row],[ABR_02]]</f>
        <v>BO</v>
      </c>
      <c r="N3" t="s">
        <v>295</v>
      </c>
      <c r="O3" s="51" t="s">
        <v>309</v>
      </c>
      <c r="P3" t="s">
        <v>625</v>
      </c>
      <c r="Q3" t="s">
        <v>297</v>
      </c>
      <c r="R3" s="52" t="str">
        <f>_xlfn.CONCAT(Tabla16[[#This Row],[ABR_01]],"00",Tabla16[[#This Row],[ABR_02]],Tabla16[[#This Row],[ZONA2]],,"0",Tabla16[[#This Row],[PARADA2]])</f>
        <v>AR00BO1002</v>
      </c>
      <c r="S3" s="52" t="s">
        <v>298</v>
      </c>
      <c r="T3" s="34" t="s">
        <v>299</v>
      </c>
      <c r="U3" s="45" t="s">
        <v>299</v>
      </c>
      <c r="V3" t="s">
        <v>806</v>
      </c>
    </row>
    <row r="4" spans="1:22" x14ac:dyDescent="0.25">
      <c r="A4" s="48" t="s">
        <v>287</v>
      </c>
      <c r="B4" s="30" t="s">
        <v>620</v>
      </c>
      <c r="C4" s="30" t="s">
        <v>620</v>
      </c>
      <c r="D4" s="31" t="s">
        <v>621</v>
      </c>
      <c r="E4" s="9"/>
      <c r="F4" s="5"/>
      <c r="G4" s="9"/>
      <c r="H4" s="32" t="s">
        <v>290</v>
      </c>
      <c r="I4" s="32" t="s">
        <v>622</v>
      </c>
      <c r="J4" s="33" t="s">
        <v>292</v>
      </c>
      <c r="K4" s="33" t="s">
        <v>309</v>
      </c>
      <c r="L4" s="49" t="s">
        <v>294</v>
      </c>
      <c r="M4" s="50" t="str">
        <f>Tabla16[[#This Row],[ABR_02]]</f>
        <v>CL</v>
      </c>
      <c r="N4" t="s">
        <v>295</v>
      </c>
      <c r="O4" s="51" t="s">
        <v>293</v>
      </c>
      <c r="P4" t="s">
        <v>296</v>
      </c>
      <c r="Q4" t="s">
        <v>297</v>
      </c>
      <c r="R4" s="52" t="str">
        <f>_xlfn.CONCAT(Tabla16[[#This Row],[ABR_01]],"00",Tabla16[[#This Row],[ABR_02]],Tabla16[[#This Row],[ZONA2]],,"0",Tabla16[[#This Row],[PARADA2]])</f>
        <v>AR00CL1004</v>
      </c>
      <c r="S4" s="52" t="s">
        <v>298</v>
      </c>
      <c r="U4" s="34" t="s">
        <v>299</v>
      </c>
      <c r="V4" t="s">
        <v>806</v>
      </c>
    </row>
    <row r="5" spans="1:22" x14ac:dyDescent="0.25">
      <c r="A5" s="48" t="s">
        <v>287</v>
      </c>
      <c r="B5" s="30" t="s">
        <v>620</v>
      </c>
      <c r="C5" s="30" t="s">
        <v>620</v>
      </c>
      <c r="D5" s="31" t="s">
        <v>621</v>
      </c>
      <c r="E5" s="9"/>
      <c r="F5" s="5"/>
      <c r="G5" s="9"/>
      <c r="H5" s="32" t="s">
        <v>290</v>
      </c>
      <c r="I5" s="32" t="s">
        <v>622</v>
      </c>
      <c r="J5" s="33" t="s">
        <v>292</v>
      </c>
      <c r="K5" s="33" t="s">
        <v>309</v>
      </c>
      <c r="L5" s="49" t="s">
        <v>294</v>
      </c>
      <c r="M5" s="50" t="str">
        <f>Tabla16[[#This Row],[ABR_02]]</f>
        <v>CL</v>
      </c>
      <c r="N5" t="s">
        <v>295</v>
      </c>
      <c r="O5" s="51" t="s">
        <v>309</v>
      </c>
      <c r="P5" t="s">
        <v>625</v>
      </c>
      <c r="Q5" t="s">
        <v>297</v>
      </c>
      <c r="R5" s="52" t="str">
        <f>_xlfn.CONCAT(Tabla16[[#This Row],[ABR_01]],"00",Tabla16[[#This Row],[ABR_02]],Tabla16[[#This Row],[ZONA2]],,"0",Tabla16[[#This Row],[PARADA2]])</f>
        <v>AR00CL1004</v>
      </c>
      <c r="S5" s="52" t="s">
        <v>298</v>
      </c>
      <c r="U5" s="45" t="s">
        <v>299</v>
      </c>
      <c r="V5" t="s">
        <v>806</v>
      </c>
    </row>
    <row r="6" spans="1:22" x14ac:dyDescent="0.25">
      <c r="A6" s="48" t="s">
        <v>287</v>
      </c>
      <c r="B6" s="30" t="s">
        <v>617</v>
      </c>
      <c r="C6" s="30" t="s">
        <v>617</v>
      </c>
      <c r="D6" s="31" t="s">
        <v>618</v>
      </c>
      <c r="E6" s="9"/>
      <c r="F6" s="5"/>
      <c r="G6" s="9"/>
      <c r="H6" s="32" t="s">
        <v>290</v>
      </c>
      <c r="I6" s="32" t="s">
        <v>619</v>
      </c>
      <c r="J6" s="33" t="s">
        <v>292</v>
      </c>
      <c r="K6" s="33" t="s">
        <v>307</v>
      </c>
      <c r="L6" s="49" t="s">
        <v>294</v>
      </c>
      <c r="M6" s="50" t="str">
        <f>Tabla16[[#This Row],[ABR_02]]</f>
        <v>PA</v>
      </c>
      <c r="N6" t="s">
        <v>295</v>
      </c>
      <c r="O6" s="51" t="s">
        <v>293</v>
      </c>
      <c r="P6" t="s">
        <v>296</v>
      </c>
      <c r="Q6" t="s">
        <v>297</v>
      </c>
      <c r="R6" s="52" t="str">
        <f>_xlfn.CONCAT(Tabla16[[#This Row],[ABR_01]],"00",Tabla16[[#This Row],[ABR_02]],Tabla16[[#This Row],[ZONA2]],,"0",Tabla16[[#This Row],[PARADA2]])</f>
        <v>AR00PA1003</v>
      </c>
      <c r="S6" s="52" t="s">
        <v>298</v>
      </c>
      <c r="T6" s="34" t="s">
        <v>299</v>
      </c>
      <c r="U6" s="34" t="s">
        <v>299</v>
      </c>
      <c r="V6" t="s">
        <v>806</v>
      </c>
    </row>
    <row r="7" spans="1:22" x14ac:dyDescent="0.25">
      <c r="A7" s="48" t="s">
        <v>287</v>
      </c>
      <c r="B7" s="30" t="s">
        <v>617</v>
      </c>
      <c r="C7" s="30" t="s">
        <v>617</v>
      </c>
      <c r="D7" s="31" t="s">
        <v>618</v>
      </c>
      <c r="E7" s="9"/>
      <c r="F7" s="5"/>
      <c r="G7" s="9"/>
      <c r="H7" s="32" t="s">
        <v>290</v>
      </c>
      <c r="I7" s="32" t="s">
        <v>619</v>
      </c>
      <c r="J7" s="33" t="s">
        <v>292</v>
      </c>
      <c r="K7" s="33" t="s">
        <v>307</v>
      </c>
      <c r="L7" s="49" t="s">
        <v>294</v>
      </c>
      <c r="M7" s="50" t="str">
        <f>Tabla16[[#This Row],[ABR_02]]</f>
        <v>PA</v>
      </c>
      <c r="N7" t="s">
        <v>295</v>
      </c>
      <c r="O7" s="51" t="s">
        <v>309</v>
      </c>
      <c r="P7" t="s">
        <v>625</v>
      </c>
      <c r="Q7" t="s">
        <v>297</v>
      </c>
      <c r="R7" s="52" t="str">
        <f>_xlfn.CONCAT(Tabla16[[#This Row],[ABR_01]],"00",Tabla16[[#This Row],[ABR_02]],Tabla16[[#This Row],[ZONA2]],,"0",Tabla16[[#This Row],[PARADA2]])</f>
        <v>AR00PA1003</v>
      </c>
      <c r="S7" s="52" t="s">
        <v>298</v>
      </c>
      <c r="T7" s="34" t="s">
        <v>299</v>
      </c>
      <c r="U7" s="45" t="s">
        <v>299</v>
      </c>
      <c r="V7" t="s">
        <v>806</v>
      </c>
    </row>
    <row r="8" spans="1:22" x14ac:dyDescent="0.25">
      <c r="A8" s="53" t="s">
        <v>551</v>
      </c>
      <c r="B8" s="39" t="s">
        <v>159</v>
      </c>
      <c r="C8" s="40" t="s">
        <v>159</v>
      </c>
      <c r="D8" s="41" t="s">
        <v>552</v>
      </c>
      <c r="E8" s="42" t="s">
        <v>155</v>
      </c>
      <c r="F8" s="43" t="s">
        <v>553</v>
      </c>
      <c r="G8" s="42" t="s">
        <v>553</v>
      </c>
      <c r="H8" s="32" t="s">
        <v>290</v>
      </c>
      <c r="I8" s="32" t="s">
        <v>554</v>
      </c>
      <c r="J8" s="33" t="s">
        <v>292</v>
      </c>
      <c r="K8" s="33" t="s">
        <v>293</v>
      </c>
      <c r="L8" s="49" t="s">
        <v>294</v>
      </c>
      <c r="M8" s="50" t="str">
        <f>Tabla16[[#This Row],[ABR_02]]</f>
        <v>BA</v>
      </c>
      <c r="N8" t="s">
        <v>295</v>
      </c>
      <c r="O8" s="51" t="s">
        <v>293</v>
      </c>
      <c r="P8" t="s">
        <v>296</v>
      </c>
      <c r="Q8" t="s">
        <v>295</v>
      </c>
      <c r="R8" s="52" t="str">
        <f>_xlfn.CONCAT(Tabla16[[#This Row],[ABR_01]],"00",Tabla16[[#This Row],[ABR_02]],Tabla16[[#This Row],[ZONA2]],,"0",Tabla16[[#This Row],[PARADA2]])</f>
        <v>AR00BA1001</v>
      </c>
      <c r="S8" s="52" t="s">
        <v>555</v>
      </c>
      <c r="T8" s="34" t="s">
        <v>299</v>
      </c>
      <c r="U8" s="34" t="s">
        <v>299</v>
      </c>
      <c r="V8" t="s">
        <v>805</v>
      </c>
    </row>
    <row r="9" spans="1:22" x14ac:dyDescent="0.25">
      <c r="A9" s="53" t="s">
        <v>551</v>
      </c>
      <c r="B9" s="39" t="s">
        <v>194</v>
      </c>
      <c r="C9" s="40" t="s">
        <v>194</v>
      </c>
      <c r="D9" s="41" t="s">
        <v>552</v>
      </c>
      <c r="E9" s="42" t="s">
        <v>155</v>
      </c>
      <c r="F9" s="43" t="s">
        <v>556</v>
      </c>
      <c r="G9" s="42" t="s">
        <v>556</v>
      </c>
      <c r="H9" s="32" t="s">
        <v>290</v>
      </c>
      <c r="I9" s="32" t="s">
        <v>554</v>
      </c>
      <c r="J9" s="33" t="s">
        <v>292</v>
      </c>
      <c r="K9" s="33" t="s">
        <v>306</v>
      </c>
      <c r="L9" s="49" t="s">
        <v>294</v>
      </c>
      <c r="M9" s="50" t="str">
        <f>Tabla16[[#This Row],[ABR_02]]</f>
        <v>BA</v>
      </c>
      <c r="N9" t="s">
        <v>295</v>
      </c>
      <c r="O9" s="51" t="s">
        <v>293</v>
      </c>
      <c r="P9" t="s">
        <v>296</v>
      </c>
      <c r="Q9" t="s">
        <v>295</v>
      </c>
      <c r="R9" s="52" t="str">
        <f>_xlfn.CONCAT(Tabla16[[#This Row],[ABR_01]],"00",Tabla16[[#This Row],[ABR_02]],Tabla16[[#This Row],[ZONA2]],,"0",Tabla16[[#This Row],[PARADA2]])</f>
        <v>AR00BA1002</v>
      </c>
      <c r="S9" s="52" t="s">
        <v>555</v>
      </c>
      <c r="T9" s="34" t="s">
        <v>299</v>
      </c>
      <c r="U9" s="34" t="s">
        <v>299</v>
      </c>
      <c r="V9" t="s">
        <v>805</v>
      </c>
    </row>
    <row r="10" spans="1:22" x14ac:dyDescent="0.25">
      <c r="A10" s="53" t="s">
        <v>551</v>
      </c>
      <c r="B10" s="39" t="s">
        <v>156</v>
      </c>
      <c r="C10" s="40" t="s">
        <v>156</v>
      </c>
      <c r="D10" s="41" t="s">
        <v>552</v>
      </c>
      <c r="E10" s="42" t="s">
        <v>155</v>
      </c>
      <c r="F10" s="43" t="s">
        <v>556</v>
      </c>
      <c r="G10" s="44" t="s">
        <v>557</v>
      </c>
      <c r="H10" s="32" t="s">
        <v>290</v>
      </c>
      <c r="I10" s="32" t="s">
        <v>554</v>
      </c>
      <c r="J10" s="33" t="s">
        <v>292</v>
      </c>
      <c r="K10" s="33" t="s">
        <v>307</v>
      </c>
      <c r="L10" s="49" t="s">
        <v>294</v>
      </c>
      <c r="M10" s="50" t="str">
        <f>Tabla16[[#This Row],[ABR_02]]</f>
        <v>BA</v>
      </c>
      <c r="N10" t="s">
        <v>295</v>
      </c>
      <c r="O10" s="51" t="s">
        <v>293</v>
      </c>
      <c r="P10" t="s">
        <v>296</v>
      </c>
      <c r="Q10" t="s">
        <v>295</v>
      </c>
      <c r="R10" s="52" t="str">
        <f>_xlfn.CONCAT(Tabla16[[#This Row],[ABR_01]],"00",Tabla16[[#This Row],[ABR_02]],Tabla16[[#This Row],[ZONA2]],,"0",Tabla16[[#This Row],[PARADA2]])</f>
        <v>AR00BA1003</v>
      </c>
      <c r="S10" s="52" t="s">
        <v>555</v>
      </c>
      <c r="T10" s="34" t="s">
        <v>299</v>
      </c>
      <c r="U10" s="34" t="s">
        <v>299</v>
      </c>
      <c r="V10" t="s">
        <v>805</v>
      </c>
    </row>
    <row r="11" spans="1:22" x14ac:dyDescent="0.25">
      <c r="A11" s="53" t="s">
        <v>551</v>
      </c>
      <c r="B11" s="39" t="s">
        <v>196</v>
      </c>
      <c r="C11" s="40" t="s">
        <v>196</v>
      </c>
      <c r="D11" s="41" t="s">
        <v>552</v>
      </c>
      <c r="E11" s="42" t="s">
        <v>155</v>
      </c>
      <c r="F11" s="43" t="s">
        <v>558</v>
      </c>
      <c r="G11" s="42" t="s">
        <v>558</v>
      </c>
      <c r="H11" s="32" t="s">
        <v>290</v>
      </c>
      <c r="I11" s="32" t="s">
        <v>554</v>
      </c>
      <c r="J11" s="33" t="s">
        <v>292</v>
      </c>
      <c r="K11" s="33" t="s">
        <v>309</v>
      </c>
      <c r="L11" s="49" t="s">
        <v>294</v>
      </c>
      <c r="M11" s="50" t="str">
        <f>Tabla16[[#This Row],[ABR_02]]</f>
        <v>BA</v>
      </c>
      <c r="N11" t="s">
        <v>295</v>
      </c>
      <c r="O11" s="51" t="s">
        <v>293</v>
      </c>
      <c r="P11" t="s">
        <v>296</v>
      </c>
      <c r="Q11" t="s">
        <v>295</v>
      </c>
      <c r="R11" s="52" t="str">
        <f>_xlfn.CONCAT(Tabla16[[#This Row],[ABR_01]],"00",Tabla16[[#This Row],[ABR_02]],Tabla16[[#This Row],[ZONA2]],,"0",Tabla16[[#This Row],[PARADA2]])</f>
        <v>AR00BA1004</v>
      </c>
      <c r="S11" s="52" t="s">
        <v>555</v>
      </c>
      <c r="T11" s="34" t="s">
        <v>299</v>
      </c>
      <c r="U11" s="34" t="s">
        <v>299</v>
      </c>
      <c r="V11" t="s">
        <v>805</v>
      </c>
    </row>
    <row r="12" spans="1:22" x14ac:dyDescent="0.25">
      <c r="A12" s="53" t="s">
        <v>551</v>
      </c>
      <c r="B12" s="39" t="s">
        <v>188</v>
      </c>
      <c r="C12" s="40" t="s">
        <v>188</v>
      </c>
      <c r="D12" s="41" t="s">
        <v>552</v>
      </c>
      <c r="E12" s="42" t="s">
        <v>155</v>
      </c>
      <c r="F12" s="42" t="s">
        <v>556</v>
      </c>
      <c r="G12" s="44" t="s">
        <v>559</v>
      </c>
      <c r="H12" s="32" t="s">
        <v>290</v>
      </c>
      <c r="I12" s="32" t="s">
        <v>554</v>
      </c>
      <c r="J12" s="33" t="s">
        <v>292</v>
      </c>
      <c r="K12" s="33" t="s">
        <v>319</v>
      </c>
      <c r="L12" s="49" t="s">
        <v>294</v>
      </c>
      <c r="M12" s="50" t="str">
        <f>Tabla16[[#This Row],[ABR_02]]</f>
        <v>BA</v>
      </c>
      <c r="N12" t="s">
        <v>295</v>
      </c>
      <c r="O12" s="51" t="s">
        <v>293</v>
      </c>
      <c r="P12" t="s">
        <v>296</v>
      </c>
      <c r="Q12" t="s">
        <v>295</v>
      </c>
      <c r="R12" s="52" t="str">
        <f>_xlfn.CONCAT(Tabla16[[#This Row],[ABR_01]],"00",Tabla16[[#This Row],[ABR_02]],Tabla16[[#This Row],[ZONA2]],,"0",Tabla16[[#This Row],[PARADA2]])</f>
        <v>AR00BA1005</v>
      </c>
      <c r="S12" s="52" t="s">
        <v>555</v>
      </c>
      <c r="T12" s="34" t="s">
        <v>299</v>
      </c>
      <c r="U12" s="34" t="s">
        <v>299</v>
      </c>
      <c r="V12" t="s">
        <v>805</v>
      </c>
    </row>
    <row r="13" spans="1:22" x14ac:dyDescent="0.25">
      <c r="A13" s="53" t="s">
        <v>551</v>
      </c>
      <c r="B13" s="39" t="s">
        <v>186</v>
      </c>
      <c r="C13" s="40" t="s">
        <v>186</v>
      </c>
      <c r="D13" s="41" t="s">
        <v>552</v>
      </c>
      <c r="E13" s="42" t="s">
        <v>155</v>
      </c>
      <c r="F13" s="42" t="s">
        <v>556</v>
      </c>
      <c r="G13" s="44" t="s">
        <v>560</v>
      </c>
      <c r="H13" s="32" t="s">
        <v>290</v>
      </c>
      <c r="I13" s="32" t="s">
        <v>554</v>
      </c>
      <c r="J13" s="33" t="s">
        <v>292</v>
      </c>
      <c r="K13" s="33" t="s">
        <v>320</v>
      </c>
      <c r="L13" s="49" t="s">
        <v>294</v>
      </c>
      <c r="M13" s="50" t="str">
        <f>Tabla16[[#This Row],[ABR_02]]</f>
        <v>BA</v>
      </c>
      <c r="N13" t="s">
        <v>295</v>
      </c>
      <c r="O13" s="51" t="s">
        <v>293</v>
      </c>
      <c r="P13" t="s">
        <v>296</v>
      </c>
      <c r="Q13" t="s">
        <v>295</v>
      </c>
      <c r="R13" s="52" t="str">
        <f>_xlfn.CONCAT(Tabla16[[#This Row],[ABR_01]],"00",Tabla16[[#This Row],[ABR_02]],Tabla16[[#This Row],[ZONA2]],,"0",Tabla16[[#This Row],[PARADA2]])</f>
        <v>AR00BA1006</v>
      </c>
      <c r="S13" s="52" t="s">
        <v>555</v>
      </c>
      <c r="T13" s="34" t="s">
        <v>299</v>
      </c>
      <c r="U13" s="34" t="s">
        <v>299</v>
      </c>
      <c r="V13" t="s">
        <v>805</v>
      </c>
    </row>
    <row r="14" spans="1:22" x14ac:dyDescent="0.25">
      <c r="A14" s="53" t="s">
        <v>551</v>
      </c>
      <c r="B14" s="39" t="s">
        <v>192</v>
      </c>
      <c r="C14" s="40" t="s">
        <v>192</v>
      </c>
      <c r="D14" s="41" t="s">
        <v>552</v>
      </c>
      <c r="E14" s="42" t="s">
        <v>155</v>
      </c>
      <c r="F14" s="42" t="s">
        <v>556</v>
      </c>
      <c r="G14" s="44" t="s">
        <v>561</v>
      </c>
      <c r="H14" s="32" t="s">
        <v>290</v>
      </c>
      <c r="I14" s="32" t="s">
        <v>554</v>
      </c>
      <c r="J14" s="33" t="s">
        <v>292</v>
      </c>
      <c r="K14" s="33" t="s">
        <v>322</v>
      </c>
      <c r="L14" s="49" t="s">
        <v>294</v>
      </c>
      <c r="M14" s="50" t="str">
        <f>Tabla16[[#This Row],[ABR_02]]</f>
        <v>BA</v>
      </c>
      <c r="N14" t="s">
        <v>295</v>
      </c>
      <c r="O14" s="51" t="s">
        <v>293</v>
      </c>
      <c r="P14" t="s">
        <v>296</v>
      </c>
      <c r="Q14" t="s">
        <v>295</v>
      </c>
      <c r="R14" s="52" t="str">
        <f>_xlfn.CONCAT(Tabla16[[#This Row],[ABR_01]],"00",Tabla16[[#This Row],[ABR_02]],Tabla16[[#This Row],[ZONA2]],,"0",Tabla16[[#This Row],[PARADA2]])</f>
        <v>AR00BA1007</v>
      </c>
      <c r="S14" s="52" t="s">
        <v>555</v>
      </c>
      <c r="T14" s="34" t="s">
        <v>299</v>
      </c>
      <c r="U14" s="34" t="s">
        <v>299</v>
      </c>
      <c r="V14" t="s">
        <v>805</v>
      </c>
    </row>
    <row r="15" spans="1:22" x14ac:dyDescent="0.25">
      <c r="A15" s="53" t="s">
        <v>551</v>
      </c>
      <c r="B15" s="39" t="s">
        <v>190</v>
      </c>
      <c r="C15" s="40" t="s">
        <v>190</v>
      </c>
      <c r="D15" s="41" t="s">
        <v>552</v>
      </c>
      <c r="E15" s="42" t="s">
        <v>155</v>
      </c>
      <c r="F15" s="42" t="s">
        <v>556</v>
      </c>
      <c r="G15" s="44" t="s">
        <v>562</v>
      </c>
      <c r="H15" s="32" t="s">
        <v>290</v>
      </c>
      <c r="I15" s="32" t="s">
        <v>554</v>
      </c>
      <c r="J15" s="33" t="s">
        <v>292</v>
      </c>
      <c r="K15" s="33" t="s">
        <v>324</v>
      </c>
      <c r="L15" s="49" t="s">
        <v>294</v>
      </c>
      <c r="M15" s="50" t="str">
        <f>Tabla16[[#This Row],[ABR_02]]</f>
        <v>BA</v>
      </c>
      <c r="N15" t="s">
        <v>295</v>
      </c>
      <c r="O15" s="51" t="s">
        <v>293</v>
      </c>
      <c r="P15" t="s">
        <v>296</v>
      </c>
      <c r="Q15" t="s">
        <v>295</v>
      </c>
      <c r="R15" s="52" t="str">
        <f>_xlfn.CONCAT(Tabla16[[#This Row],[ABR_01]],"00",Tabla16[[#This Row],[ABR_02]],Tabla16[[#This Row],[ZONA2]],,"0",Tabla16[[#This Row],[PARADA2]])</f>
        <v>AR00BA1008</v>
      </c>
      <c r="S15" s="52" t="s">
        <v>555</v>
      </c>
      <c r="T15" s="34" t="s">
        <v>299</v>
      </c>
      <c r="U15" s="34" t="s">
        <v>299</v>
      </c>
      <c r="V15" t="s">
        <v>805</v>
      </c>
    </row>
    <row r="16" spans="1:22" x14ac:dyDescent="0.25">
      <c r="A16" s="48" t="s">
        <v>551</v>
      </c>
      <c r="B16" s="30" t="s">
        <v>159</v>
      </c>
      <c r="C16" s="40" t="s">
        <v>159</v>
      </c>
      <c r="D16" s="31" t="s">
        <v>552</v>
      </c>
      <c r="E16" s="9" t="s">
        <v>155</v>
      </c>
      <c r="F16" s="5" t="s">
        <v>553</v>
      </c>
      <c r="G16" s="9" t="s">
        <v>553</v>
      </c>
      <c r="H16" s="32" t="s">
        <v>290</v>
      </c>
      <c r="I16" s="32" t="s">
        <v>554</v>
      </c>
      <c r="J16" s="33" t="s">
        <v>292</v>
      </c>
      <c r="K16" s="33" t="s">
        <v>293</v>
      </c>
      <c r="L16" s="49" t="s">
        <v>294</v>
      </c>
      <c r="M16" s="50" t="str">
        <f>Tabla16[[#This Row],[ABR_02]]</f>
        <v>BA</v>
      </c>
      <c r="N16" t="s">
        <v>295</v>
      </c>
      <c r="O16" s="51" t="s">
        <v>309</v>
      </c>
      <c r="P16" t="s">
        <v>625</v>
      </c>
      <c r="Q16" t="s">
        <v>628</v>
      </c>
      <c r="R16" s="52" t="str">
        <f>_xlfn.CONCAT(Tabla16[[#This Row],[ABR_01]],"00",Tabla16[[#This Row],[ABR_02]],Tabla16[[#This Row],[ZONA2]],,"0",Tabla16[[#This Row],[PARADA2]])</f>
        <v>AR00BA1001</v>
      </c>
      <c r="S16" s="52" t="s">
        <v>629</v>
      </c>
      <c r="T16" s="34" t="s">
        <v>299</v>
      </c>
      <c r="U16" s="45" t="s">
        <v>299</v>
      </c>
      <c r="V16" t="s">
        <v>805</v>
      </c>
    </row>
    <row r="17" spans="1:22" x14ac:dyDescent="0.25">
      <c r="A17" s="48" t="s">
        <v>551</v>
      </c>
      <c r="B17" s="30" t="s">
        <v>194</v>
      </c>
      <c r="C17" s="40" t="s">
        <v>194</v>
      </c>
      <c r="D17" s="31" t="s">
        <v>552</v>
      </c>
      <c r="E17" s="9" t="s">
        <v>155</v>
      </c>
      <c r="F17" s="5" t="s">
        <v>556</v>
      </c>
      <c r="G17" s="9" t="s">
        <v>556</v>
      </c>
      <c r="H17" s="32" t="s">
        <v>290</v>
      </c>
      <c r="I17" s="32" t="s">
        <v>554</v>
      </c>
      <c r="J17" s="33" t="s">
        <v>292</v>
      </c>
      <c r="K17" s="33" t="s">
        <v>306</v>
      </c>
      <c r="L17" s="49" t="s">
        <v>294</v>
      </c>
      <c r="M17" s="50" t="str">
        <f>Tabla16[[#This Row],[ABR_02]]</f>
        <v>BA</v>
      </c>
      <c r="N17" t="s">
        <v>295</v>
      </c>
      <c r="O17" s="51" t="s">
        <v>309</v>
      </c>
      <c r="P17" t="s">
        <v>625</v>
      </c>
      <c r="Q17" t="s">
        <v>628</v>
      </c>
      <c r="R17" s="52" t="str">
        <f>_xlfn.CONCAT(Tabla16[[#This Row],[ABR_01]],"00",Tabla16[[#This Row],[ABR_02]],Tabla16[[#This Row],[ZONA2]],,"0",Tabla16[[#This Row],[PARADA2]])</f>
        <v>AR00BA1002</v>
      </c>
      <c r="S17" s="52" t="s">
        <v>629</v>
      </c>
      <c r="T17" s="34" t="s">
        <v>299</v>
      </c>
      <c r="U17" s="45" t="s">
        <v>299</v>
      </c>
      <c r="V17" t="s">
        <v>805</v>
      </c>
    </row>
    <row r="18" spans="1:22" x14ac:dyDescent="0.25">
      <c r="A18" s="48" t="s">
        <v>551</v>
      </c>
      <c r="B18" s="30" t="s">
        <v>156</v>
      </c>
      <c r="C18" s="40" t="s">
        <v>156</v>
      </c>
      <c r="D18" s="31" t="s">
        <v>552</v>
      </c>
      <c r="E18" s="9" t="s">
        <v>155</v>
      </c>
      <c r="F18" s="5" t="s">
        <v>556</v>
      </c>
      <c r="G18" s="47" t="s">
        <v>557</v>
      </c>
      <c r="H18" s="32" t="s">
        <v>290</v>
      </c>
      <c r="I18" s="32" t="s">
        <v>554</v>
      </c>
      <c r="J18" s="33" t="s">
        <v>292</v>
      </c>
      <c r="K18" s="33" t="s">
        <v>307</v>
      </c>
      <c r="L18" s="49" t="s">
        <v>294</v>
      </c>
      <c r="M18" s="50" t="str">
        <f>Tabla16[[#This Row],[ABR_02]]</f>
        <v>BA</v>
      </c>
      <c r="N18" t="s">
        <v>295</v>
      </c>
      <c r="O18" s="51" t="s">
        <v>309</v>
      </c>
      <c r="P18" t="s">
        <v>625</v>
      </c>
      <c r="Q18" t="s">
        <v>628</v>
      </c>
      <c r="R18" s="52" t="str">
        <f>_xlfn.CONCAT(Tabla16[[#This Row],[ABR_01]],"00",Tabla16[[#This Row],[ABR_02]],Tabla16[[#This Row],[ZONA2]],,"0",Tabla16[[#This Row],[PARADA2]])</f>
        <v>AR00BA1003</v>
      </c>
      <c r="S18" s="52" t="s">
        <v>629</v>
      </c>
      <c r="T18" s="34" t="s">
        <v>299</v>
      </c>
      <c r="U18" s="45" t="s">
        <v>299</v>
      </c>
      <c r="V18" t="s">
        <v>805</v>
      </c>
    </row>
    <row r="19" spans="1:22" x14ac:dyDescent="0.25">
      <c r="A19" s="48" t="s">
        <v>551</v>
      </c>
      <c r="B19" s="30" t="s">
        <v>196</v>
      </c>
      <c r="C19" s="40" t="s">
        <v>196</v>
      </c>
      <c r="D19" s="31" t="s">
        <v>552</v>
      </c>
      <c r="E19" s="9" t="s">
        <v>155</v>
      </c>
      <c r="F19" s="5" t="s">
        <v>558</v>
      </c>
      <c r="G19" s="9" t="s">
        <v>558</v>
      </c>
      <c r="H19" s="32" t="s">
        <v>290</v>
      </c>
      <c r="I19" s="32" t="s">
        <v>554</v>
      </c>
      <c r="J19" s="33" t="s">
        <v>292</v>
      </c>
      <c r="K19" s="33" t="s">
        <v>309</v>
      </c>
      <c r="L19" s="49" t="s">
        <v>294</v>
      </c>
      <c r="M19" s="50" t="str">
        <f>Tabla16[[#This Row],[ABR_02]]</f>
        <v>BA</v>
      </c>
      <c r="N19" t="s">
        <v>295</v>
      </c>
      <c r="O19" s="51" t="s">
        <v>309</v>
      </c>
      <c r="P19" t="s">
        <v>625</v>
      </c>
      <c r="Q19" t="s">
        <v>628</v>
      </c>
      <c r="R19" s="52" t="str">
        <f>_xlfn.CONCAT(Tabla16[[#This Row],[ABR_01]],"00",Tabla16[[#This Row],[ABR_02]],Tabla16[[#This Row],[ZONA2]],,"0",Tabla16[[#This Row],[PARADA2]])</f>
        <v>AR00BA1004</v>
      </c>
      <c r="S19" s="52" t="s">
        <v>629</v>
      </c>
      <c r="T19" s="34" t="s">
        <v>299</v>
      </c>
      <c r="U19" s="45" t="s">
        <v>299</v>
      </c>
      <c r="V19" t="s">
        <v>805</v>
      </c>
    </row>
    <row r="20" spans="1:22" x14ac:dyDescent="0.25">
      <c r="A20" s="48" t="s">
        <v>551</v>
      </c>
      <c r="B20" s="30" t="s">
        <v>188</v>
      </c>
      <c r="C20" s="40" t="s">
        <v>188</v>
      </c>
      <c r="D20" s="31" t="s">
        <v>552</v>
      </c>
      <c r="E20" s="9" t="s">
        <v>155</v>
      </c>
      <c r="F20" s="5" t="s">
        <v>556</v>
      </c>
      <c r="G20" s="47" t="s">
        <v>559</v>
      </c>
      <c r="H20" s="32" t="s">
        <v>290</v>
      </c>
      <c r="I20" s="32" t="s">
        <v>554</v>
      </c>
      <c r="J20" s="33" t="s">
        <v>292</v>
      </c>
      <c r="K20" s="33" t="s">
        <v>319</v>
      </c>
      <c r="L20" s="49" t="s">
        <v>294</v>
      </c>
      <c r="M20" s="50" t="str">
        <f>Tabla16[[#This Row],[ABR_02]]</f>
        <v>BA</v>
      </c>
      <c r="N20" t="s">
        <v>295</v>
      </c>
      <c r="O20" s="51" t="s">
        <v>309</v>
      </c>
      <c r="P20" t="s">
        <v>625</v>
      </c>
      <c r="Q20" t="s">
        <v>628</v>
      </c>
      <c r="R20" s="52" t="str">
        <f>_xlfn.CONCAT(Tabla16[[#This Row],[ABR_01]],"00",Tabla16[[#This Row],[ABR_02]],Tabla16[[#This Row],[ZONA2]],,"0",Tabla16[[#This Row],[PARADA2]])</f>
        <v>AR00BA1005</v>
      </c>
      <c r="S20" s="52" t="s">
        <v>629</v>
      </c>
      <c r="T20" s="34" t="s">
        <v>299</v>
      </c>
      <c r="U20" s="45" t="s">
        <v>299</v>
      </c>
      <c r="V20" t="s">
        <v>805</v>
      </c>
    </row>
    <row r="21" spans="1:22" x14ac:dyDescent="0.25">
      <c r="A21" s="48" t="s">
        <v>551</v>
      </c>
      <c r="B21" s="30" t="s">
        <v>186</v>
      </c>
      <c r="C21" s="40" t="s">
        <v>186</v>
      </c>
      <c r="D21" s="31" t="s">
        <v>552</v>
      </c>
      <c r="E21" s="9" t="s">
        <v>155</v>
      </c>
      <c r="F21" s="5" t="s">
        <v>556</v>
      </c>
      <c r="G21" s="47" t="s">
        <v>560</v>
      </c>
      <c r="H21" s="32" t="s">
        <v>290</v>
      </c>
      <c r="I21" s="32" t="s">
        <v>554</v>
      </c>
      <c r="J21" s="33" t="s">
        <v>292</v>
      </c>
      <c r="K21" s="33" t="s">
        <v>320</v>
      </c>
      <c r="L21" s="49" t="s">
        <v>294</v>
      </c>
      <c r="M21" s="50" t="str">
        <f>Tabla16[[#This Row],[ABR_02]]</f>
        <v>BA</v>
      </c>
      <c r="N21" t="s">
        <v>295</v>
      </c>
      <c r="O21" s="51" t="s">
        <v>309</v>
      </c>
      <c r="P21" t="s">
        <v>625</v>
      </c>
      <c r="Q21" t="s">
        <v>628</v>
      </c>
      <c r="R21" s="52" t="str">
        <f>_xlfn.CONCAT(Tabla16[[#This Row],[ABR_01]],"00",Tabla16[[#This Row],[ABR_02]],Tabla16[[#This Row],[ZONA2]],,"0",Tabla16[[#This Row],[PARADA2]])</f>
        <v>AR00BA1006</v>
      </c>
      <c r="S21" s="52" t="s">
        <v>629</v>
      </c>
      <c r="T21" s="34" t="s">
        <v>299</v>
      </c>
      <c r="U21" s="45" t="s">
        <v>299</v>
      </c>
      <c r="V21" t="s">
        <v>805</v>
      </c>
    </row>
    <row r="22" spans="1:22" x14ac:dyDescent="0.25">
      <c r="A22" s="48" t="s">
        <v>551</v>
      </c>
      <c r="B22" s="30" t="s">
        <v>192</v>
      </c>
      <c r="C22" s="40" t="s">
        <v>192</v>
      </c>
      <c r="D22" s="31" t="s">
        <v>552</v>
      </c>
      <c r="E22" s="9" t="s">
        <v>155</v>
      </c>
      <c r="F22" s="5" t="s">
        <v>556</v>
      </c>
      <c r="G22" s="47" t="s">
        <v>561</v>
      </c>
      <c r="H22" s="32" t="s">
        <v>290</v>
      </c>
      <c r="I22" s="32" t="s">
        <v>554</v>
      </c>
      <c r="J22" s="33" t="s">
        <v>292</v>
      </c>
      <c r="K22" s="33" t="s">
        <v>322</v>
      </c>
      <c r="L22" s="49" t="s">
        <v>294</v>
      </c>
      <c r="M22" s="50" t="str">
        <f>Tabla16[[#This Row],[ABR_02]]</f>
        <v>BA</v>
      </c>
      <c r="N22" t="s">
        <v>295</v>
      </c>
      <c r="O22" s="51" t="s">
        <v>309</v>
      </c>
      <c r="P22" t="s">
        <v>625</v>
      </c>
      <c r="Q22" t="s">
        <v>628</v>
      </c>
      <c r="R22" s="52" t="str">
        <f>_xlfn.CONCAT(Tabla16[[#This Row],[ABR_01]],"00",Tabla16[[#This Row],[ABR_02]],Tabla16[[#This Row],[ZONA2]],,"0",Tabla16[[#This Row],[PARADA2]])</f>
        <v>AR00BA1007</v>
      </c>
      <c r="S22" s="52" t="s">
        <v>629</v>
      </c>
      <c r="T22" s="34" t="s">
        <v>299</v>
      </c>
      <c r="U22" s="45" t="s">
        <v>299</v>
      </c>
      <c r="V22" t="s">
        <v>805</v>
      </c>
    </row>
    <row r="23" spans="1:22" x14ac:dyDescent="0.25">
      <c r="A23" s="48" t="s">
        <v>551</v>
      </c>
      <c r="B23" s="30" t="s">
        <v>190</v>
      </c>
      <c r="C23" s="40" t="s">
        <v>190</v>
      </c>
      <c r="D23" s="31" t="s">
        <v>552</v>
      </c>
      <c r="E23" s="9" t="s">
        <v>155</v>
      </c>
      <c r="F23" s="5" t="s">
        <v>556</v>
      </c>
      <c r="G23" s="47" t="s">
        <v>562</v>
      </c>
      <c r="H23" s="32" t="s">
        <v>290</v>
      </c>
      <c r="I23" s="32" t="s">
        <v>554</v>
      </c>
      <c r="J23" s="33" t="s">
        <v>292</v>
      </c>
      <c r="K23" s="33" t="s">
        <v>324</v>
      </c>
      <c r="L23" s="49" t="s">
        <v>294</v>
      </c>
      <c r="M23" s="50" t="str">
        <f>Tabla16[[#This Row],[ABR_02]]</f>
        <v>BA</v>
      </c>
      <c r="N23" t="s">
        <v>295</v>
      </c>
      <c r="O23" s="51" t="s">
        <v>309</v>
      </c>
      <c r="P23" t="s">
        <v>625</v>
      </c>
      <c r="Q23" t="s">
        <v>628</v>
      </c>
      <c r="R23" s="52" t="str">
        <f>_xlfn.CONCAT(Tabla16[[#This Row],[ABR_01]],"00",Tabla16[[#This Row],[ABR_02]],Tabla16[[#This Row],[ZONA2]],,"0",Tabla16[[#This Row],[PARADA2]])</f>
        <v>AR00BA1008</v>
      </c>
      <c r="S23" s="52" t="s">
        <v>629</v>
      </c>
      <c r="T23" s="34" t="s">
        <v>299</v>
      </c>
      <c r="U23" s="45" t="s">
        <v>299</v>
      </c>
      <c r="V23" t="s">
        <v>805</v>
      </c>
    </row>
    <row r="24" spans="1:22" x14ac:dyDescent="0.25">
      <c r="A24" s="48" t="s">
        <v>300</v>
      </c>
      <c r="B24" s="30" t="s">
        <v>563</v>
      </c>
      <c r="C24" s="3" t="s">
        <v>564</v>
      </c>
      <c r="D24" s="31" t="s">
        <v>552</v>
      </c>
      <c r="E24" s="9" t="s">
        <v>71</v>
      </c>
      <c r="F24" s="37" t="s">
        <v>565</v>
      </c>
      <c r="G24" s="9">
        <v>885</v>
      </c>
      <c r="H24" s="32" t="s">
        <v>290</v>
      </c>
      <c r="I24" s="32" t="s">
        <v>554</v>
      </c>
      <c r="J24" s="33" t="s">
        <v>566</v>
      </c>
      <c r="K24" s="33" t="s">
        <v>293</v>
      </c>
      <c r="L24" s="49" t="s">
        <v>294</v>
      </c>
      <c r="M24" s="50" t="str">
        <f>Tabla16[[#This Row],[ABR_02]]</f>
        <v>BA</v>
      </c>
      <c r="N24" t="s">
        <v>295</v>
      </c>
      <c r="O24" s="51" t="s">
        <v>293</v>
      </c>
      <c r="P24" t="s">
        <v>296</v>
      </c>
      <c r="Q24" t="s">
        <v>353</v>
      </c>
      <c r="R24" s="52" t="str">
        <f>_xlfn.CONCAT(Tabla16[[#This Row],[ABR_01]],"00",Tabla16[[#This Row],[ABR_02]],Tabla16[[#This Row],[ZONA2]],,"0",Tabla16[[#This Row],[PARADA2]])</f>
        <v>AR00BA2001</v>
      </c>
      <c r="S24" s="52" t="s">
        <v>354</v>
      </c>
      <c r="T24" s="34" t="s">
        <v>299</v>
      </c>
      <c r="U24" s="34" t="s">
        <v>299</v>
      </c>
      <c r="V24" t="s">
        <v>804</v>
      </c>
    </row>
    <row r="25" spans="1:22" x14ac:dyDescent="0.25">
      <c r="A25" s="48" t="s">
        <v>300</v>
      </c>
      <c r="B25" s="30" t="s">
        <v>567</v>
      </c>
      <c r="C25" s="3" t="s">
        <v>568</v>
      </c>
      <c r="D25" s="31" t="s">
        <v>552</v>
      </c>
      <c r="E25" s="9" t="s">
        <v>71</v>
      </c>
      <c r="F25" s="37" t="s">
        <v>565</v>
      </c>
      <c r="G25" s="9">
        <v>856</v>
      </c>
      <c r="H25" s="32" t="s">
        <v>290</v>
      </c>
      <c r="I25" s="32" t="s">
        <v>554</v>
      </c>
      <c r="J25" s="33" t="s">
        <v>566</v>
      </c>
      <c r="K25" s="33" t="s">
        <v>306</v>
      </c>
      <c r="L25" s="49" t="s">
        <v>294</v>
      </c>
      <c r="M25" s="50" t="str">
        <f>Tabla16[[#This Row],[ABR_02]]</f>
        <v>BA</v>
      </c>
      <c r="N25" t="s">
        <v>295</v>
      </c>
      <c r="O25" s="51" t="s">
        <v>293</v>
      </c>
      <c r="P25" t="s">
        <v>296</v>
      </c>
      <c r="Q25" t="s">
        <v>353</v>
      </c>
      <c r="R25" s="52" t="str">
        <f>_xlfn.CONCAT(Tabla16[[#This Row],[ABR_01]],"00",Tabla16[[#This Row],[ABR_02]],Tabla16[[#This Row],[ZONA2]],,"0",Tabla16[[#This Row],[PARADA2]])</f>
        <v>AR00BA2002</v>
      </c>
      <c r="S25" s="52" t="s">
        <v>354</v>
      </c>
      <c r="T25" s="34" t="s">
        <v>299</v>
      </c>
      <c r="U25" s="34" t="s">
        <v>299</v>
      </c>
      <c r="V25" t="s">
        <v>804</v>
      </c>
    </row>
    <row r="26" spans="1:22" x14ac:dyDescent="0.25">
      <c r="A26" s="48" t="s">
        <v>300</v>
      </c>
      <c r="B26" s="30" t="s">
        <v>569</v>
      </c>
      <c r="C26" s="36" t="s">
        <v>183</v>
      </c>
      <c r="D26" s="31" t="s">
        <v>552</v>
      </c>
      <c r="E26" s="9" t="s">
        <v>71</v>
      </c>
      <c r="F26" s="37" t="s">
        <v>565</v>
      </c>
      <c r="G26" s="9">
        <v>823</v>
      </c>
      <c r="H26" s="32" t="s">
        <v>290</v>
      </c>
      <c r="I26" s="32" t="s">
        <v>554</v>
      </c>
      <c r="J26" s="33" t="s">
        <v>566</v>
      </c>
      <c r="K26" s="33" t="s">
        <v>307</v>
      </c>
      <c r="L26" s="49" t="s">
        <v>294</v>
      </c>
      <c r="M26" s="50" t="str">
        <f>Tabla16[[#This Row],[ABR_02]]</f>
        <v>BA</v>
      </c>
      <c r="N26" t="s">
        <v>295</v>
      </c>
      <c r="O26" s="51" t="s">
        <v>293</v>
      </c>
      <c r="P26" t="s">
        <v>296</v>
      </c>
      <c r="Q26" t="s">
        <v>353</v>
      </c>
      <c r="R26" s="52" t="str">
        <f>_xlfn.CONCAT(Tabla16[[#This Row],[ABR_01]],"00",Tabla16[[#This Row],[ABR_02]],Tabla16[[#This Row],[ZONA2]],,"0",Tabla16[[#This Row],[PARADA2]])</f>
        <v>AR00BA2003</v>
      </c>
      <c r="S26" s="52" t="s">
        <v>354</v>
      </c>
      <c r="T26" s="34" t="s">
        <v>299</v>
      </c>
      <c r="U26" s="34" t="s">
        <v>299</v>
      </c>
      <c r="V26" t="s">
        <v>804</v>
      </c>
    </row>
    <row r="27" spans="1:22" x14ac:dyDescent="0.25">
      <c r="A27" s="48" t="s">
        <v>300</v>
      </c>
      <c r="B27" s="30" t="s">
        <v>570</v>
      </c>
      <c r="C27" s="36" t="s">
        <v>185</v>
      </c>
      <c r="D27" s="31" t="s">
        <v>552</v>
      </c>
      <c r="E27" s="9" t="s">
        <v>71</v>
      </c>
      <c r="F27" s="37" t="s">
        <v>565</v>
      </c>
      <c r="G27" s="9">
        <v>870</v>
      </c>
      <c r="H27" s="32" t="s">
        <v>290</v>
      </c>
      <c r="I27" s="32" t="s">
        <v>554</v>
      </c>
      <c r="J27" s="33" t="s">
        <v>566</v>
      </c>
      <c r="K27" s="33" t="s">
        <v>309</v>
      </c>
      <c r="L27" s="49" t="s">
        <v>294</v>
      </c>
      <c r="M27" s="50" t="str">
        <f>Tabla16[[#This Row],[ABR_02]]</f>
        <v>BA</v>
      </c>
      <c r="N27" t="s">
        <v>295</v>
      </c>
      <c r="O27" s="51" t="s">
        <v>293</v>
      </c>
      <c r="P27" t="s">
        <v>296</v>
      </c>
      <c r="Q27" t="s">
        <v>353</v>
      </c>
      <c r="R27" s="52" t="str">
        <f>_xlfn.CONCAT(Tabla16[[#This Row],[ABR_01]],"00",Tabla16[[#This Row],[ABR_02]],Tabla16[[#This Row],[ZONA2]],,"0",Tabla16[[#This Row],[PARADA2]])</f>
        <v>AR00BA2004</v>
      </c>
      <c r="S27" s="52" t="s">
        <v>354</v>
      </c>
      <c r="T27" s="34" t="s">
        <v>299</v>
      </c>
      <c r="U27" s="34" t="s">
        <v>299</v>
      </c>
      <c r="V27" t="s">
        <v>804</v>
      </c>
    </row>
    <row r="28" spans="1:22" x14ac:dyDescent="0.25">
      <c r="A28" s="48" t="s">
        <v>300</v>
      </c>
      <c r="B28" s="30" t="s">
        <v>571</v>
      </c>
      <c r="C28" s="3" t="s">
        <v>572</v>
      </c>
      <c r="D28" s="31" t="s">
        <v>552</v>
      </c>
      <c r="E28" s="9" t="s">
        <v>71</v>
      </c>
      <c r="F28" s="37" t="s">
        <v>565</v>
      </c>
      <c r="G28" s="9">
        <v>880</v>
      </c>
      <c r="H28" s="32" t="s">
        <v>290</v>
      </c>
      <c r="I28" s="32" t="s">
        <v>554</v>
      </c>
      <c r="J28" s="33" t="s">
        <v>566</v>
      </c>
      <c r="K28" s="33" t="s">
        <v>319</v>
      </c>
      <c r="L28" s="49" t="s">
        <v>294</v>
      </c>
      <c r="M28" s="50" t="str">
        <f>Tabla16[[#This Row],[ABR_02]]</f>
        <v>BA</v>
      </c>
      <c r="N28" t="s">
        <v>295</v>
      </c>
      <c r="O28" s="51" t="s">
        <v>293</v>
      </c>
      <c r="P28" t="s">
        <v>296</v>
      </c>
      <c r="Q28" t="s">
        <v>353</v>
      </c>
      <c r="R28" s="52" t="str">
        <f>_xlfn.CONCAT(Tabla16[[#This Row],[ABR_01]],"00",Tabla16[[#This Row],[ABR_02]],Tabla16[[#This Row],[ZONA2]],,"0",Tabla16[[#This Row],[PARADA2]])</f>
        <v>AR00BA2005</v>
      </c>
      <c r="S28" s="52" t="s">
        <v>354</v>
      </c>
      <c r="T28" s="34" t="s">
        <v>299</v>
      </c>
      <c r="U28" s="34" t="s">
        <v>299</v>
      </c>
      <c r="V28" t="s">
        <v>804</v>
      </c>
    </row>
    <row r="29" spans="1:22" x14ac:dyDescent="0.25">
      <c r="A29" s="48" t="s">
        <v>300</v>
      </c>
      <c r="B29" s="30" t="s">
        <v>573</v>
      </c>
      <c r="C29" s="36" t="s">
        <v>230</v>
      </c>
      <c r="D29" s="31" t="s">
        <v>552</v>
      </c>
      <c r="E29" s="9" t="s">
        <v>71</v>
      </c>
      <c r="F29" s="37" t="s">
        <v>565</v>
      </c>
      <c r="G29" s="9">
        <v>890</v>
      </c>
      <c r="H29" s="32" t="s">
        <v>290</v>
      </c>
      <c r="I29" s="32" t="s">
        <v>554</v>
      </c>
      <c r="J29" s="33" t="s">
        <v>566</v>
      </c>
      <c r="K29" s="33" t="s">
        <v>320</v>
      </c>
      <c r="L29" s="49" t="s">
        <v>294</v>
      </c>
      <c r="M29" s="50" t="str">
        <f>Tabla16[[#This Row],[ABR_02]]</f>
        <v>BA</v>
      </c>
      <c r="N29" t="s">
        <v>295</v>
      </c>
      <c r="O29" s="51" t="s">
        <v>293</v>
      </c>
      <c r="P29" t="s">
        <v>296</v>
      </c>
      <c r="Q29" t="s">
        <v>353</v>
      </c>
      <c r="R29" s="52" t="str">
        <f>_xlfn.CONCAT(Tabla16[[#This Row],[ABR_01]],"00",Tabla16[[#This Row],[ABR_02]],Tabla16[[#This Row],[ZONA2]],,"0",Tabla16[[#This Row],[PARADA2]])</f>
        <v>AR00BA2006</v>
      </c>
      <c r="S29" s="52" t="s">
        <v>354</v>
      </c>
      <c r="T29" s="34" t="s">
        <v>299</v>
      </c>
      <c r="U29" s="34" t="s">
        <v>299</v>
      </c>
      <c r="V29" t="s">
        <v>804</v>
      </c>
    </row>
    <row r="30" spans="1:22" x14ac:dyDescent="0.25">
      <c r="A30" s="48" t="s">
        <v>300</v>
      </c>
      <c r="B30" s="30" t="s">
        <v>574</v>
      </c>
      <c r="C30" s="36" t="s">
        <v>575</v>
      </c>
      <c r="D30" s="31" t="s">
        <v>552</v>
      </c>
      <c r="E30" s="9" t="s">
        <v>71</v>
      </c>
      <c r="F30" s="37" t="s">
        <v>565</v>
      </c>
      <c r="G30" s="9">
        <v>860</v>
      </c>
      <c r="H30" s="32" t="s">
        <v>290</v>
      </c>
      <c r="I30" s="32" t="s">
        <v>554</v>
      </c>
      <c r="J30" s="33" t="s">
        <v>566</v>
      </c>
      <c r="K30" s="33" t="s">
        <v>322</v>
      </c>
      <c r="L30" s="49" t="s">
        <v>294</v>
      </c>
      <c r="M30" s="50" t="str">
        <f>Tabla16[[#This Row],[ABR_02]]</f>
        <v>BA</v>
      </c>
      <c r="N30" t="s">
        <v>295</v>
      </c>
      <c r="O30" s="51" t="s">
        <v>293</v>
      </c>
      <c r="P30" t="s">
        <v>296</v>
      </c>
      <c r="Q30" t="s">
        <v>353</v>
      </c>
      <c r="R30" s="52" t="str">
        <f>_xlfn.CONCAT(Tabla16[[#This Row],[ABR_01]],"00",Tabla16[[#This Row],[ABR_02]],Tabla16[[#This Row],[ZONA2]],,"0",Tabla16[[#This Row],[PARADA2]])</f>
        <v>AR00BA2007</v>
      </c>
      <c r="S30" s="52" t="s">
        <v>354</v>
      </c>
      <c r="T30" s="34" t="s">
        <v>299</v>
      </c>
      <c r="U30" s="34" t="s">
        <v>299</v>
      </c>
      <c r="V30" t="s">
        <v>804</v>
      </c>
    </row>
    <row r="31" spans="1:22" x14ac:dyDescent="0.25">
      <c r="A31" s="48" t="s">
        <v>300</v>
      </c>
      <c r="B31" s="30" t="s">
        <v>576</v>
      </c>
      <c r="C31" s="3" t="s">
        <v>577</v>
      </c>
      <c r="D31" s="31" t="s">
        <v>552</v>
      </c>
      <c r="E31" s="9" t="s">
        <v>71</v>
      </c>
      <c r="F31" s="37" t="s">
        <v>565</v>
      </c>
      <c r="G31" s="9">
        <v>854</v>
      </c>
      <c r="H31" s="32" t="s">
        <v>290</v>
      </c>
      <c r="I31" s="32" t="s">
        <v>554</v>
      </c>
      <c r="J31" s="33" t="s">
        <v>566</v>
      </c>
      <c r="K31" s="33" t="s">
        <v>324</v>
      </c>
      <c r="L31" s="49" t="s">
        <v>294</v>
      </c>
      <c r="M31" s="50" t="str">
        <f>Tabla16[[#This Row],[ABR_02]]</f>
        <v>BA</v>
      </c>
      <c r="N31" t="s">
        <v>295</v>
      </c>
      <c r="O31" s="51" t="s">
        <v>293</v>
      </c>
      <c r="P31" t="s">
        <v>296</v>
      </c>
      <c r="Q31" t="s">
        <v>353</v>
      </c>
      <c r="R31" s="52" t="str">
        <f>_xlfn.CONCAT(Tabla16[[#This Row],[ABR_01]],"00",Tabla16[[#This Row],[ABR_02]],Tabla16[[#This Row],[ZONA2]],,"0",Tabla16[[#This Row],[PARADA2]])</f>
        <v>AR00BA2008</v>
      </c>
      <c r="S31" s="52" t="s">
        <v>354</v>
      </c>
      <c r="T31" s="34" t="s">
        <v>299</v>
      </c>
      <c r="U31" s="34" t="s">
        <v>299</v>
      </c>
      <c r="V31" t="s">
        <v>804</v>
      </c>
    </row>
    <row r="32" spans="1:22" x14ac:dyDescent="0.25">
      <c r="A32" s="48" t="s">
        <v>300</v>
      </c>
      <c r="B32" s="30" t="s">
        <v>578</v>
      </c>
      <c r="C32" s="3" t="s">
        <v>579</v>
      </c>
      <c r="D32" s="31" t="s">
        <v>552</v>
      </c>
      <c r="E32" s="9" t="s">
        <v>71</v>
      </c>
      <c r="F32" s="37" t="s">
        <v>565</v>
      </c>
      <c r="G32" s="9">
        <v>852</v>
      </c>
      <c r="H32" s="32" t="s">
        <v>290</v>
      </c>
      <c r="I32" s="32" t="s">
        <v>554</v>
      </c>
      <c r="J32" s="33" t="s">
        <v>566</v>
      </c>
      <c r="K32" s="33" t="s">
        <v>368</v>
      </c>
      <c r="L32" s="49" t="s">
        <v>294</v>
      </c>
      <c r="M32" s="50" t="str">
        <f>Tabla16[[#This Row],[ABR_02]]</f>
        <v>BA</v>
      </c>
      <c r="N32" t="s">
        <v>295</v>
      </c>
      <c r="O32" s="51" t="s">
        <v>293</v>
      </c>
      <c r="P32" t="s">
        <v>296</v>
      </c>
      <c r="Q32" t="s">
        <v>353</v>
      </c>
      <c r="R32" s="52" t="str">
        <f>_xlfn.CONCAT(Tabla16[[#This Row],[ABR_01]],"00",Tabla16[[#This Row],[ABR_02]],Tabla16[[#This Row],[ZONA2]],,"0",Tabla16[[#This Row],[PARADA2]])</f>
        <v>AR00BA2009</v>
      </c>
      <c r="S32" s="52" t="s">
        <v>354</v>
      </c>
      <c r="T32" s="34" t="s">
        <v>299</v>
      </c>
      <c r="U32" s="34" t="s">
        <v>299</v>
      </c>
      <c r="V32" t="s">
        <v>804</v>
      </c>
    </row>
    <row r="33" spans="1:22" x14ac:dyDescent="0.25">
      <c r="A33" s="48" t="s">
        <v>300</v>
      </c>
      <c r="B33" s="30" t="s">
        <v>580</v>
      </c>
      <c r="C33" s="3" t="s">
        <v>581</v>
      </c>
      <c r="D33" s="31" t="s">
        <v>552</v>
      </c>
      <c r="E33" s="9" t="s">
        <v>71</v>
      </c>
      <c r="F33" s="37" t="s">
        <v>565</v>
      </c>
      <c r="G33" s="9">
        <v>858</v>
      </c>
      <c r="H33" s="32" t="s">
        <v>290</v>
      </c>
      <c r="I33" s="32" t="s">
        <v>554</v>
      </c>
      <c r="J33" s="33" t="s">
        <v>566</v>
      </c>
      <c r="K33" s="33" t="s">
        <v>370</v>
      </c>
      <c r="L33" s="49" t="s">
        <v>294</v>
      </c>
      <c r="M33" s="50" t="str">
        <f>Tabla16[[#This Row],[ABR_02]]</f>
        <v>BA</v>
      </c>
      <c r="N33" t="s">
        <v>295</v>
      </c>
      <c r="O33" s="51" t="s">
        <v>293</v>
      </c>
      <c r="P33" t="s">
        <v>296</v>
      </c>
      <c r="Q33" t="s">
        <v>353</v>
      </c>
      <c r="R33" s="52" t="str">
        <f>_xlfn.CONCAT(Tabla16[[#This Row],[ABR_01]],"00",Tabla16[[#This Row],[ABR_02]],Tabla16[[#This Row],[ZONA2]],,"0",Tabla16[[#This Row],[PARADA2]])</f>
        <v>AR00BA2010</v>
      </c>
      <c r="S33" s="52" t="s">
        <v>354</v>
      </c>
      <c r="T33" s="34" t="s">
        <v>299</v>
      </c>
      <c r="U33" s="34" t="s">
        <v>299</v>
      </c>
      <c r="V33" t="s">
        <v>804</v>
      </c>
    </row>
    <row r="34" spans="1:22" x14ac:dyDescent="0.25">
      <c r="A34" s="48" t="s">
        <v>300</v>
      </c>
      <c r="B34" s="30" t="s">
        <v>582</v>
      </c>
      <c r="C34" s="3" t="s">
        <v>21</v>
      </c>
      <c r="D34" s="31" t="s">
        <v>552</v>
      </c>
      <c r="E34" s="9" t="s">
        <v>20</v>
      </c>
      <c r="F34" s="37">
        <v>283</v>
      </c>
      <c r="G34" s="9">
        <v>900</v>
      </c>
      <c r="H34" s="32" t="s">
        <v>290</v>
      </c>
      <c r="I34" s="32" t="s">
        <v>554</v>
      </c>
      <c r="J34" s="33" t="s">
        <v>583</v>
      </c>
      <c r="K34" s="33" t="s">
        <v>293</v>
      </c>
      <c r="L34" s="49" t="s">
        <v>294</v>
      </c>
      <c r="M34" s="50" t="str">
        <f>Tabla16[[#This Row],[ABR_02]]</f>
        <v>BA</v>
      </c>
      <c r="N34" t="s">
        <v>295</v>
      </c>
      <c r="O34" s="51" t="s">
        <v>293</v>
      </c>
      <c r="P34" t="s">
        <v>296</v>
      </c>
      <c r="Q34" t="s">
        <v>303</v>
      </c>
      <c r="R34" s="52" t="str">
        <f>_xlfn.CONCAT(Tabla16[[#This Row],[ABR_01]],"00",Tabla16[[#This Row],[ABR_02]],Tabla16[[#This Row],[ZONA2]],,"0",Tabla16[[#This Row],[PARADA2]])</f>
        <v>AR00BA4001</v>
      </c>
      <c r="S34" s="52" t="s">
        <v>304</v>
      </c>
      <c r="T34" s="34" t="s">
        <v>299</v>
      </c>
      <c r="U34" s="34" t="s">
        <v>299</v>
      </c>
      <c r="V34" t="s">
        <v>804</v>
      </c>
    </row>
    <row r="35" spans="1:22" x14ac:dyDescent="0.25">
      <c r="A35" s="48" t="s">
        <v>300</v>
      </c>
      <c r="B35" s="30" t="s">
        <v>584</v>
      </c>
      <c r="C35" s="36" t="s">
        <v>585</v>
      </c>
      <c r="D35" s="31" t="s">
        <v>552</v>
      </c>
      <c r="E35" s="9" t="s">
        <v>58</v>
      </c>
      <c r="F35" s="5" t="s">
        <v>586</v>
      </c>
      <c r="G35" s="9">
        <v>825</v>
      </c>
      <c r="H35" s="32" t="s">
        <v>290</v>
      </c>
      <c r="I35" s="32" t="s">
        <v>554</v>
      </c>
      <c r="J35" s="33" t="s">
        <v>587</v>
      </c>
      <c r="K35" s="33" t="s">
        <v>293</v>
      </c>
      <c r="L35" s="49" t="s">
        <v>294</v>
      </c>
      <c r="M35" s="50" t="str">
        <f>Tabla16[[#This Row],[ABR_02]]</f>
        <v>BA</v>
      </c>
      <c r="N35" t="s">
        <v>295</v>
      </c>
      <c r="O35" s="51" t="s">
        <v>293</v>
      </c>
      <c r="P35" t="s">
        <v>296</v>
      </c>
      <c r="Q35" t="s">
        <v>353</v>
      </c>
      <c r="R35" s="52" t="str">
        <f>_xlfn.CONCAT(Tabla16[[#This Row],[ABR_01]],"00",Tabla16[[#This Row],[ABR_02]],Tabla16[[#This Row],[ZONA2]],,"0",Tabla16[[#This Row],[PARADA2]])</f>
        <v>AR00BA3001</v>
      </c>
      <c r="S35" s="52" t="s">
        <v>354</v>
      </c>
      <c r="T35" s="34" t="s">
        <v>299</v>
      </c>
      <c r="U35" s="34" t="s">
        <v>299</v>
      </c>
      <c r="V35" t="s">
        <v>804</v>
      </c>
    </row>
    <row r="36" spans="1:22" x14ac:dyDescent="0.25">
      <c r="A36" s="48" t="s">
        <v>300</v>
      </c>
      <c r="B36" s="30" t="s">
        <v>588</v>
      </c>
      <c r="C36" s="3" t="s">
        <v>588</v>
      </c>
      <c r="D36" s="31" t="s">
        <v>552</v>
      </c>
      <c r="E36" s="9" t="s">
        <v>58</v>
      </c>
      <c r="F36" s="5" t="s">
        <v>586</v>
      </c>
      <c r="G36" s="9">
        <v>810</v>
      </c>
      <c r="H36" s="32" t="s">
        <v>290</v>
      </c>
      <c r="I36" s="32" t="s">
        <v>554</v>
      </c>
      <c r="J36" s="33" t="s">
        <v>587</v>
      </c>
      <c r="K36" s="33" t="s">
        <v>306</v>
      </c>
      <c r="L36" s="49" t="s">
        <v>294</v>
      </c>
      <c r="M36" s="50" t="str">
        <f>Tabla16[[#This Row],[ABR_02]]</f>
        <v>BA</v>
      </c>
      <c r="N36" t="s">
        <v>295</v>
      </c>
      <c r="O36" s="51" t="s">
        <v>293</v>
      </c>
      <c r="P36" t="s">
        <v>296</v>
      </c>
      <c r="Q36" t="s">
        <v>353</v>
      </c>
      <c r="R36" s="52" t="str">
        <f>_xlfn.CONCAT(Tabla16[[#This Row],[ABR_01]],"00",Tabla16[[#This Row],[ABR_02]],Tabla16[[#This Row],[ZONA2]],,"0",Tabla16[[#This Row],[PARADA2]])</f>
        <v>AR00BA3002</v>
      </c>
      <c r="S36" s="52" t="s">
        <v>354</v>
      </c>
      <c r="T36" s="34" t="s">
        <v>299</v>
      </c>
      <c r="U36" s="34" t="s">
        <v>299</v>
      </c>
      <c r="V36" t="s">
        <v>804</v>
      </c>
    </row>
    <row r="37" spans="1:22" x14ac:dyDescent="0.25">
      <c r="A37" s="48" t="s">
        <v>300</v>
      </c>
      <c r="B37" s="30" t="s">
        <v>589</v>
      </c>
      <c r="C37" s="36" t="s">
        <v>590</v>
      </c>
      <c r="D37" s="31" t="s">
        <v>552</v>
      </c>
      <c r="E37" s="9" t="s">
        <v>58</v>
      </c>
      <c r="F37" s="5" t="s">
        <v>586</v>
      </c>
      <c r="G37" s="9">
        <v>814</v>
      </c>
      <c r="H37" s="32" t="s">
        <v>290</v>
      </c>
      <c r="I37" s="32" t="s">
        <v>554</v>
      </c>
      <c r="J37" s="33" t="s">
        <v>587</v>
      </c>
      <c r="K37" s="33" t="s">
        <v>307</v>
      </c>
      <c r="L37" s="49" t="s">
        <v>294</v>
      </c>
      <c r="M37" s="50" t="str">
        <f>Tabla16[[#This Row],[ABR_02]]</f>
        <v>BA</v>
      </c>
      <c r="N37" t="s">
        <v>295</v>
      </c>
      <c r="O37" s="51" t="s">
        <v>293</v>
      </c>
      <c r="P37" t="s">
        <v>296</v>
      </c>
      <c r="Q37" t="s">
        <v>353</v>
      </c>
      <c r="R37" s="52" t="str">
        <f>_xlfn.CONCAT(Tabla16[[#This Row],[ABR_01]],"00",Tabla16[[#This Row],[ABR_02]],Tabla16[[#This Row],[ZONA2]],,"0",Tabla16[[#This Row],[PARADA2]])</f>
        <v>AR00BA3003</v>
      </c>
      <c r="S37" s="52" t="s">
        <v>354</v>
      </c>
      <c r="T37" s="34" t="s">
        <v>299</v>
      </c>
      <c r="U37" s="34" t="s">
        <v>299</v>
      </c>
      <c r="V37" t="s">
        <v>804</v>
      </c>
    </row>
    <row r="38" spans="1:22" x14ac:dyDescent="0.25">
      <c r="A38" s="48" t="s">
        <v>300</v>
      </c>
      <c r="B38" s="30" t="s">
        <v>591</v>
      </c>
      <c r="C38" s="36" t="s">
        <v>222</v>
      </c>
      <c r="D38" s="31" t="s">
        <v>552</v>
      </c>
      <c r="E38" s="9" t="s">
        <v>58</v>
      </c>
      <c r="F38" s="5" t="s">
        <v>586</v>
      </c>
      <c r="G38" s="9">
        <v>809</v>
      </c>
      <c r="H38" s="32" t="s">
        <v>290</v>
      </c>
      <c r="I38" s="32" t="s">
        <v>554</v>
      </c>
      <c r="J38" s="33" t="s">
        <v>587</v>
      </c>
      <c r="K38" s="33" t="s">
        <v>309</v>
      </c>
      <c r="L38" s="49" t="s">
        <v>294</v>
      </c>
      <c r="M38" s="50" t="str">
        <f>Tabla16[[#This Row],[ABR_02]]</f>
        <v>BA</v>
      </c>
      <c r="N38" t="s">
        <v>295</v>
      </c>
      <c r="O38" s="51" t="s">
        <v>293</v>
      </c>
      <c r="P38" t="s">
        <v>296</v>
      </c>
      <c r="Q38" t="s">
        <v>353</v>
      </c>
      <c r="R38" s="52" t="str">
        <f>_xlfn.CONCAT(Tabla16[[#This Row],[ABR_01]],"00",Tabla16[[#This Row],[ABR_02]],Tabla16[[#This Row],[ZONA2]],,"0",Tabla16[[#This Row],[PARADA2]])</f>
        <v>AR00BA3004</v>
      </c>
      <c r="S38" s="52" t="s">
        <v>354</v>
      </c>
      <c r="T38" s="34" t="s">
        <v>299</v>
      </c>
      <c r="U38" s="34" t="s">
        <v>299</v>
      </c>
      <c r="V38" t="s">
        <v>804</v>
      </c>
    </row>
    <row r="39" spans="1:22" x14ac:dyDescent="0.25">
      <c r="A39" s="48" t="s">
        <v>300</v>
      </c>
      <c r="B39" s="30" t="s">
        <v>592</v>
      </c>
      <c r="C39" s="36" t="s">
        <v>186</v>
      </c>
      <c r="D39" s="31" t="s">
        <v>552</v>
      </c>
      <c r="E39" s="9" t="s">
        <v>58</v>
      </c>
      <c r="F39" s="5" t="s">
        <v>586</v>
      </c>
      <c r="G39" s="9">
        <v>862</v>
      </c>
      <c r="H39" s="32" t="s">
        <v>290</v>
      </c>
      <c r="I39" s="32" t="s">
        <v>554</v>
      </c>
      <c r="J39" s="33" t="s">
        <v>587</v>
      </c>
      <c r="K39" s="33" t="s">
        <v>319</v>
      </c>
      <c r="L39" s="49" t="s">
        <v>294</v>
      </c>
      <c r="M39" s="50" t="str">
        <f>Tabla16[[#This Row],[ABR_02]]</f>
        <v>BA</v>
      </c>
      <c r="N39" t="s">
        <v>295</v>
      </c>
      <c r="O39" s="51" t="s">
        <v>293</v>
      </c>
      <c r="P39" t="s">
        <v>296</v>
      </c>
      <c r="Q39" t="s">
        <v>353</v>
      </c>
      <c r="R39" s="52" t="str">
        <f>_xlfn.CONCAT(Tabla16[[#This Row],[ABR_01]],"00",Tabla16[[#This Row],[ABR_02]],Tabla16[[#This Row],[ZONA2]],,"0",Tabla16[[#This Row],[PARADA2]])</f>
        <v>AR00BA3005</v>
      </c>
      <c r="S39" s="52" t="s">
        <v>354</v>
      </c>
      <c r="T39" s="34" t="s">
        <v>299</v>
      </c>
      <c r="U39" s="34" t="s">
        <v>299</v>
      </c>
      <c r="V39" t="s">
        <v>804</v>
      </c>
    </row>
    <row r="40" spans="1:22" x14ac:dyDescent="0.25">
      <c r="A40" s="48" t="s">
        <v>300</v>
      </c>
      <c r="B40" s="30" t="s">
        <v>593</v>
      </c>
      <c r="C40" s="36" t="s">
        <v>224</v>
      </c>
      <c r="D40" s="31" t="s">
        <v>552</v>
      </c>
      <c r="E40" s="9" t="s">
        <v>58</v>
      </c>
      <c r="F40" s="5" t="s">
        <v>586</v>
      </c>
      <c r="G40" s="9">
        <v>811</v>
      </c>
      <c r="H40" s="32" t="s">
        <v>290</v>
      </c>
      <c r="I40" s="32" t="s">
        <v>554</v>
      </c>
      <c r="J40" s="33" t="s">
        <v>587</v>
      </c>
      <c r="K40" s="33" t="s">
        <v>320</v>
      </c>
      <c r="L40" s="49" t="s">
        <v>294</v>
      </c>
      <c r="M40" s="50" t="str">
        <f>Tabla16[[#This Row],[ABR_02]]</f>
        <v>BA</v>
      </c>
      <c r="N40" t="s">
        <v>295</v>
      </c>
      <c r="O40" s="51" t="s">
        <v>293</v>
      </c>
      <c r="P40" t="s">
        <v>296</v>
      </c>
      <c r="Q40" t="s">
        <v>353</v>
      </c>
      <c r="R40" s="52" t="str">
        <f>_xlfn.CONCAT(Tabla16[[#This Row],[ABR_01]],"00",Tabla16[[#This Row],[ABR_02]],Tabla16[[#This Row],[ZONA2]],,"0",Tabla16[[#This Row],[PARADA2]])</f>
        <v>AR00BA3006</v>
      </c>
      <c r="S40" s="52" t="s">
        <v>354</v>
      </c>
      <c r="T40" s="34" t="s">
        <v>299</v>
      </c>
      <c r="U40" s="34" t="s">
        <v>299</v>
      </c>
      <c r="V40" t="s">
        <v>804</v>
      </c>
    </row>
    <row r="41" spans="1:22" x14ac:dyDescent="0.25">
      <c r="A41" s="48" t="s">
        <v>300</v>
      </c>
      <c r="B41" s="30" t="s">
        <v>594</v>
      </c>
      <c r="C41" s="3" t="s">
        <v>594</v>
      </c>
      <c r="D41" s="31" t="s">
        <v>552</v>
      </c>
      <c r="E41" s="9" t="s">
        <v>58</v>
      </c>
      <c r="F41" s="5" t="s">
        <v>586</v>
      </c>
      <c r="G41" s="9">
        <v>830</v>
      </c>
      <c r="H41" s="32" t="s">
        <v>290</v>
      </c>
      <c r="I41" s="32" t="s">
        <v>554</v>
      </c>
      <c r="J41" s="33" t="s">
        <v>587</v>
      </c>
      <c r="K41" s="33" t="s">
        <v>322</v>
      </c>
      <c r="L41" s="49" t="s">
        <v>294</v>
      </c>
      <c r="M41" s="50" t="str">
        <f>Tabla16[[#This Row],[ABR_02]]</f>
        <v>BA</v>
      </c>
      <c r="N41" t="s">
        <v>295</v>
      </c>
      <c r="O41" s="51" t="s">
        <v>293</v>
      </c>
      <c r="P41" t="s">
        <v>296</v>
      </c>
      <c r="Q41" t="s">
        <v>353</v>
      </c>
      <c r="R41" s="52" t="str">
        <f>_xlfn.CONCAT(Tabla16[[#This Row],[ABR_01]],"00",Tabla16[[#This Row],[ABR_02]],Tabla16[[#This Row],[ZONA2]],,"0",Tabla16[[#This Row],[PARADA2]])</f>
        <v>AR00BA3007</v>
      </c>
      <c r="S41" s="52" t="s">
        <v>354</v>
      </c>
      <c r="T41" s="34" t="s">
        <v>299</v>
      </c>
      <c r="U41" s="34" t="s">
        <v>299</v>
      </c>
      <c r="V41" t="s">
        <v>804</v>
      </c>
    </row>
    <row r="42" spans="1:22" x14ac:dyDescent="0.25">
      <c r="A42" s="48" t="s">
        <v>300</v>
      </c>
      <c r="B42" s="30" t="s">
        <v>595</v>
      </c>
      <c r="C42" s="36" t="s">
        <v>166</v>
      </c>
      <c r="D42" s="31" t="s">
        <v>552</v>
      </c>
      <c r="E42" s="9" t="s">
        <v>58</v>
      </c>
      <c r="F42" s="5" t="s">
        <v>586</v>
      </c>
      <c r="G42" s="9">
        <v>813</v>
      </c>
      <c r="H42" s="32" t="s">
        <v>290</v>
      </c>
      <c r="I42" s="32" t="s">
        <v>554</v>
      </c>
      <c r="J42" s="33" t="s">
        <v>587</v>
      </c>
      <c r="K42" s="33" t="s">
        <v>324</v>
      </c>
      <c r="L42" s="49" t="s">
        <v>294</v>
      </c>
      <c r="M42" s="50" t="str">
        <f>Tabla16[[#This Row],[ABR_02]]</f>
        <v>BA</v>
      </c>
      <c r="N42" t="s">
        <v>295</v>
      </c>
      <c r="O42" s="51" t="s">
        <v>293</v>
      </c>
      <c r="P42" t="s">
        <v>296</v>
      </c>
      <c r="Q42" t="s">
        <v>353</v>
      </c>
      <c r="R42" s="52" t="str">
        <f>_xlfn.CONCAT(Tabla16[[#This Row],[ABR_01]],"00",Tabla16[[#This Row],[ABR_02]],Tabla16[[#This Row],[ZONA2]],,"0",Tabla16[[#This Row],[PARADA2]])</f>
        <v>AR00BA3008</v>
      </c>
      <c r="S42" s="52" t="s">
        <v>354</v>
      </c>
      <c r="T42" s="34" t="s">
        <v>299</v>
      </c>
      <c r="U42" s="34" t="s">
        <v>299</v>
      </c>
      <c r="V42" t="s">
        <v>804</v>
      </c>
    </row>
    <row r="43" spans="1:22" x14ac:dyDescent="0.25">
      <c r="A43" s="48" t="s">
        <v>300</v>
      </c>
      <c r="B43" s="30" t="s">
        <v>596</v>
      </c>
      <c r="C43" s="3" t="s">
        <v>596</v>
      </c>
      <c r="D43" s="31" t="s">
        <v>552</v>
      </c>
      <c r="E43" s="9" t="s">
        <v>58</v>
      </c>
      <c r="F43" s="5" t="s">
        <v>586</v>
      </c>
      <c r="G43" s="9">
        <v>850</v>
      </c>
      <c r="H43" s="32" t="s">
        <v>290</v>
      </c>
      <c r="I43" s="32" t="s">
        <v>554</v>
      </c>
      <c r="J43" s="33" t="s">
        <v>587</v>
      </c>
      <c r="K43" s="33" t="s">
        <v>368</v>
      </c>
      <c r="L43" s="49" t="s">
        <v>294</v>
      </c>
      <c r="M43" s="50" t="str">
        <f>Tabla16[[#This Row],[ABR_02]]</f>
        <v>BA</v>
      </c>
      <c r="N43" t="s">
        <v>295</v>
      </c>
      <c r="O43" s="51" t="s">
        <v>293</v>
      </c>
      <c r="P43" t="s">
        <v>296</v>
      </c>
      <c r="Q43" t="s">
        <v>353</v>
      </c>
      <c r="R43" s="52" t="str">
        <f>_xlfn.CONCAT(Tabla16[[#This Row],[ABR_01]],"00",Tabla16[[#This Row],[ABR_02]],Tabla16[[#This Row],[ZONA2]],,"0",Tabla16[[#This Row],[PARADA2]])</f>
        <v>AR00BA3009</v>
      </c>
      <c r="S43" s="52" t="s">
        <v>354</v>
      </c>
      <c r="T43" s="34" t="s">
        <v>299</v>
      </c>
      <c r="U43" s="34" t="s">
        <v>299</v>
      </c>
      <c r="V43" t="s">
        <v>804</v>
      </c>
    </row>
    <row r="44" spans="1:22" x14ac:dyDescent="0.25">
      <c r="A44" s="48" t="s">
        <v>300</v>
      </c>
      <c r="B44" s="30" t="s">
        <v>597</v>
      </c>
      <c r="C44" s="36" t="s">
        <v>598</v>
      </c>
      <c r="D44" s="31" t="s">
        <v>552</v>
      </c>
      <c r="E44" s="9" t="s">
        <v>58</v>
      </c>
      <c r="F44" s="5" t="s">
        <v>586</v>
      </c>
      <c r="G44" s="9">
        <v>848</v>
      </c>
      <c r="H44" s="32" t="s">
        <v>290</v>
      </c>
      <c r="I44" s="32" t="s">
        <v>554</v>
      </c>
      <c r="J44" s="33" t="s">
        <v>587</v>
      </c>
      <c r="K44" s="33" t="s">
        <v>370</v>
      </c>
      <c r="L44" s="49" t="s">
        <v>294</v>
      </c>
      <c r="M44" s="50" t="str">
        <f>Tabla16[[#This Row],[ABR_02]]</f>
        <v>BA</v>
      </c>
      <c r="N44" t="s">
        <v>295</v>
      </c>
      <c r="O44" s="51" t="s">
        <v>293</v>
      </c>
      <c r="P44" t="s">
        <v>296</v>
      </c>
      <c r="Q44" t="s">
        <v>353</v>
      </c>
      <c r="R44" s="52" t="str">
        <f>_xlfn.CONCAT(Tabla16[[#This Row],[ABR_01]],"00",Tabla16[[#This Row],[ABR_02]],Tabla16[[#This Row],[ZONA2]],,"0",Tabla16[[#This Row],[PARADA2]])</f>
        <v>AR00BA3010</v>
      </c>
      <c r="S44" s="52" t="s">
        <v>354</v>
      </c>
      <c r="T44" s="34" t="s">
        <v>299</v>
      </c>
      <c r="U44" s="34" t="s">
        <v>299</v>
      </c>
      <c r="V44" t="s">
        <v>804</v>
      </c>
    </row>
    <row r="45" spans="1:22" x14ac:dyDescent="0.25">
      <c r="A45" s="48" t="s">
        <v>300</v>
      </c>
      <c r="B45" s="30" t="s">
        <v>599</v>
      </c>
      <c r="C45" s="3" t="s">
        <v>599</v>
      </c>
      <c r="D45" s="31" t="s">
        <v>552</v>
      </c>
      <c r="E45" s="9" t="s">
        <v>58</v>
      </c>
      <c r="F45" s="5" t="s">
        <v>586</v>
      </c>
      <c r="G45" s="9">
        <v>808</v>
      </c>
      <c r="H45" s="32" t="s">
        <v>290</v>
      </c>
      <c r="I45" s="32" t="s">
        <v>554</v>
      </c>
      <c r="J45" s="33" t="s">
        <v>587</v>
      </c>
      <c r="K45" s="33" t="s">
        <v>372</v>
      </c>
      <c r="L45" s="49" t="s">
        <v>294</v>
      </c>
      <c r="M45" s="50" t="str">
        <f>Tabla16[[#This Row],[ABR_02]]</f>
        <v>BA</v>
      </c>
      <c r="N45" t="s">
        <v>295</v>
      </c>
      <c r="O45" s="51" t="s">
        <v>293</v>
      </c>
      <c r="P45" t="s">
        <v>296</v>
      </c>
      <c r="Q45" t="s">
        <v>353</v>
      </c>
      <c r="R45" s="52" t="str">
        <f>_xlfn.CONCAT(Tabla16[[#This Row],[ABR_01]],"00",Tabla16[[#This Row],[ABR_02]],Tabla16[[#This Row],[ZONA2]],,"0",Tabla16[[#This Row],[PARADA2]])</f>
        <v>AR00BA3011</v>
      </c>
      <c r="S45" s="52" t="s">
        <v>354</v>
      </c>
      <c r="T45" s="34" t="s">
        <v>299</v>
      </c>
      <c r="U45" s="34" t="s">
        <v>299</v>
      </c>
      <c r="V45" t="s">
        <v>804</v>
      </c>
    </row>
    <row r="46" spans="1:22" x14ac:dyDescent="0.25">
      <c r="A46" s="48" t="s">
        <v>300</v>
      </c>
      <c r="B46" s="30" t="s">
        <v>600</v>
      </c>
      <c r="C46" s="36" t="s">
        <v>67</v>
      </c>
      <c r="D46" s="31" t="s">
        <v>552</v>
      </c>
      <c r="E46" s="9" t="s">
        <v>58</v>
      </c>
      <c r="F46" s="5" t="s">
        <v>586</v>
      </c>
      <c r="G46" s="9" t="s">
        <v>601</v>
      </c>
      <c r="H46" s="32" t="s">
        <v>290</v>
      </c>
      <c r="I46" s="32" t="s">
        <v>554</v>
      </c>
      <c r="J46" s="33" t="s">
        <v>587</v>
      </c>
      <c r="K46" s="33" t="s">
        <v>374</v>
      </c>
      <c r="L46" s="49" t="s">
        <v>294</v>
      </c>
      <c r="M46" s="50" t="str">
        <f>Tabla16[[#This Row],[ABR_02]]</f>
        <v>BA</v>
      </c>
      <c r="N46" t="s">
        <v>295</v>
      </c>
      <c r="O46" s="51" t="s">
        <v>293</v>
      </c>
      <c r="P46" t="s">
        <v>296</v>
      </c>
      <c r="Q46" t="s">
        <v>353</v>
      </c>
      <c r="R46" s="52" t="str">
        <f>_xlfn.CONCAT(Tabla16[[#This Row],[ABR_01]],"00",Tabla16[[#This Row],[ABR_02]],Tabla16[[#This Row],[ZONA2]],,"0",Tabla16[[#This Row],[PARADA2]])</f>
        <v>AR00BA3012</v>
      </c>
      <c r="S46" s="52" t="s">
        <v>354</v>
      </c>
      <c r="T46" s="34" t="s">
        <v>299</v>
      </c>
      <c r="U46" s="34" t="s">
        <v>299</v>
      </c>
      <c r="V46" t="s">
        <v>804</v>
      </c>
    </row>
    <row r="47" spans="1:22" x14ac:dyDescent="0.25">
      <c r="A47" s="48" t="s">
        <v>300</v>
      </c>
      <c r="B47" s="30" t="s">
        <v>602</v>
      </c>
      <c r="C47" s="3" t="s">
        <v>602</v>
      </c>
      <c r="D47" s="31" t="s">
        <v>552</v>
      </c>
      <c r="E47" s="9" t="s">
        <v>58</v>
      </c>
      <c r="F47" s="5" t="s">
        <v>586</v>
      </c>
      <c r="G47" s="9">
        <v>802</v>
      </c>
      <c r="H47" s="32" t="s">
        <v>290</v>
      </c>
      <c r="I47" s="32" t="s">
        <v>554</v>
      </c>
      <c r="J47" s="33" t="s">
        <v>587</v>
      </c>
      <c r="K47" s="33" t="s">
        <v>376</v>
      </c>
      <c r="L47" s="49" t="s">
        <v>294</v>
      </c>
      <c r="M47" s="50" t="str">
        <f>Tabla16[[#This Row],[ABR_02]]</f>
        <v>BA</v>
      </c>
      <c r="N47" t="s">
        <v>295</v>
      </c>
      <c r="O47" s="51" t="s">
        <v>293</v>
      </c>
      <c r="P47" t="s">
        <v>296</v>
      </c>
      <c r="Q47" t="s">
        <v>353</v>
      </c>
      <c r="R47" s="52" t="str">
        <f>_xlfn.CONCAT(Tabla16[[#This Row],[ABR_01]],"00",Tabla16[[#This Row],[ABR_02]],Tabla16[[#This Row],[ZONA2]],,"0",Tabla16[[#This Row],[PARADA2]])</f>
        <v>AR00BA3013</v>
      </c>
      <c r="S47" s="52" t="s">
        <v>354</v>
      </c>
      <c r="T47" s="34" t="s">
        <v>299</v>
      </c>
      <c r="U47" s="34" t="s">
        <v>299</v>
      </c>
      <c r="V47" t="s">
        <v>804</v>
      </c>
    </row>
    <row r="48" spans="1:22" x14ac:dyDescent="0.25">
      <c r="A48" s="48" t="s">
        <v>300</v>
      </c>
      <c r="B48" s="30" t="s">
        <v>603</v>
      </c>
      <c r="C48" s="3" t="s">
        <v>603</v>
      </c>
      <c r="D48" s="31" t="s">
        <v>552</v>
      </c>
      <c r="E48" s="9" t="s">
        <v>58</v>
      </c>
      <c r="F48" s="5" t="s">
        <v>586</v>
      </c>
      <c r="G48" s="9">
        <v>895</v>
      </c>
      <c r="H48" s="32" t="s">
        <v>290</v>
      </c>
      <c r="I48" s="32" t="s">
        <v>554</v>
      </c>
      <c r="J48" s="33" t="s">
        <v>587</v>
      </c>
      <c r="K48" s="33" t="s">
        <v>379</v>
      </c>
      <c r="L48" s="49" t="s">
        <v>294</v>
      </c>
      <c r="M48" s="50" t="str">
        <f>Tabla16[[#This Row],[ABR_02]]</f>
        <v>BA</v>
      </c>
      <c r="N48" t="s">
        <v>295</v>
      </c>
      <c r="O48" s="51" t="s">
        <v>293</v>
      </c>
      <c r="P48" t="s">
        <v>296</v>
      </c>
      <c r="Q48" t="s">
        <v>353</v>
      </c>
      <c r="R48" s="52" t="str">
        <f>_xlfn.CONCAT(Tabla16[[#This Row],[ABR_01]],"00",Tabla16[[#This Row],[ABR_02]],Tabla16[[#This Row],[ZONA2]],,"0",Tabla16[[#This Row],[PARADA2]])</f>
        <v>AR00BA3014</v>
      </c>
      <c r="S48" s="52" t="s">
        <v>354</v>
      </c>
      <c r="T48" s="34" t="s">
        <v>299</v>
      </c>
      <c r="U48" s="34" t="s">
        <v>299</v>
      </c>
      <c r="V48" t="s">
        <v>804</v>
      </c>
    </row>
    <row r="49" spans="1:22" x14ac:dyDescent="0.25">
      <c r="A49" s="48" t="s">
        <v>300</v>
      </c>
      <c r="B49" s="30" t="s">
        <v>604</v>
      </c>
      <c r="C49" s="36" t="s">
        <v>226</v>
      </c>
      <c r="D49" s="31" t="s">
        <v>552</v>
      </c>
      <c r="E49" s="9" t="s">
        <v>58</v>
      </c>
      <c r="F49" s="5" t="s">
        <v>586</v>
      </c>
      <c r="G49" s="9">
        <v>816</v>
      </c>
      <c r="H49" s="32" t="s">
        <v>290</v>
      </c>
      <c r="I49" s="32" t="s">
        <v>554</v>
      </c>
      <c r="J49" s="33" t="s">
        <v>587</v>
      </c>
      <c r="K49" s="33" t="s">
        <v>382</v>
      </c>
      <c r="L49" s="49" t="s">
        <v>294</v>
      </c>
      <c r="M49" s="50" t="str">
        <f>Tabla16[[#This Row],[ABR_02]]</f>
        <v>BA</v>
      </c>
      <c r="N49" t="s">
        <v>295</v>
      </c>
      <c r="O49" s="51" t="s">
        <v>293</v>
      </c>
      <c r="P49" t="s">
        <v>296</v>
      </c>
      <c r="Q49" t="s">
        <v>353</v>
      </c>
      <c r="R49" s="52" t="str">
        <f>_xlfn.CONCAT(Tabla16[[#This Row],[ABR_01]],"00",Tabla16[[#This Row],[ABR_02]],Tabla16[[#This Row],[ZONA2]],,"0",Tabla16[[#This Row],[PARADA2]])</f>
        <v>AR00BA3015</v>
      </c>
      <c r="S49" s="52" t="s">
        <v>354</v>
      </c>
      <c r="T49" s="34" t="s">
        <v>299</v>
      </c>
      <c r="U49" s="34" t="s">
        <v>299</v>
      </c>
      <c r="V49" t="s">
        <v>804</v>
      </c>
    </row>
    <row r="50" spans="1:22" x14ac:dyDescent="0.25">
      <c r="A50" s="48" t="s">
        <v>300</v>
      </c>
      <c r="B50" s="30" t="s">
        <v>605</v>
      </c>
      <c r="C50" s="3" t="s">
        <v>605</v>
      </c>
      <c r="D50" s="31" t="s">
        <v>552</v>
      </c>
      <c r="E50" s="9" t="s">
        <v>58</v>
      </c>
      <c r="F50" s="5" t="s">
        <v>586</v>
      </c>
      <c r="G50" s="9">
        <v>875</v>
      </c>
      <c r="H50" s="32" t="s">
        <v>290</v>
      </c>
      <c r="I50" s="32" t="s">
        <v>554</v>
      </c>
      <c r="J50" s="33" t="s">
        <v>587</v>
      </c>
      <c r="K50" s="33" t="s">
        <v>384</v>
      </c>
      <c r="L50" s="49" t="s">
        <v>294</v>
      </c>
      <c r="M50" s="50" t="str">
        <f>Tabla16[[#This Row],[ABR_02]]</f>
        <v>BA</v>
      </c>
      <c r="N50" t="s">
        <v>295</v>
      </c>
      <c r="O50" s="51" t="s">
        <v>293</v>
      </c>
      <c r="P50" t="s">
        <v>296</v>
      </c>
      <c r="Q50" t="s">
        <v>353</v>
      </c>
      <c r="R50" s="52" t="str">
        <f>_xlfn.CONCAT(Tabla16[[#This Row],[ABR_01]],"00",Tabla16[[#This Row],[ABR_02]],Tabla16[[#This Row],[ZONA2]],,"0",Tabla16[[#This Row],[PARADA2]])</f>
        <v>AR00BA3016</v>
      </c>
      <c r="S50" s="52" t="s">
        <v>354</v>
      </c>
      <c r="T50" s="34" t="s">
        <v>299</v>
      </c>
      <c r="U50" s="34" t="s">
        <v>299</v>
      </c>
      <c r="V50" t="s">
        <v>804</v>
      </c>
    </row>
    <row r="51" spans="1:22" x14ac:dyDescent="0.25">
      <c r="A51" s="48" t="s">
        <v>300</v>
      </c>
      <c r="B51" s="30" t="s">
        <v>606</v>
      </c>
      <c r="C51" s="36" t="s">
        <v>607</v>
      </c>
      <c r="D51" s="31" t="s">
        <v>552</v>
      </c>
      <c r="E51" s="9" t="s">
        <v>58</v>
      </c>
      <c r="F51" s="5" t="s">
        <v>586</v>
      </c>
      <c r="G51" s="9">
        <v>817</v>
      </c>
      <c r="H51" s="32" t="s">
        <v>290</v>
      </c>
      <c r="I51" s="32" t="s">
        <v>554</v>
      </c>
      <c r="J51" s="33" t="s">
        <v>587</v>
      </c>
      <c r="K51" s="33" t="s">
        <v>387</v>
      </c>
      <c r="L51" s="49" t="s">
        <v>294</v>
      </c>
      <c r="M51" s="50" t="str">
        <f>Tabla16[[#This Row],[ABR_02]]</f>
        <v>BA</v>
      </c>
      <c r="N51" t="s">
        <v>295</v>
      </c>
      <c r="O51" s="51" t="s">
        <v>293</v>
      </c>
      <c r="P51" t="s">
        <v>296</v>
      </c>
      <c r="Q51" t="s">
        <v>353</v>
      </c>
      <c r="R51" s="52" t="str">
        <f>_xlfn.CONCAT(Tabla16[[#This Row],[ABR_01]],"00",Tabla16[[#This Row],[ABR_02]],Tabla16[[#This Row],[ZONA2]],,"0",Tabla16[[#This Row],[PARADA2]])</f>
        <v>AR00BA3017</v>
      </c>
      <c r="S51" s="52" t="s">
        <v>354</v>
      </c>
      <c r="T51" s="34" t="s">
        <v>299</v>
      </c>
      <c r="U51" s="34" t="s">
        <v>299</v>
      </c>
      <c r="V51" t="s">
        <v>804</v>
      </c>
    </row>
    <row r="52" spans="1:22" x14ac:dyDescent="0.25">
      <c r="A52" s="48" t="s">
        <v>300</v>
      </c>
      <c r="B52" s="30" t="s">
        <v>608</v>
      </c>
      <c r="C52" s="36" t="s">
        <v>609</v>
      </c>
      <c r="D52" s="31" t="s">
        <v>552</v>
      </c>
      <c r="E52" s="9" t="s">
        <v>58</v>
      </c>
      <c r="F52" s="5" t="s">
        <v>586</v>
      </c>
      <c r="G52" s="9">
        <v>755</v>
      </c>
      <c r="H52" s="32" t="s">
        <v>290</v>
      </c>
      <c r="I52" s="32" t="s">
        <v>554</v>
      </c>
      <c r="J52" s="33" t="s">
        <v>587</v>
      </c>
      <c r="K52" s="33" t="s">
        <v>389</v>
      </c>
      <c r="L52" s="49" t="s">
        <v>294</v>
      </c>
      <c r="M52" s="50" t="str">
        <f>Tabla16[[#This Row],[ABR_02]]</f>
        <v>BA</v>
      </c>
      <c r="N52" t="s">
        <v>295</v>
      </c>
      <c r="O52" s="51" t="s">
        <v>293</v>
      </c>
      <c r="P52" t="s">
        <v>296</v>
      </c>
      <c r="Q52" t="s">
        <v>353</v>
      </c>
      <c r="R52" s="52" t="str">
        <f>_xlfn.CONCAT(Tabla16[[#This Row],[ABR_01]],"00",Tabla16[[#This Row],[ABR_02]],Tabla16[[#This Row],[ZONA2]],,"0",Tabla16[[#This Row],[PARADA2]])</f>
        <v>AR00BA3018</v>
      </c>
      <c r="S52" s="52" t="s">
        <v>354</v>
      </c>
      <c r="T52" s="34" t="s">
        <v>299</v>
      </c>
      <c r="U52" s="34" t="s">
        <v>299</v>
      </c>
      <c r="V52" t="s">
        <v>804</v>
      </c>
    </row>
    <row r="53" spans="1:22" x14ac:dyDescent="0.25">
      <c r="A53" s="48" t="s">
        <v>300</v>
      </c>
      <c r="B53" s="30" t="s">
        <v>172</v>
      </c>
      <c r="C53" s="3" t="s">
        <v>172</v>
      </c>
      <c r="D53" s="31" t="s">
        <v>552</v>
      </c>
      <c r="E53" s="9" t="s">
        <v>58</v>
      </c>
      <c r="F53" s="5" t="s">
        <v>586</v>
      </c>
      <c r="G53" s="9">
        <v>902</v>
      </c>
      <c r="H53" s="32" t="s">
        <v>290</v>
      </c>
      <c r="I53" s="32" t="s">
        <v>554</v>
      </c>
      <c r="J53" s="33" t="s">
        <v>587</v>
      </c>
      <c r="K53" s="33" t="s">
        <v>392</v>
      </c>
      <c r="L53" s="49" t="s">
        <v>294</v>
      </c>
      <c r="M53" s="50" t="str">
        <f>Tabla16[[#This Row],[ABR_02]]</f>
        <v>BA</v>
      </c>
      <c r="N53" t="s">
        <v>295</v>
      </c>
      <c r="O53" s="51" t="s">
        <v>293</v>
      </c>
      <c r="P53" t="s">
        <v>296</v>
      </c>
      <c r="Q53" t="s">
        <v>353</v>
      </c>
      <c r="R53" s="52" t="str">
        <f>_xlfn.CONCAT(Tabla16[[#This Row],[ABR_01]],"00",Tabla16[[#This Row],[ABR_02]],Tabla16[[#This Row],[ZONA2]],,"0",Tabla16[[#This Row],[PARADA2]])</f>
        <v>AR00BA3019</v>
      </c>
      <c r="S53" s="52" t="s">
        <v>354</v>
      </c>
      <c r="T53" s="34" t="s">
        <v>299</v>
      </c>
      <c r="U53" s="34" t="s">
        <v>299</v>
      </c>
      <c r="V53" t="s">
        <v>804</v>
      </c>
    </row>
    <row r="54" spans="1:22" x14ac:dyDescent="0.25">
      <c r="A54" s="48" t="s">
        <v>300</v>
      </c>
      <c r="B54" s="30" t="s">
        <v>610</v>
      </c>
      <c r="C54" s="3" t="s">
        <v>610</v>
      </c>
      <c r="D54" s="31" t="s">
        <v>552</v>
      </c>
      <c r="E54" s="9" t="s">
        <v>58</v>
      </c>
      <c r="F54" s="5" t="s">
        <v>586</v>
      </c>
      <c r="G54" s="9">
        <v>812</v>
      </c>
      <c r="H54" s="32" t="s">
        <v>290</v>
      </c>
      <c r="I54" s="32" t="s">
        <v>554</v>
      </c>
      <c r="J54" s="33" t="s">
        <v>587</v>
      </c>
      <c r="K54" s="33" t="s">
        <v>394</v>
      </c>
      <c r="L54" s="49" t="s">
        <v>294</v>
      </c>
      <c r="M54" s="50" t="str">
        <f>Tabla16[[#This Row],[ABR_02]]</f>
        <v>BA</v>
      </c>
      <c r="N54" t="s">
        <v>295</v>
      </c>
      <c r="O54" s="51" t="s">
        <v>293</v>
      </c>
      <c r="P54" t="s">
        <v>296</v>
      </c>
      <c r="Q54" t="s">
        <v>353</v>
      </c>
      <c r="R54" s="52" t="str">
        <f>_xlfn.CONCAT(Tabla16[[#This Row],[ABR_01]],"00",Tabla16[[#This Row],[ABR_02]],Tabla16[[#This Row],[ZONA2]],,"0",Tabla16[[#This Row],[PARADA2]])</f>
        <v>AR00BA3020</v>
      </c>
      <c r="S54" s="52" t="s">
        <v>354</v>
      </c>
      <c r="T54" s="34" t="s">
        <v>299</v>
      </c>
      <c r="U54" s="34" t="s">
        <v>299</v>
      </c>
      <c r="V54" t="s">
        <v>804</v>
      </c>
    </row>
    <row r="55" spans="1:22" x14ac:dyDescent="0.25">
      <c r="A55" s="48" t="s">
        <v>300</v>
      </c>
      <c r="B55" s="30" t="s">
        <v>611</v>
      </c>
      <c r="C55" s="36" t="s">
        <v>136</v>
      </c>
      <c r="D55" s="31" t="s">
        <v>552</v>
      </c>
      <c r="E55" s="9" t="s">
        <v>58</v>
      </c>
      <c r="F55" s="5" t="s">
        <v>586</v>
      </c>
      <c r="G55" s="9">
        <v>840</v>
      </c>
      <c r="H55" s="32" t="s">
        <v>290</v>
      </c>
      <c r="I55" s="32" t="s">
        <v>554</v>
      </c>
      <c r="J55" s="33" t="s">
        <v>587</v>
      </c>
      <c r="K55" s="33" t="s">
        <v>396</v>
      </c>
      <c r="L55" s="49" t="s">
        <v>294</v>
      </c>
      <c r="M55" s="50" t="str">
        <f>Tabla16[[#This Row],[ABR_02]]</f>
        <v>BA</v>
      </c>
      <c r="N55" t="s">
        <v>295</v>
      </c>
      <c r="O55" s="51" t="s">
        <v>293</v>
      </c>
      <c r="P55" t="s">
        <v>296</v>
      </c>
      <c r="Q55" t="s">
        <v>353</v>
      </c>
      <c r="R55" s="52" t="str">
        <f>_xlfn.CONCAT(Tabla16[[#This Row],[ABR_01]],"00",Tabla16[[#This Row],[ABR_02]],Tabla16[[#This Row],[ZONA2]],,"0",Tabla16[[#This Row],[PARADA2]])</f>
        <v>AR00BA3021</v>
      </c>
      <c r="S55" s="52" t="s">
        <v>354</v>
      </c>
      <c r="T55" s="34" t="s">
        <v>299</v>
      </c>
      <c r="U55" s="34" t="s">
        <v>299</v>
      </c>
      <c r="V55" t="s">
        <v>804</v>
      </c>
    </row>
    <row r="56" spans="1:22" x14ac:dyDescent="0.25">
      <c r="A56" s="48" t="s">
        <v>300</v>
      </c>
      <c r="B56" s="30" t="s">
        <v>180</v>
      </c>
      <c r="C56" s="3" t="s">
        <v>180</v>
      </c>
      <c r="D56" s="31" t="s">
        <v>552</v>
      </c>
      <c r="E56" s="9" t="s">
        <v>58</v>
      </c>
      <c r="F56" s="5" t="s">
        <v>586</v>
      </c>
      <c r="G56" s="9">
        <v>818</v>
      </c>
      <c r="H56" s="32" t="s">
        <v>290</v>
      </c>
      <c r="I56" s="32" t="s">
        <v>554</v>
      </c>
      <c r="J56" s="33" t="s">
        <v>587</v>
      </c>
      <c r="K56" s="33" t="s">
        <v>398</v>
      </c>
      <c r="L56" s="49" t="s">
        <v>294</v>
      </c>
      <c r="M56" s="50" t="str">
        <f>Tabla16[[#This Row],[ABR_02]]</f>
        <v>BA</v>
      </c>
      <c r="N56" t="s">
        <v>295</v>
      </c>
      <c r="O56" s="51" t="s">
        <v>293</v>
      </c>
      <c r="P56" t="s">
        <v>296</v>
      </c>
      <c r="Q56" t="s">
        <v>353</v>
      </c>
      <c r="R56" s="52" t="str">
        <f>_xlfn.CONCAT(Tabla16[[#This Row],[ABR_01]],"00",Tabla16[[#This Row],[ABR_02]],Tabla16[[#This Row],[ZONA2]],,"0",Tabla16[[#This Row],[PARADA2]])</f>
        <v>AR00BA3022</v>
      </c>
      <c r="S56" s="52" t="s">
        <v>354</v>
      </c>
      <c r="T56" s="34" t="s">
        <v>299</v>
      </c>
      <c r="U56" s="34" t="s">
        <v>299</v>
      </c>
      <c r="V56" t="s">
        <v>804</v>
      </c>
    </row>
    <row r="57" spans="1:22" x14ac:dyDescent="0.25">
      <c r="A57" s="48" t="s">
        <v>300</v>
      </c>
      <c r="B57" s="30" t="s">
        <v>612</v>
      </c>
      <c r="C57" s="3" t="s">
        <v>612</v>
      </c>
      <c r="D57" s="31" t="s">
        <v>552</v>
      </c>
      <c r="E57" s="9" t="s">
        <v>58</v>
      </c>
      <c r="F57" s="5" t="s">
        <v>586</v>
      </c>
      <c r="G57" s="9">
        <v>819</v>
      </c>
      <c r="H57" s="32" t="s">
        <v>290</v>
      </c>
      <c r="I57" s="32" t="s">
        <v>554</v>
      </c>
      <c r="J57" s="33" t="s">
        <v>587</v>
      </c>
      <c r="K57" s="33" t="s">
        <v>401</v>
      </c>
      <c r="L57" s="49" t="s">
        <v>294</v>
      </c>
      <c r="M57" s="50" t="str">
        <f>Tabla16[[#This Row],[ABR_02]]</f>
        <v>BA</v>
      </c>
      <c r="N57" t="s">
        <v>295</v>
      </c>
      <c r="O57" s="51" t="s">
        <v>293</v>
      </c>
      <c r="P57" t="s">
        <v>296</v>
      </c>
      <c r="Q57" t="s">
        <v>353</v>
      </c>
      <c r="R57" s="52" t="str">
        <f>_xlfn.CONCAT(Tabla16[[#This Row],[ABR_01]],"00",Tabla16[[#This Row],[ABR_02]],Tabla16[[#This Row],[ZONA2]],,"0",Tabla16[[#This Row],[PARADA2]])</f>
        <v>AR00BA3023</v>
      </c>
      <c r="S57" s="52" t="s">
        <v>354</v>
      </c>
      <c r="T57" s="34" t="s">
        <v>299</v>
      </c>
      <c r="U57" s="34" t="s">
        <v>299</v>
      </c>
      <c r="V57" t="s">
        <v>804</v>
      </c>
    </row>
    <row r="58" spans="1:22" x14ac:dyDescent="0.25">
      <c r="A58" s="48" t="s">
        <v>300</v>
      </c>
      <c r="B58" s="30" t="s">
        <v>613</v>
      </c>
      <c r="C58" s="36" t="s">
        <v>614</v>
      </c>
      <c r="D58" s="31" t="s">
        <v>552</v>
      </c>
      <c r="E58" s="9" t="s">
        <v>27</v>
      </c>
      <c r="F58" s="5">
        <v>342</v>
      </c>
      <c r="G58" s="9">
        <v>775</v>
      </c>
      <c r="H58" s="32" t="s">
        <v>290</v>
      </c>
      <c r="I58" s="32" t="s">
        <v>554</v>
      </c>
      <c r="J58" s="33" t="s">
        <v>587</v>
      </c>
      <c r="K58" s="33" t="s">
        <v>403</v>
      </c>
      <c r="L58" s="49" t="s">
        <v>294</v>
      </c>
      <c r="M58" s="50" t="str">
        <f>Tabla16[[#This Row],[ABR_02]]</f>
        <v>BA</v>
      </c>
      <c r="N58" t="s">
        <v>295</v>
      </c>
      <c r="O58" s="51" t="s">
        <v>293</v>
      </c>
      <c r="P58" t="s">
        <v>296</v>
      </c>
      <c r="Q58" t="s">
        <v>353</v>
      </c>
      <c r="R58" s="52" t="str">
        <f>_xlfn.CONCAT(Tabla16[[#This Row],[ABR_01]],"00",Tabla16[[#This Row],[ABR_02]],Tabla16[[#This Row],[ZONA2]],,"0",Tabla16[[#This Row],[PARADA2]])</f>
        <v>AR00BA3024</v>
      </c>
      <c r="S58" s="52" t="s">
        <v>354</v>
      </c>
      <c r="T58" s="34" t="s">
        <v>299</v>
      </c>
      <c r="U58" s="34" t="s">
        <v>299</v>
      </c>
      <c r="V58" t="s">
        <v>804</v>
      </c>
    </row>
    <row r="59" spans="1:22" x14ac:dyDescent="0.25">
      <c r="A59" s="48" t="s">
        <v>300</v>
      </c>
      <c r="B59" s="36" t="s">
        <v>615</v>
      </c>
      <c r="C59" s="36" t="s">
        <v>615</v>
      </c>
      <c r="D59" s="31" t="s">
        <v>552</v>
      </c>
      <c r="E59" s="9" t="s">
        <v>58</v>
      </c>
      <c r="F59" s="5" t="s">
        <v>586</v>
      </c>
      <c r="G59" s="9" t="s">
        <v>616</v>
      </c>
      <c r="H59" s="32" t="s">
        <v>290</v>
      </c>
      <c r="I59" s="32" t="s">
        <v>554</v>
      </c>
      <c r="J59" s="33" t="s">
        <v>587</v>
      </c>
      <c r="K59" s="33" t="s">
        <v>405</v>
      </c>
      <c r="L59" s="49" t="s">
        <v>294</v>
      </c>
      <c r="M59" s="50" t="str">
        <f>Tabla16[[#This Row],[ABR_02]]</f>
        <v>BA</v>
      </c>
      <c r="N59" t="s">
        <v>295</v>
      </c>
      <c r="O59" s="51" t="s">
        <v>293</v>
      </c>
      <c r="P59" t="s">
        <v>296</v>
      </c>
      <c r="Q59" t="s">
        <v>353</v>
      </c>
      <c r="R59" s="52" t="str">
        <f>_xlfn.CONCAT(Tabla16[[#This Row],[ABR_01]],"00",Tabla16[[#This Row],[ABR_02]],Tabla16[[#This Row],[ZONA2]],,"0",Tabla16[[#This Row],[PARADA2]])</f>
        <v>AR00BA3025</v>
      </c>
      <c r="S59" s="52" t="s">
        <v>354</v>
      </c>
      <c r="T59" s="34" t="s">
        <v>299</v>
      </c>
      <c r="U59" s="34" t="s">
        <v>299</v>
      </c>
      <c r="V59" t="s">
        <v>804</v>
      </c>
    </row>
    <row r="60" spans="1:22" x14ac:dyDescent="0.25">
      <c r="A60" s="48" t="s">
        <v>300</v>
      </c>
      <c r="B60" s="30" t="s">
        <v>563</v>
      </c>
      <c r="C60" s="3" t="s">
        <v>564</v>
      </c>
      <c r="D60" s="31" t="s">
        <v>552</v>
      </c>
      <c r="E60" s="9" t="s">
        <v>71</v>
      </c>
      <c r="F60" s="5" t="s">
        <v>565</v>
      </c>
      <c r="G60" s="9">
        <v>885</v>
      </c>
      <c r="H60" s="32" t="s">
        <v>290</v>
      </c>
      <c r="I60" s="32" t="s">
        <v>554</v>
      </c>
      <c r="J60" s="33" t="s">
        <v>566</v>
      </c>
      <c r="K60" s="33" t="s">
        <v>293</v>
      </c>
      <c r="L60" s="49" t="s">
        <v>294</v>
      </c>
      <c r="M60" s="50" t="str">
        <f>Tabla16[[#This Row],[ABR_02]]</f>
        <v>BA</v>
      </c>
      <c r="N60" t="s">
        <v>295</v>
      </c>
      <c r="O60" s="51" t="s">
        <v>309</v>
      </c>
      <c r="P60" t="s">
        <v>625</v>
      </c>
      <c r="Q60" t="s">
        <v>295</v>
      </c>
      <c r="R60" s="52" t="str">
        <f>_xlfn.CONCAT(Tabla16[[#This Row],[ABR_01]],"00",Tabla16[[#This Row],[ABR_02]],Tabla16[[#This Row],[ZONA2]],,"0",Tabla16[[#This Row],[PARADA2]])</f>
        <v>AR00BA2001</v>
      </c>
      <c r="S60" s="52" t="s">
        <v>555</v>
      </c>
      <c r="T60" s="34" t="s">
        <v>299</v>
      </c>
      <c r="U60" s="45" t="s">
        <v>299</v>
      </c>
      <c r="V60" t="s">
        <v>805</v>
      </c>
    </row>
    <row r="61" spans="1:22" x14ac:dyDescent="0.25">
      <c r="A61" s="48" t="s">
        <v>300</v>
      </c>
      <c r="B61" s="30" t="s">
        <v>567</v>
      </c>
      <c r="C61" s="3" t="s">
        <v>568</v>
      </c>
      <c r="D61" s="31" t="s">
        <v>552</v>
      </c>
      <c r="E61" s="9" t="s">
        <v>71</v>
      </c>
      <c r="F61" s="5" t="s">
        <v>565</v>
      </c>
      <c r="G61" s="9">
        <v>856</v>
      </c>
      <c r="H61" s="32" t="s">
        <v>290</v>
      </c>
      <c r="I61" s="32" t="s">
        <v>554</v>
      </c>
      <c r="J61" s="33" t="s">
        <v>566</v>
      </c>
      <c r="K61" s="33" t="s">
        <v>306</v>
      </c>
      <c r="L61" s="49" t="s">
        <v>294</v>
      </c>
      <c r="M61" s="50" t="str">
        <f>Tabla16[[#This Row],[ABR_02]]</f>
        <v>BA</v>
      </c>
      <c r="N61" t="s">
        <v>295</v>
      </c>
      <c r="O61" s="51" t="s">
        <v>309</v>
      </c>
      <c r="P61" t="s">
        <v>625</v>
      </c>
      <c r="Q61" t="s">
        <v>295</v>
      </c>
      <c r="R61" s="52" t="str">
        <f>_xlfn.CONCAT(Tabla16[[#This Row],[ABR_01]],"00",Tabla16[[#This Row],[ABR_02]],Tabla16[[#This Row],[ZONA2]],,"0",Tabla16[[#This Row],[PARADA2]])</f>
        <v>AR00BA2002</v>
      </c>
      <c r="S61" s="52" t="s">
        <v>555</v>
      </c>
      <c r="T61" s="34" t="s">
        <v>299</v>
      </c>
      <c r="U61" s="45" t="s">
        <v>299</v>
      </c>
      <c r="V61" t="s">
        <v>805</v>
      </c>
    </row>
    <row r="62" spans="1:22" x14ac:dyDescent="0.25">
      <c r="A62" s="48" t="s">
        <v>300</v>
      </c>
      <c r="B62" s="30" t="s">
        <v>569</v>
      </c>
      <c r="C62" s="36" t="s">
        <v>183</v>
      </c>
      <c r="D62" s="31" t="s">
        <v>552</v>
      </c>
      <c r="E62" s="9" t="s">
        <v>71</v>
      </c>
      <c r="F62" s="5" t="s">
        <v>565</v>
      </c>
      <c r="G62" s="9">
        <v>823</v>
      </c>
      <c r="H62" s="32" t="s">
        <v>290</v>
      </c>
      <c r="I62" s="32" t="s">
        <v>554</v>
      </c>
      <c r="J62" s="33" t="s">
        <v>566</v>
      </c>
      <c r="K62" s="33" t="s">
        <v>307</v>
      </c>
      <c r="L62" s="49" t="s">
        <v>294</v>
      </c>
      <c r="M62" s="50" t="str">
        <f>Tabla16[[#This Row],[ABR_02]]</f>
        <v>BA</v>
      </c>
      <c r="N62" t="s">
        <v>295</v>
      </c>
      <c r="O62" s="51" t="s">
        <v>309</v>
      </c>
      <c r="P62" t="s">
        <v>625</v>
      </c>
      <c r="Q62" t="s">
        <v>295</v>
      </c>
      <c r="R62" s="52" t="str">
        <f>_xlfn.CONCAT(Tabla16[[#This Row],[ABR_01]],"00",Tabla16[[#This Row],[ABR_02]],Tabla16[[#This Row],[ZONA2]],,"0",Tabla16[[#This Row],[PARADA2]])</f>
        <v>AR00BA2003</v>
      </c>
      <c r="S62" s="52" t="s">
        <v>555</v>
      </c>
      <c r="T62" s="34" t="s">
        <v>299</v>
      </c>
      <c r="U62" s="45" t="s">
        <v>299</v>
      </c>
      <c r="V62" t="s">
        <v>805</v>
      </c>
    </row>
    <row r="63" spans="1:22" x14ac:dyDescent="0.25">
      <c r="A63" s="48" t="s">
        <v>300</v>
      </c>
      <c r="B63" s="30" t="s">
        <v>570</v>
      </c>
      <c r="C63" s="36" t="s">
        <v>185</v>
      </c>
      <c r="D63" s="31" t="s">
        <v>552</v>
      </c>
      <c r="E63" s="9" t="s">
        <v>71</v>
      </c>
      <c r="F63" s="5" t="s">
        <v>565</v>
      </c>
      <c r="G63" s="9">
        <v>870</v>
      </c>
      <c r="H63" s="32" t="s">
        <v>290</v>
      </c>
      <c r="I63" s="32" t="s">
        <v>554</v>
      </c>
      <c r="J63" s="33" t="s">
        <v>566</v>
      </c>
      <c r="K63" s="33" t="s">
        <v>309</v>
      </c>
      <c r="L63" s="49" t="s">
        <v>294</v>
      </c>
      <c r="M63" s="50" t="str">
        <f>Tabla16[[#This Row],[ABR_02]]</f>
        <v>BA</v>
      </c>
      <c r="N63" t="s">
        <v>295</v>
      </c>
      <c r="O63" s="51" t="s">
        <v>309</v>
      </c>
      <c r="P63" t="s">
        <v>625</v>
      </c>
      <c r="Q63" t="s">
        <v>295</v>
      </c>
      <c r="R63" s="52" t="str">
        <f>_xlfn.CONCAT(Tabla16[[#This Row],[ABR_01]],"00",Tabla16[[#This Row],[ABR_02]],Tabla16[[#This Row],[ZONA2]],,"0",Tabla16[[#This Row],[PARADA2]])</f>
        <v>AR00BA2004</v>
      </c>
      <c r="S63" s="52" t="s">
        <v>555</v>
      </c>
      <c r="T63" s="34" t="s">
        <v>299</v>
      </c>
      <c r="U63" s="45" t="s">
        <v>299</v>
      </c>
      <c r="V63" t="s">
        <v>805</v>
      </c>
    </row>
    <row r="64" spans="1:22" x14ac:dyDescent="0.25">
      <c r="A64" s="48" t="s">
        <v>300</v>
      </c>
      <c r="B64" s="30" t="s">
        <v>571</v>
      </c>
      <c r="C64" s="3" t="s">
        <v>572</v>
      </c>
      <c r="D64" s="31" t="s">
        <v>552</v>
      </c>
      <c r="E64" s="9" t="s">
        <v>71</v>
      </c>
      <c r="F64" s="5" t="s">
        <v>565</v>
      </c>
      <c r="G64" s="9">
        <v>880</v>
      </c>
      <c r="H64" s="32" t="s">
        <v>290</v>
      </c>
      <c r="I64" s="32" t="s">
        <v>554</v>
      </c>
      <c r="J64" s="33" t="s">
        <v>566</v>
      </c>
      <c r="K64" s="33" t="s">
        <v>319</v>
      </c>
      <c r="L64" s="49" t="s">
        <v>294</v>
      </c>
      <c r="M64" s="50" t="str">
        <f>Tabla16[[#This Row],[ABR_02]]</f>
        <v>BA</v>
      </c>
      <c r="N64" t="s">
        <v>295</v>
      </c>
      <c r="O64" s="51" t="s">
        <v>309</v>
      </c>
      <c r="P64" t="s">
        <v>625</v>
      </c>
      <c r="Q64" t="s">
        <v>295</v>
      </c>
      <c r="R64" s="52" t="str">
        <f>_xlfn.CONCAT(Tabla16[[#This Row],[ABR_01]],"00",Tabla16[[#This Row],[ABR_02]],Tabla16[[#This Row],[ZONA2]],,"0",Tabla16[[#This Row],[PARADA2]])</f>
        <v>AR00BA2005</v>
      </c>
      <c r="S64" s="52" t="s">
        <v>555</v>
      </c>
      <c r="T64" s="34" t="s">
        <v>299</v>
      </c>
      <c r="U64" s="45" t="s">
        <v>299</v>
      </c>
      <c r="V64" t="s">
        <v>805</v>
      </c>
    </row>
    <row r="65" spans="1:22" x14ac:dyDescent="0.25">
      <c r="A65" s="48" t="s">
        <v>300</v>
      </c>
      <c r="B65" s="30" t="s">
        <v>573</v>
      </c>
      <c r="C65" s="36" t="s">
        <v>230</v>
      </c>
      <c r="D65" s="31" t="s">
        <v>552</v>
      </c>
      <c r="E65" s="9" t="s">
        <v>71</v>
      </c>
      <c r="F65" s="5" t="s">
        <v>565</v>
      </c>
      <c r="G65" s="9">
        <v>890</v>
      </c>
      <c r="H65" s="32" t="s">
        <v>290</v>
      </c>
      <c r="I65" s="32" t="s">
        <v>554</v>
      </c>
      <c r="J65" s="33" t="s">
        <v>566</v>
      </c>
      <c r="K65" s="33" t="s">
        <v>320</v>
      </c>
      <c r="L65" s="49" t="s">
        <v>294</v>
      </c>
      <c r="M65" s="50" t="str">
        <f>Tabla16[[#This Row],[ABR_02]]</f>
        <v>BA</v>
      </c>
      <c r="N65" t="s">
        <v>295</v>
      </c>
      <c r="O65" s="51" t="s">
        <v>309</v>
      </c>
      <c r="P65" t="s">
        <v>625</v>
      </c>
      <c r="Q65" t="s">
        <v>295</v>
      </c>
      <c r="R65" s="52" t="str">
        <f>_xlfn.CONCAT(Tabla16[[#This Row],[ABR_01]],"00",Tabla16[[#This Row],[ABR_02]],Tabla16[[#This Row],[ZONA2]],,"0",Tabla16[[#This Row],[PARADA2]])</f>
        <v>AR00BA2006</v>
      </c>
      <c r="S65" s="52" t="s">
        <v>555</v>
      </c>
      <c r="T65" s="34" t="s">
        <v>299</v>
      </c>
      <c r="U65" s="45" t="s">
        <v>299</v>
      </c>
      <c r="V65" t="s">
        <v>805</v>
      </c>
    </row>
    <row r="66" spans="1:22" x14ac:dyDescent="0.25">
      <c r="A66" s="48" t="s">
        <v>300</v>
      </c>
      <c r="B66" s="30" t="s">
        <v>574</v>
      </c>
      <c r="C66" s="36" t="s">
        <v>575</v>
      </c>
      <c r="D66" s="31" t="s">
        <v>552</v>
      </c>
      <c r="E66" s="9" t="s">
        <v>71</v>
      </c>
      <c r="F66" s="5" t="s">
        <v>565</v>
      </c>
      <c r="G66" s="9">
        <v>860</v>
      </c>
      <c r="H66" s="32" t="s">
        <v>290</v>
      </c>
      <c r="I66" s="32" t="s">
        <v>554</v>
      </c>
      <c r="J66" s="33" t="s">
        <v>566</v>
      </c>
      <c r="K66" s="33" t="s">
        <v>322</v>
      </c>
      <c r="L66" s="49" t="s">
        <v>294</v>
      </c>
      <c r="M66" s="50" t="str">
        <f>Tabla16[[#This Row],[ABR_02]]</f>
        <v>BA</v>
      </c>
      <c r="N66" t="s">
        <v>295</v>
      </c>
      <c r="O66" s="51" t="s">
        <v>309</v>
      </c>
      <c r="P66" t="s">
        <v>625</v>
      </c>
      <c r="Q66" t="s">
        <v>295</v>
      </c>
      <c r="R66" s="52" t="str">
        <f>_xlfn.CONCAT(Tabla16[[#This Row],[ABR_01]],"00",Tabla16[[#This Row],[ABR_02]],Tabla16[[#This Row],[ZONA2]],,"0",Tabla16[[#This Row],[PARADA2]])</f>
        <v>AR00BA2007</v>
      </c>
      <c r="S66" s="52" t="s">
        <v>555</v>
      </c>
      <c r="T66" s="34" t="s">
        <v>299</v>
      </c>
      <c r="U66" s="45" t="s">
        <v>299</v>
      </c>
      <c r="V66" t="s">
        <v>805</v>
      </c>
    </row>
    <row r="67" spans="1:22" x14ac:dyDescent="0.25">
      <c r="A67" s="48" t="s">
        <v>300</v>
      </c>
      <c r="B67" s="30" t="s">
        <v>576</v>
      </c>
      <c r="C67" s="3" t="s">
        <v>577</v>
      </c>
      <c r="D67" s="31" t="s">
        <v>552</v>
      </c>
      <c r="E67" s="9" t="s">
        <v>71</v>
      </c>
      <c r="F67" s="5" t="s">
        <v>565</v>
      </c>
      <c r="G67" s="9">
        <v>854</v>
      </c>
      <c r="H67" s="32" t="s">
        <v>290</v>
      </c>
      <c r="I67" s="32" t="s">
        <v>554</v>
      </c>
      <c r="J67" s="33" t="s">
        <v>566</v>
      </c>
      <c r="K67" s="33" t="s">
        <v>324</v>
      </c>
      <c r="L67" s="49" t="s">
        <v>294</v>
      </c>
      <c r="M67" s="50" t="str">
        <f>Tabla16[[#This Row],[ABR_02]]</f>
        <v>BA</v>
      </c>
      <c r="N67" t="s">
        <v>295</v>
      </c>
      <c r="O67" s="51" t="s">
        <v>309</v>
      </c>
      <c r="P67" t="s">
        <v>625</v>
      </c>
      <c r="Q67" t="s">
        <v>295</v>
      </c>
      <c r="R67" s="52" t="str">
        <f>_xlfn.CONCAT(Tabla16[[#This Row],[ABR_01]],"00",Tabla16[[#This Row],[ABR_02]],Tabla16[[#This Row],[ZONA2]],,"0",Tabla16[[#This Row],[PARADA2]])</f>
        <v>AR00BA2008</v>
      </c>
      <c r="S67" s="52" t="s">
        <v>555</v>
      </c>
      <c r="T67" s="34" t="s">
        <v>299</v>
      </c>
      <c r="U67" s="45" t="s">
        <v>299</v>
      </c>
      <c r="V67" t="s">
        <v>805</v>
      </c>
    </row>
    <row r="68" spans="1:22" x14ac:dyDescent="0.25">
      <c r="A68" s="48" t="s">
        <v>300</v>
      </c>
      <c r="B68" s="30" t="s">
        <v>578</v>
      </c>
      <c r="C68" s="3" t="s">
        <v>579</v>
      </c>
      <c r="D68" s="31" t="s">
        <v>552</v>
      </c>
      <c r="E68" s="9" t="s">
        <v>71</v>
      </c>
      <c r="F68" s="5" t="s">
        <v>565</v>
      </c>
      <c r="G68" s="9">
        <v>852</v>
      </c>
      <c r="H68" s="32" t="s">
        <v>290</v>
      </c>
      <c r="I68" s="32" t="s">
        <v>554</v>
      </c>
      <c r="J68" s="33" t="s">
        <v>566</v>
      </c>
      <c r="K68" s="33" t="s">
        <v>368</v>
      </c>
      <c r="L68" s="49" t="s">
        <v>294</v>
      </c>
      <c r="M68" s="50" t="str">
        <f>Tabla16[[#This Row],[ABR_02]]</f>
        <v>BA</v>
      </c>
      <c r="N68" t="s">
        <v>295</v>
      </c>
      <c r="O68" s="51" t="s">
        <v>309</v>
      </c>
      <c r="P68" t="s">
        <v>625</v>
      </c>
      <c r="Q68" t="s">
        <v>295</v>
      </c>
      <c r="R68" s="52" t="str">
        <f>_xlfn.CONCAT(Tabla16[[#This Row],[ABR_01]],"00",Tabla16[[#This Row],[ABR_02]],Tabla16[[#This Row],[ZONA2]],,"0",Tabla16[[#This Row],[PARADA2]])</f>
        <v>AR00BA2009</v>
      </c>
      <c r="S68" s="52" t="s">
        <v>555</v>
      </c>
      <c r="T68" s="34" t="s">
        <v>299</v>
      </c>
      <c r="U68" s="45" t="s">
        <v>299</v>
      </c>
      <c r="V68" t="s">
        <v>805</v>
      </c>
    </row>
    <row r="69" spans="1:22" x14ac:dyDescent="0.25">
      <c r="A69" s="48" t="s">
        <v>300</v>
      </c>
      <c r="B69" s="30" t="s">
        <v>580</v>
      </c>
      <c r="C69" s="3" t="s">
        <v>581</v>
      </c>
      <c r="D69" s="31" t="s">
        <v>552</v>
      </c>
      <c r="E69" s="9" t="s">
        <v>71</v>
      </c>
      <c r="F69" s="5" t="s">
        <v>565</v>
      </c>
      <c r="G69" s="9">
        <v>858</v>
      </c>
      <c r="H69" s="32" t="s">
        <v>290</v>
      </c>
      <c r="I69" s="32" t="s">
        <v>554</v>
      </c>
      <c r="J69" s="33" t="s">
        <v>566</v>
      </c>
      <c r="K69" s="33" t="s">
        <v>370</v>
      </c>
      <c r="L69" s="49" t="s">
        <v>294</v>
      </c>
      <c r="M69" s="50" t="str">
        <f>Tabla16[[#This Row],[ABR_02]]</f>
        <v>BA</v>
      </c>
      <c r="N69" t="s">
        <v>295</v>
      </c>
      <c r="O69" s="51" t="s">
        <v>309</v>
      </c>
      <c r="P69" t="s">
        <v>625</v>
      </c>
      <c r="Q69" t="s">
        <v>295</v>
      </c>
      <c r="R69" s="52" t="str">
        <f>_xlfn.CONCAT(Tabla16[[#This Row],[ABR_01]],"00",Tabla16[[#This Row],[ABR_02]],Tabla16[[#This Row],[ZONA2]],,"0",Tabla16[[#This Row],[PARADA2]])</f>
        <v>AR00BA2010</v>
      </c>
      <c r="S69" s="52" t="s">
        <v>555</v>
      </c>
      <c r="T69" s="34" t="s">
        <v>299</v>
      </c>
      <c r="U69" s="45" t="s">
        <v>299</v>
      </c>
      <c r="V69" t="s">
        <v>805</v>
      </c>
    </row>
    <row r="70" spans="1:22" x14ac:dyDescent="0.25">
      <c r="A70" s="48" t="s">
        <v>300</v>
      </c>
      <c r="B70" s="30" t="s">
        <v>582</v>
      </c>
      <c r="C70" s="3" t="s">
        <v>21</v>
      </c>
      <c r="D70" s="31" t="s">
        <v>552</v>
      </c>
      <c r="E70" s="9" t="s">
        <v>20</v>
      </c>
      <c r="F70" s="5">
        <v>283</v>
      </c>
      <c r="G70" s="9">
        <v>900</v>
      </c>
      <c r="H70" s="32" t="s">
        <v>290</v>
      </c>
      <c r="I70" s="32" t="s">
        <v>554</v>
      </c>
      <c r="J70" s="33" t="s">
        <v>583</v>
      </c>
      <c r="K70" s="33" t="s">
        <v>293</v>
      </c>
      <c r="L70" s="49" t="s">
        <v>294</v>
      </c>
      <c r="M70" s="50" t="str">
        <f>Tabla16[[#This Row],[ABR_02]]</f>
        <v>BA</v>
      </c>
      <c r="N70" t="s">
        <v>295</v>
      </c>
      <c r="O70" s="51" t="s">
        <v>309</v>
      </c>
      <c r="P70" t="s">
        <v>625</v>
      </c>
      <c r="Q70" t="s">
        <v>295</v>
      </c>
      <c r="R70" s="52" t="str">
        <f>_xlfn.CONCAT(Tabla16[[#This Row],[ABR_01]],"00",Tabla16[[#This Row],[ABR_02]],Tabla16[[#This Row],[ZONA2]],,"0",Tabla16[[#This Row],[PARADA2]])</f>
        <v>AR00BA4001</v>
      </c>
      <c r="S70" s="52" t="s">
        <v>555</v>
      </c>
      <c r="T70" s="34" t="s">
        <v>299</v>
      </c>
      <c r="U70" s="45" t="s">
        <v>299</v>
      </c>
      <c r="V70" t="s">
        <v>805</v>
      </c>
    </row>
    <row r="71" spans="1:22" x14ac:dyDescent="0.25">
      <c r="A71" s="48" t="s">
        <v>300</v>
      </c>
      <c r="B71" s="30" t="s">
        <v>584</v>
      </c>
      <c r="C71" s="36" t="s">
        <v>585</v>
      </c>
      <c r="D71" s="31" t="s">
        <v>552</v>
      </c>
      <c r="E71" s="9" t="s">
        <v>58</v>
      </c>
      <c r="F71" s="5" t="s">
        <v>586</v>
      </c>
      <c r="G71" s="9">
        <v>825</v>
      </c>
      <c r="H71" s="32" t="s">
        <v>290</v>
      </c>
      <c r="I71" s="32" t="s">
        <v>554</v>
      </c>
      <c r="J71" s="33" t="s">
        <v>587</v>
      </c>
      <c r="K71" s="33" t="s">
        <v>293</v>
      </c>
      <c r="L71" s="49" t="s">
        <v>294</v>
      </c>
      <c r="M71" s="50" t="str">
        <f>Tabla16[[#This Row],[ABR_02]]</f>
        <v>BA</v>
      </c>
      <c r="N71" t="s">
        <v>295</v>
      </c>
      <c r="O71" s="51" t="s">
        <v>309</v>
      </c>
      <c r="P71" t="s">
        <v>625</v>
      </c>
      <c r="Q71" t="s">
        <v>295</v>
      </c>
      <c r="R71" s="52" t="str">
        <f>_xlfn.CONCAT(Tabla16[[#This Row],[ABR_01]],"00",Tabla16[[#This Row],[ABR_02]],Tabla16[[#This Row],[ZONA2]],,"0",Tabla16[[#This Row],[PARADA2]])</f>
        <v>AR00BA3001</v>
      </c>
      <c r="S71" s="52" t="s">
        <v>555</v>
      </c>
      <c r="T71" s="34" t="s">
        <v>299</v>
      </c>
      <c r="U71" s="45" t="s">
        <v>299</v>
      </c>
      <c r="V71" t="s">
        <v>805</v>
      </c>
    </row>
    <row r="72" spans="1:22" x14ac:dyDescent="0.25">
      <c r="A72" s="48" t="s">
        <v>300</v>
      </c>
      <c r="B72" s="30" t="s">
        <v>588</v>
      </c>
      <c r="C72" s="3" t="s">
        <v>588</v>
      </c>
      <c r="D72" s="31" t="s">
        <v>552</v>
      </c>
      <c r="E72" s="9" t="s">
        <v>58</v>
      </c>
      <c r="F72" s="5" t="s">
        <v>586</v>
      </c>
      <c r="G72" s="9">
        <v>810</v>
      </c>
      <c r="H72" s="32" t="s">
        <v>290</v>
      </c>
      <c r="I72" s="32" t="s">
        <v>554</v>
      </c>
      <c r="J72" s="33" t="s">
        <v>587</v>
      </c>
      <c r="K72" s="33" t="s">
        <v>306</v>
      </c>
      <c r="L72" s="49" t="s">
        <v>294</v>
      </c>
      <c r="M72" s="50" t="str">
        <f>Tabla16[[#This Row],[ABR_02]]</f>
        <v>BA</v>
      </c>
      <c r="N72" t="s">
        <v>295</v>
      </c>
      <c r="O72" s="51" t="s">
        <v>309</v>
      </c>
      <c r="P72" t="s">
        <v>625</v>
      </c>
      <c r="Q72" t="s">
        <v>295</v>
      </c>
      <c r="R72" s="52" t="str">
        <f>_xlfn.CONCAT(Tabla16[[#This Row],[ABR_01]],"00",Tabla16[[#This Row],[ABR_02]],Tabla16[[#This Row],[ZONA2]],,"0",Tabla16[[#This Row],[PARADA2]])</f>
        <v>AR00BA3002</v>
      </c>
      <c r="S72" s="52" t="s">
        <v>555</v>
      </c>
      <c r="T72" s="34" t="s">
        <v>299</v>
      </c>
      <c r="U72" s="45" t="s">
        <v>299</v>
      </c>
      <c r="V72" t="s">
        <v>805</v>
      </c>
    </row>
    <row r="73" spans="1:22" x14ac:dyDescent="0.25">
      <c r="A73" s="48" t="s">
        <v>300</v>
      </c>
      <c r="B73" s="30" t="s">
        <v>589</v>
      </c>
      <c r="C73" s="36" t="s">
        <v>590</v>
      </c>
      <c r="D73" s="31" t="s">
        <v>552</v>
      </c>
      <c r="E73" s="9" t="s">
        <v>58</v>
      </c>
      <c r="F73" s="5" t="s">
        <v>586</v>
      </c>
      <c r="G73" s="9">
        <v>814</v>
      </c>
      <c r="H73" s="32" t="s">
        <v>290</v>
      </c>
      <c r="I73" s="32" t="s">
        <v>554</v>
      </c>
      <c r="J73" s="33" t="s">
        <v>587</v>
      </c>
      <c r="K73" s="33" t="s">
        <v>307</v>
      </c>
      <c r="L73" s="49" t="s">
        <v>294</v>
      </c>
      <c r="M73" s="50" t="str">
        <f>Tabla16[[#This Row],[ABR_02]]</f>
        <v>BA</v>
      </c>
      <c r="N73" t="s">
        <v>295</v>
      </c>
      <c r="O73" s="51" t="s">
        <v>309</v>
      </c>
      <c r="P73" t="s">
        <v>625</v>
      </c>
      <c r="Q73" t="s">
        <v>295</v>
      </c>
      <c r="R73" s="52" t="str">
        <f>_xlfn.CONCAT(Tabla16[[#This Row],[ABR_01]],"00",Tabla16[[#This Row],[ABR_02]],Tabla16[[#This Row],[ZONA2]],,"0",Tabla16[[#This Row],[PARADA2]])</f>
        <v>AR00BA3003</v>
      </c>
      <c r="S73" s="52" t="s">
        <v>555</v>
      </c>
      <c r="T73" s="34" t="s">
        <v>299</v>
      </c>
      <c r="U73" s="45" t="s">
        <v>299</v>
      </c>
      <c r="V73" t="s">
        <v>805</v>
      </c>
    </row>
    <row r="74" spans="1:22" x14ac:dyDescent="0.25">
      <c r="A74" s="48" t="s">
        <v>300</v>
      </c>
      <c r="B74" s="30" t="s">
        <v>591</v>
      </c>
      <c r="C74" s="36" t="s">
        <v>222</v>
      </c>
      <c r="D74" s="31" t="s">
        <v>552</v>
      </c>
      <c r="E74" s="9" t="s">
        <v>58</v>
      </c>
      <c r="F74" s="5" t="s">
        <v>586</v>
      </c>
      <c r="G74" s="9">
        <v>809</v>
      </c>
      <c r="H74" s="32" t="s">
        <v>290</v>
      </c>
      <c r="I74" s="32" t="s">
        <v>554</v>
      </c>
      <c r="J74" s="33" t="s">
        <v>587</v>
      </c>
      <c r="K74" s="33" t="s">
        <v>309</v>
      </c>
      <c r="L74" s="49" t="s">
        <v>294</v>
      </c>
      <c r="M74" s="50" t="str">
        <f>Tabla16[[#This Row],[ABR_02]]</f>
        <v>BA</v>
      </c>
      <c r="N74" t="s">
        <v>295</v>
      </c>
      <c r="O74" s="51" t="s">
        <v>309</v>
      </c>
      <c r="P74" t="s">
        <v>625</v>
      </c>
      <c r="Q74" t="s">
        <v>295</v>
      </c>
      <c r="R74" s="52" t="str">
        <f>_xlfn.CONCAT(Tabla16[[#This Row],[ABR_01]],"00",Tabla16[[#This Row],[ABR_02]],Tabla16[[#This Row],[ZONA2]],,"0",Tabla16[[#This Row],[PARADA2]])</f>
        <v>AR00BA3004</v>
      </c>
      <c r="S74" s="52" t="s">
        <v>555</v>
      </c>
      <c r="T74" s="34" t="s">
        <v>299</v>
      </c>
      <c r="U74" s="45" t="s">
        <v>299</v>
      </c>
      <c r="V74" t="s">
        <v>805</v>
      </c>
    </row>
    <row r="75" spans="1:22" x14ac:dyDescent="0.25">
      <c r="A75" s="48" t="s">
        <v>300</v>
      </c>
      <c r="B75" s="30" t="s">
        <v>592</v>
      </c>
      <c r="C75" s="36" t="s">
        <v>186</v>
      </c>
      <c r="D75" s="31" t="s">
        <v>552</v>
      </c>
      <c r="E75" s="9" t="s">
        <v>58</v>
      </c>
      <c r="F75" s="5" t="s">
        <v>586</v>
      </c>
      <c r="G75" s="9">
        <v>862</v>
      </c>
      <c r="H75" s="32" t="s">
        <v>290</v>
      </c>
      <c r="I75" s="32" t="s">
        <v>554</v>
      </c>
      <c r="J75" s="33" t="s">
        <v>587</v>
      </c>
      <c r="K75" s="33" t="s">
        <v>319</v>
      </c>
      <c r="L75" s="49" t="s">
        <v>294</v>
      </c>
      <c r="M75" s="50" t="str">
        <f>Tabla16[[#This Row],[ABR_02]]</f>
        <v>BA</v>
      </c>
      <c r="N75" t="s">
        <v>295</v>
      </c>
      <c r="O75" s="51" t="s">
        <v>309</v>
      </c>
      <c r="P75" t="s">
        <v>625</v>
      </c>
      <c r="Q75" t="s">
        <v>295</v>
      </c>
      <c r="R75" s="52" t="str">
        <f>_xlfn.CONCAT(Tabla16[[#This Row],[ABR_01]],"00",Tabla16[[#This Row],[ABR_02]],Tabla16[[#This Row],[ZONA2]],,"0",Tabla16[[#This Row],[PARADA2]])</f>
        <v>AR00BA3005</v>
      </c>
      <c r="S75" s="52" t="s">
        <v>555</v>
      </c>
      <c r="T75" s="34" t="s">
        <v>299</v>
      </c>
      <c r="U75" s="45" t="s">
        <v>299</v>
      </c>
      <c r="V75" t="s">
        <v>805</v>
      </c>
    </row>
    <row r="76" spans="1:22" x14ac:dyDescent="0.25">
      <c r="A76" s="48" t="s">
        <v>300</v>
      </c>
      <c r="B76" s="30" t="s">
        <v>593</v>
      </c>
      <c r="C76" s="36" t="s">
        <v>224</v>
      </c>
      <c r="D76" s="31" t="s">
        <v>552</v>
      </c>
      <c r="E76" s="9" t="s">
        <v>58</v>
      </c>
      <c r="F76" s="5" t="s">
        <v>586</v>
      </c>
      <c r="G76" s="9">
        <v>811</v>
      </c>
      <c r="H76" s="32" t="s">
        <v>290</v>
      </c>
      <c r="I76" s="32" t="s">
        <v>554</v>
      </c>
      <c r="J76" s="33" t="s">
        <v>587</v>
      </c>
      <c r="K76" s="33" t="s">
        <v>320</v>
      </c>
      <c r="L76" s="49" t="s">
        <v>294</v>
      </c>
      <c r="M76" s="50" t="str">
        <f>Tabla16[[#This Row],[ABR_02]]</f>
        <v>BA</v>
      </c>
      <c r="N76" t="s">
        <v>295</v>
      </c>
      <c r="O76" s="51" t="s">
        <v>309</v>
      </c>
      <c r="P76" t="s">
        <v>625</v>
      </c>
      <c r="Q76" t="s">
        <v>295</v>
      </c>
      <c r="R76" s="52" t="str">
        <f>_xlfn.CONCAT(Tabla16[[#This Row],[ABR_01]],"00",Tabla16[[#This Row],[ABR_02]],Tabla16[[#This Row],[ZONA2]],,"0",Tabla16[[#This Row],[PARADA2]])</f>
        <v>AR00BA3006</v>
      </c>
      <c r="S76" s="52" t="s">
        <v>555</v>
      </c>
      <c r="T76" s="34" t="s">
        <v>299</v>
      </c>
      <c r="U76" s="45" t="s">
        <v>299</v>
      </c>
      <c r="V76" t="s">
        <v>805</v>
      </c>
    </row>
    <row r="77" spans="1:22" x14ac:dyDescent="0.25">
      <c r="A77" s="48" t="s">
        <v>300</v>
      </c>
      <c r="B77" s="30" t="s">
        <v>594</v>
      </c>
      <c r="C77" s="3" t="s">
        <v>594</v>
      </c>
      <c r="D77" s="31" t="s">
        <v>552</v>
      </c>
      <c r="E77" s="9" t="s">
        <v>58</v>
      </c>
      <c r="F77" s="5" t="s">
        <v>586</v>
      </c>
      <c r="G77" s="9">
        <v>830</v>
      </c>
      <c r="H77" s="32" t="s">
        <v>290</v>
      </c>
      <c r="I77" s="32" t="s">
        <v>554</v>
      </c>
      <c r="J77" s="33" t="s">
        <v>587</v>
      </c>
      <c r="K77" s="33" t="s">
        <v>322</v>
      </c>
      <c r="L77" s="49" t="s">
        <v>294</v>
      </c>
      <c r="M77" s="50" t="str">
        <f>Tabla16[[#This Row],[ABR_02]]</f>
        <v>BA</v>
      </c>
      <c r="N77" t="s">
        <v>295</v>
      </c>
      <c r="O77" s="51" t="s">
        <v>309</v>
      </c>
      <c r="P77" t="s">
        <v>625</v>
      </c>
      <c r="Q77" t="s">
        <v>295</v>
      </c>
      <c r="R77" s="52" t="str">
        <f>_xlfn.CONCAT(Tabla16[[#This Row],[ABR_01]],"00",Tabla16[[#This Row],[ABR_02]],Tabla16[[#This Row],[ZONA2]],,"0",Tabla16[[#This Row],[PARADA2]])</f>
        <v>AR00BA3007</v>
      </c>
      <c r="S77" s="52" t="s">
        <v>555</v>
      </c>
      <c r="T77" s="34" t="s">
        <v>299</v>
      </c>
      <c r="U77" s="45" t="s">
        <v>299</v>
      </c>
      <c r="V77" t="s">
        <v>805</v>
      </c>
    </row>
    <row r="78" spans="1:22" x14ac:dyDescent="0.25">
      <c r="A78" s="48" t="s">
        <v>300</v>
      </c>
      <c r="B78" s="30" t="s">
        <v>595</v>
      </c>
      <c r="C78" s="36" t="s">
        <v>166</v>
      </c>
      <c r="D78" s="31" t="s">
        <v>552</v>
      </c>
      <c r="E78" s="9" t="s">
        <v>58</v>
      </c>
      <c r="F78" s="5" t="s">
        <v>586</v>
      </c>
      <c r="G78" s="9">
        <v>813</v>
      </c>
      <c r="H78" s="32" t="s">
        <v>290</v>
      </c>
      <c r="I78" s="32" t="s">
        <v>554</v>
      </c>
      <c r="J78" s="33" t="s">
        <v>587</v>
      </c>
      <c r="K78" s="33" t="s">
        <v>324</v>
      </c>
      <c r="L78" s="49" t="s">
        <v>294</v>
      </c>
      <c r="M78" s="50" t="str">
        <f>Tabla16[[#This Row],[ABR_02]]</f>
        <v>BA</v>
      </c>
      <c r="N78" t="s">
        <v>295</v>
      </c>
      <c r="O78" s="51" t="s">
        <v>309</v>
      </c>
      <c r="P78" t="s">
        <v>625</v>
      </c>
      <c r="Q78" t="s">
        <v>295</v>
      </c>
      <c r="R78" s="52" t="str">
        <f>_xlfn.CONCAT(Tabla16[[#This Row],[ABR_01]],"00",Tabla16[[#This Row],[ABR_02]],Tabla16[[#This Row],[ZONA2]],,"0",Tabla16[[#This Row],[PARADA2]])</f>
        <v>AR00BA3008</v>
      </c>
      <c r="S78" s="52" t="s">
        <v>555</v>
      </c>
      <c r="T78" s="34" t="s">
        <v>299</v>
      </c>
      <c r="U78" s="45" t="s">
        <v>299</v>
      </c>
      <c r="V78" t="s">
        <v>805</v>
      </c>
    </row>
    <row r="79" spans="1:22" x14ac:dyDescent="0.25">
      <c r="A79" s="48" t="s">
        <v>300</v>
      </c>
      <c r="B79" s="30" t="s">
        <v>596</v>
      </c>
      <c r="C79" s="3" t="s">
        <v>596</v>
      </c>
      <c r="D79" s="31" t="s">
        <v>552</v>
      </c>
      <c r="E79" s="9" t="s">
        <v>58</v>
      </c>
      <c r="F79" s="5" t="s">
        <v>586</v>
      </c>
      <c r="G79" s="9">
        <v>850</v>
      </c>
      <c r="H79" s="32" t="s">
        <v>290</v>
      </c>
      <c r="I79" s="32" t="s">
        <v>554</v>
      </c>
      <c r="J79" s="33" t="s">
        <v>587</v>
      </c>
      <c r="K79" s="33" t="s">
        <v>368</v>
      </c>
      <c r="L79" s="49" t="s">
        <v>294</v>
      </c>
      <c r="M79" s="50" t="str">
        <f>Tabla16[[#This Row],[ABR_02]]</f>
        <v>BA</v>
      </c>
      <c r="N79" t="s">
        <v>295</v>
      </c>
      <c r="O79" s="51" t="s">
        <v>309</v>
      </c>
      <c r="P79" t="s">
        <v>625</v>
      </c>
      <c r="Q79" t="s">
        <v>295</v>
      </c>
      <c r="R79" s="52" t="str">
        <f>_xlfn.CONCAT(Tabla16[[#This Row],[ABR_01]],"00",Tabla16[[#This Row],[ABR_02]],Tabla16[[#This Row],[ZONA2]],,"0",Tabla16[[#This Row],[PARADA2]])</f>
        <v>AR00BA3009</v>
      </c>
      <c r="S79" s="52" t="s">
        <v>555</v>
      </c>
      <c r="T79" s="34" t="s">
        <v>299</v>
      </c>
      <c r="U79" s="45" t="s">
        <v>299</v>
      </c>
      <c r="V79" t="s">
        <v>805</v>
      </c>
    </row>
    <row r="80" spans="1:22" x14ac:dyDescent="0.25">
      <c r="A80" s="48" t="s">
        <v>300</v>
      </c>
      <c r="B80" s="30" t="s">
        <v>597</v>
      </c>
      <c r="C80" s="36" t="s">
        <v>598</v>
      </c>
      <c r="D80" s="31" t="s">
        <v>552</v>
      </c>
      <c r="E80" s="9" t="s">
        <v>58</v>
      </c>
      <c r="F80" s="5" t="s">
        <v>586</v>
      </c>
      <c r="G80" s="9">
        <v>848</v>
      </c>
      <c r="H80" s="32" t="s">
        <v>290</v>
      </c>
      <c r="I80" s="32" t="s">
        <v>554</v>
      </c>
      <c r="J80" s="33" t="s">
        <v>587</v>
      </c>
      <c r="K80" s="33" t="s">
        <v>370</v>
      </c>
      <c r="L80" s="49" t="s">
        <v>294</v>
      </c>
      <c r="M80" s="50" t="str">
        <f>Tabla16[[#This Row],[ABR_02]]</f>
        <v>BA</v>
      </c>
      <c r="N80" t="s">
        <v>295</v>
      </c>
      <c r="O80" s="51" t="s">
        <v>309</v>
      </c>
      <c r="P80" t="s">
        <v>625</v>
      </c>
      <c r="Q80" t="s">
        <v>295</v>
      </c>
      <c r="R80" s="52" t="str">
        <f>_xlfn.CONCAT(Tabla16[[#This Row],[ABR_01]],"00",Tabla16[[#This Row],[ABR_02]],Tabla16[[#This Row],[ZONA2]],,"0",Tabla16[[#This Row],[PARADA2]])</f>
        <v>AR00BA3010</v>
      </c>
      <c r="S80" s="52" t="s">
        <v>555</v>
      </c>
      <c r="T80" s="34" t="s">
        <v>299</v>
      </c>
      <c r="U80" s="45" t="s">
        <v>299</v>
      </c>
      <c r="V80" t="s">
        <v>805</v>
      </c>
    </row>
    <row r="81" spans="1:22" x14ac:dyDescent="0.25">
      <c r="A81" s="48" t="s">
        <v>300</v>
      </c>
      <c r="B81" s="30" t="s">
        <v>599</v>
      </c>
      <c r="C81" s="3" t="s">
        <v>599</v>
      </c>
      <c r="D81" s="31" t="s">
        <v>552</v>
      </c>
      <c r="E81" s="9" t="s">
        <v>58</v>
      </c>
      <c r="F81" s="5" t="s">
        <v>586</v>
      </c>
      <c r="G81" s="9">
        <v>808</v>
      </c>
      <c r="H81" s="32" t="s">
        <v>290</v>
      </c>
      <c r="I81" s="32" t="s">
        <v>554</v>
      </c>
      <c r="J81" s="33" t="s">
        <v>587</v>
      </c>
      <c r="K81" s="33" t="s">
        <v>372</v>
      </c>
      <c r="L81" s="49" t="s">
        <v>294</v>
      </c>
      <c r="M81" s="50" t="str">
        <f>Tabla16[[#This Row],[ABR_02]]</f>
        <v>BA</v>
      </c>
      <c r="N81" t="s">
        <v>295</v>
      </c>
      <c r="O81" s="51" t="s">
        <v>309</v>
      </c>
      <c r="P81" t="s">
        <v>625</v>
      </c>
      <c r="Q81" t="s">
        <v>295</v>
      </c>
      <c r="R81" s="52" t="str">
        <f>_xlfn.CONCAT(Tabla16[[#This Row],[ABR_01]],"00",Tabla16[[#This Row],[ABR_02]],Tabla16[[#This Row],[ZONA2]],,"0",Tabla16[[#This Row],[PARADA2]])</f>
        <v>AR00BA3011</v>
      </c>
      <c r="S81" s="52" t="s">
        <v>555</v>
      </c>
      <c r="T81" s="34" t="s">
        <v>299</v>
      </c>
      <c r="U81" s="45" t="s">
        <v>299</v>
      </c>
      <c r="V81" t="s">
        <v>805</v>
      </c>
    </row>
    <row r="82" spans="1:22" x14ac:dyDescent="0.25">
      <c r="A82" s="48" t="s">
        <v>300</v>
      </c>
      <c r="B82" s="30" t="s">
        <v>600</v>
      </c>
      <c r="C82" s="36" t="s">
        <v>67</v>
      </c>
      <c r="D82" s="31" t="s">
        <v>552</v>
      </c>
      <c r="E82" s="9" t="s">
        <v>58</v>
      </c>
      <c r="F82" s="5" t="s">
        <v>586</v>
      </c>
      <c r="G82" s="9" t="s">
        <v>601</v>
      </c>
      <c r="H82" s="32" t="s">
        <v>290</v>
      </c>
      <c r="I82" s="32" t="s">
        <v>554</v>
      </c>
      <c r="J82" s="33" t="s">
        <v>587</v>
      </c>
      <c r="K82" s="33" t="s">
        <v>374</v>
      </c>
      <c r="L82" s="49" t="s">
        <v>294</v>
      </c>
      <c r="M82" s="50" t="str">
        <f>Tabla16[[#This Row],[ABR_02]]</f>
        <v>BA</v>
      </c>
      <c r="N82" t="s">
        <v>295</v>
      </c>
      <c r="O82" s="51" t="s">
        <v>309</v>
      </c>
      <c r="P82" t="s">
        <v>625</v>
      </c>
      <c r="Q82" t="s">
        <v>295</v>
      </c>
      <c r="R82" s="52" t="str">
        <f>_xlfn.CONCAT(Tabla16[[#This Row],[ABR_01]],"00",Tabla16[[#This Row],[ABR_02]],Tabla16[[#This Row],[ZONA2]],,"0",Tabla16[[#This Row],[PARADA2]])</f>
        <v>AR00BA3012</v>
      </c>
      <c r="S82" s="52" t="s">
        <v>555</v>
      </c>
      <c r="T82" s="34" t="s">
        <v>299</v>
      </c>
      <c r="U82" s="45" t="s">
        <v>299</v>
      </c>
      <c r="V82" t="s">
        <v>805</v>
      </c>
    </row>
    <row r="83" spans="1:22" x14ac:dyDescent="0.25">
      <c r="A83" s="48" t="s">
        <v>300</v>
      </c>
      <c r="B83" s="30" t="s">
        <v>602</v>
      </c>
      <c r="C83" s="3" t="s">
        <v>602</v>
      </c>
      <c r="D83" s="31" t="s">
        <v>552</v>
      </c>
      <c r="E83" s="9" t="s">
        <v>58</v>
      </c>
      <c r="F83" s="5" t="s">
        <v>586</v>
      </c>
      <c r="G83" s="9">
        <v>802</v>
      </c>
      <c r="H83" s="32" t="s">
        <v>290</v>
      </c>
      <c r="I83" s="32" t="s">
        <v>554</v>
      </c>
      <c r="J83" s="33" t="s">
        <v>587</v>
      </c>
      <c r="K83" s="33" t="s">
        <v>376</v>
      </c>
      <c r="L83" s="49" t="s">
        <v>294</v>
      </c>
      <c r="M83" s="50" t="str">
        <f>Tabla16[[#This Row],[ABR_02]]</f>
        <v>BA</v>
      </c>
      <c r="N83" t="s">
        <v>295</v>
      </c>
      <c r="O83" s="51" t="s">
        <v>309</v>
      </c>
      <c r="P83" t="s">
        <v>625</v>
      </c>
      <c r="Q83" t="s">
        <v>295</v>
      </c>
      <c r="R83" s="52" t="str">
        <f>_xlfn.CONCAT(Tabla16[[#This Row],[ABR_01]],"00",Tabla16[[#This Row],[ABR_02]],Tabla16[[#This Row],[ZONA2]],,"0",Tabla16[[#This Row],[PARADA2]])</f>
        <v>AR00BA3013</v>
      </c>
      <c r="S83" s="52" t="s">
        <v>555</v>
      </c>
      <c r="T83" s="34" t="s">
        <v>299</v>
      </c>
      <c r="U83" s="45" t="s">
        <v>299</v>
      </c>
      <c r="V83" t="s">
        <v>805</v>
      </c>
    </row>
    <row r="84" spans="1:22" x14ac:dyDescent="0.25">
      <c r="A84" s="48" t="s">
        <v>300</v>
      </c>
      <c r="B84" s="30" t="s">
        <v>603</v>
      </c>
      <c r="C84" s="3" t="s">
        <v>603</v>
      </c>
      <c r="D84" s="31" t="s">
        <v>552</v>
      </c>
      <c r="E84" s="9" t="s">
        <v>58</v>
      </c>
      <c r="F84" s="5" t="s">
        <v>586</v>
      </c>
      <c r="G84" s="9">
        <v>895</v>
      </c>
      <c r="H84" s="32" t="s">
        <v>290</v>
      </c>
      <c r="I84" s="32" t="s">
        <v>554</v>
      </c>
      <c r="J84" s="33" t="s">
        <v>587</v>
      </c>
      <c r="K84" s="33" t="s">
        <v>379</v>
      </c>
      <c r="L84" s="49" t="s">
        <v>294</v>
      </c>
      <c r="M84" s="50" t="str">
        <f>Tabla16[[#This Row],[ABR_02]]</f>
        <v>BA</v>
      </c>
      <c r="N84" t="s">
        <v>295</v>
      </c>
      <c r="O84" s="51" t="s">
        <v>309</v>
      </c>
      <c r="P84" t="s">
        <v>625</v>
      </c>
      <c r="Q84" t="s">
        <v>295</v>
      </c>
      <c r="R84" s="52" t="str">
        <f>_xlfn.CONCAT(Tabla16[[#This Row],[ABR_01]],"00",Tabla16[[#This Row],[ABR_02]],Tabla16[[#This Row],[ZONA2]],,"0",Tabla16[[#This Row],[PARADA2]])</f>
        <v>AR00BA3014</v>
      </c>
      <c r="S84" s="52" t="s">
        <v>555</v>
      </c>
      <c r="T84" s="34" t="s">
        <v>299</v>
      </c>
      <c r="U84" s="45" t="s">
        <v>299</v>
      </c>
      <c r="V84" t="s">
        <v>805</v>
      </c>
    </row>
    <row r="85" spans="1:22" x14ac:dyDescent="0.25">
      <c r="A85" s="48" t="s">
        <v>300</v>
      </c>
      <c r="B85" s="30" t="s">
        <v>604</v>
      </c>
      <c r="C85" s="36" t="s">
        <v>226</v>
      </c>
      <c r="D85" s="31" t="s">
        <v>552</v>
      </c>
      <c r="E85" s="9" t="s">
        <v>58</v>
      </c>
      <c r="F85" s="5" t="s">
        <v>586</v>
      </c>
      <c r="G85" s="9">
        <v>816</v>
      </c>
      <c r="H85" s="32" t="s">
        <v>290</v>
      </c>
      <c r="I85" s="32" t="s">
        <v>554</v>
      </c>
      <c r="J85" s="33" t="s">
        <v>587</v>
      </c>
      <c r="K85" s="33" t="s">
        <v>382</v>
      </c>
      <c r="L85" s="49" t="s">
        <v>294</v>
      </c>
      <c r="M85" s="50" t="str">
        <f>Tabla16[[#This Row],[ABR_02]]</f>
        <v>BA</v>
      </c>
      <c r="N85" t="s">
        <v>295</v>
      </c>
      <c r="O85" s="51" t="s">
        <v>309</v>
      </c>
      <c r="P85" t="s">
        <v>625</v>
      </c>
      <c r="Q85" t="s">
        <v>295</v>
      </c>
      <c r="R85" s="52" t="str">
        <f>_xlfn.CONCAT(Tabla16[[#This Row],[ABR_01]],"00",Tabla16[[#This Row],[ABR_02]],Tabla16[[#This Row],[ZONA2]],,"0",Tabla16[[#This Row],[PARADA2]])</f>
        <v>AR00BA3015</v>
      </c>
      <c r="S85" s="52" t="s">
        <v>555</v>
      </c>
      <c r="T85" s="34" t="s">
        <v>299</v>
      </c>
      <c r="U85" s="45" t="s">
        <v>299</v>
      </c>
      <c r="V85" t="s">
        <v>805</v>
      </c>
    </row>
    <row r="86" spans="1:22" x14ac:dyDescent="0.25">
      <c r="A86" s="48" t="s">
        <v>300</v>
      </c>
      <c r="B86" s="30" t="s">
        <v>605</v>
      </c>
      <c r="C86" s="3" t="s">
        <v>605</v>
      </c>
      <c r="D86" s="31" t="s">
        <v>552</v>
      </c>
      <c r="E86" s="9" t="s">
        <v>58</v>
      </c>
      <c r="F86" s="5" t="s">
        <v>586</v>
      </c>
      <c r="G86" s="9">
        <v>875</v>
      </c>
      <c r="H86" s="32" t="s">
        <v>290</v>
      </c>
      <c r="I86" s="32" t="s">
        <v>554</v>
      </c>
      <c r="J86" s="33" t="s">
        <v>587</v>
      </c>
      <c r="K86" s="33" t="s">
        <v>384</v>
      </c>
      <c r="L86" s="49" t="s">
        <v>294</v>
      </c>
      <c r="M86" s="50" t="str">
        <f>Tabla16[[#This Row],[ABR_02]]</f>
        <v>BA</v>
      </c>
      <c r="N86" t="s">
        <v>295</v>
      </c>
      <c r="O86" s="51" t="s">
        <v>309</v>
      </c>
      <c r="P86" t="s">
        <v>625</v>
      </c>
      <c r="Q86" t="s">
        <v>295</v>
      </c>
      <c r="R86" s="52" t="str">
        <f>_xlfn.CONCAT(Tabla16[[#This Row],[ABR_01]],"00",Tabla16[[#This Row],[ABR_02]],Tabla16[[#This Row],[ZONA2]],,"0",Tabla16[[#This Row],[PARADA2]])</f>
        <v>AR00BA3016</v>
      </c>
      <c r="S86" s="52" t="s">
        <v>555</v>
      </c>
      <c r="T86" s="34" t="s">
        <v>299</v>
      </c>
      <c r="U86" s="45" t="s">
        <v>299</v>
      </c>
      <c r="V86" t="s">
        <v>805</v>
      </c>
    </row>
    <row r="87" spans="1:22" x14ac:dyDescent="0.25">
      <c r="A87" s="48" t="s">
        <v>300</v>
      </c>
      <c r="B87" s="30" t="s">
        <v>606</v>
      </c>
      <c r="C87" s="36" t="s">
        <v>607</v>
      </c>
      <c r="D87" s="31" t="s">
        <v>552</v>
      </c>
      <c r="E87" s="9" t="s">
        <v>58</v>
      </c>
      <c r="F87" s="5" t="s">
        <v>586</v>
      </c>
      <c r="G87" s="9">
        <v>817</v>
      </c>
      <c r="H87" s="32" t="s">
        <v>290</v>
      </c>
      <c r="I87" s="32" t="s">
        <v>554</v>
      </c>
      <c r="J87" s="33" t="s">
        <v>587</v>
      </c>
      <c r="K87" s="33" t="s">
        <v>387</v>
      </c>
      <c r="L87" s="49" t="s">
        <v>294</v>
      </c>
      <c r="M87" s="50" t="str">
        <f>Tabla16[[#This Row],[ABR_02]]</f>
        <v>BA</v>
      </c>
      <c r="N87" t="s">
        <v>295</v>
      </c>
      <c r="O87" s="51" t="s">
        <v>309</v>
      </c>
      <c r="P87" t="s">
        <v>625</v>
      </c>
      <c r="Q87" t="s">
        <v>295</v>
      </c>
      <c r="R87" s="52" t="str">
        <f>_xlfn.CONCAT(Tabla16[[#This Row],[ABR_01]],"00",Tabla16[[#This Row],[ABR_02]],Tabla16[[#This Row],[ZONA2]],,"0",Tabla16[[#This Row],[PARADA2]])</f>
        <v>AR00BA3017</v>
      </c>
      <c r="S87" s="52" t="s">
        <v>555</v>
      </c>
      <c r="T87" s="34" t="s">
        <v>299</v>
      </c>
      <c r="U87" s="45" t="s">
        <v>299</v>
      </c>
      <c r="V87" t="s">
        <v>805</v>
      </c>
    </row>
    <row r="88" spans="1:22" x14ac:dyDescent="0.25">
      <c r="A88" s="48" t="s">
        <v>300</v>
      </c>
      <c r="B88" s="30" t="s">
        <v>608</v>
      </c>
      <c r="C88" s="36" t="s">
        <v>609</v>
      </c>
      <c r="D88" s="31" t="s">
        <v>552</v>
      </c>
      <c r="E88" s="9" t="s">
        <v>58</v>
      </c>
      <c r="F88" s="5" t="s">
        <v>586</v>
      </c>
      <c r="G88" s="9">
        <v>755</v>
      </c>
      <c r="H88" s="32" t="s">
        <v>290</v>
      </c>
      <c r="I88" s="32" t="s">
        <v>554</v>
      </c>
      <c r="J88" s="33" t="s">
        <v>587</v>
      </c>
      <c r="K88" s="33" t="s">
        <v>389</v>
      </c>
      <c r="L88" s="49" t="s">
        <v>294</v>
      </c>
      <c r="M88" s="50" t="str">
        <f>Tabla16[[#This Row],[ABR_02]]</f>
        <v>BA</v>
      </c>
      <c r="N88" t="s">
        <v>295</v>
      </c>
      <c r="O88" s="51" t="s">
        <v>309</v>
      </c>
      <c r="P88" t="s">
        <v>625</v>
      </c>
      <c r="Q88" t="s">
        <v>295</v>
      </c>
      <c r="R88" s="52" t="str">
        <f>_xlfn.CONCAT(Tabla16[[#This Row],[ABR_01]],"00",Tabla16[[#This Row],[ABR_02]],Tabla16[[#This Row],[ZONA2]],,"0",Tabla16[[#This Row],[PARADA2]])</f>
        <v>AR00BA3018</v>
      </c>
      <c r="S88" s="52" t="s">
        <v>555</v>
      </c>
      <c r="T88" s="34" t="s">
        <v>299</v>
      </c>
      <c r="U88" s="45" t="s">
        <v>299</v>
      </c>
      <c r="V88" t="s">
        <v>805</v>
      </c>
    </row>
    <row r="89" spans="1:22" x14ac:dyDescent="0.25">
      <c r="A89" s="48" t="s">
        <v>300</v>
      </c>
      <c r="B89" s="30" t="s">
        <v>172</v>
      </c>
      <c r="C89" s="3" t="s">
        <v>172</v>
      </c>
      <c r="D89" s="31" t="s">
        <v>552</v>
      </c>
      <c r="E89" s="9" t="s">
        <v>58</v>
      </c>
      <c r="F89" s="5" t="s">
        <v>586</v>
      </c>
      <c r="G89" s="9">
        <v>902</v>
      </c>
      <c r="H89" s="32" t="s">
        <v>290</v>
      </c>
      <c r="I89" s="32" t="s">
        <v>554</v>
      </c>
      <c r="J89" s="33" t="s">
        <v>587</v>
      </c>
      <c r="K89" s="33" t="s">
        <v>392</v>
      </c>
      <c r="L89" s="49" t="s">
        <v>294</v>
      </c>
      <c r="M89" s="50" t="str">
        <f>Tabla16[[#This Row],[ABR_02]]</f>
        <v>BA</v>
      </c>
      <c r="N89" t="s">
        <v>295</v>
      </c>
      <c r="O89" s="51" t="s">
        <v>309</v>
      </c>
      <c r="P89" t="s">
        <v>625</v>
      </c>
      <c r="Q89" t="s">
        <v>295</v>
      </c>
      <c r="R89" s="52" t="str">
        <f>_xlfn.CONCAT(Tabla16[[#This Row],[ABR_01]],"00",Tabla16[[#This Row],[ABR_02]],Tabla16[[#This Row],[ZONA2]],,"0",Tabla16[[#This Row],[PARADA2]])</f>
        <v>AR00BA3019</v>
      </c>
      <c r="S89" s="52" t="s">
        <v>555</v>
      </c>
      <c r="T89" s="34" t="s">
        <v>299</v>
      </c>
      <c r="U89" s="45" t="s">
        <v>299</v>
      </c>
      <c r="V89" t="s">
        <v>805</v>
      </c>
    </row>
    <row r="90" spans="1:22" x14ac:dyDescent="0.25">
      <c r="A90" s="48" t="s">
        <v>300</v>
      </c>
      <c r="B90" s="30" t="s">
        <v>610</v>
      </c>
      <c r="C90" s="3" t="s">
        <v>610</v>
      </c>
      <c r="D90" s="31" t="s">
        <v>552</v>
      </c>
      <c r="E90" s="9" t="s">
        <v>58</v>
      </c>
      <c r="F90" s="5" t="s">
        <v>586</v>
      </c>
      <c r="G90" s="9">
        <v>812</v>
      </c>
      <c r="H90" s="32" t="s">
        <v>290</v>
      </c>
      <c r="I90" s="32" t="s">
        <v>554</v>
      </c>
      <c r="J90" s="33" t="s">
        <v>587</v>
      </c>
      <c r="K90" s="33" t="s">
        <v>394</v>
      </c>
      <c r="L90" s="49" t="s">
        <v>294</v>
      </c>
      <c r="M90" s="50" t="str">
        <f>Tabla16[[#This Row],[ABR_02]]</f>
        <v>BA</v>
      </c>
      <c r="N90" t="s">
        <v>295</v>
      </c>
      <c r="O90" s="51" t="s">
        <v>309</v>
      </c>
      <c r="P90" t="s">
        <v>625</v>
      </c>
      <c r="Q90" t="s">
        <v>295</v>
      </c>
      <c r="R90" s="52" t="str">
        <f>_xlfn.CONCAT(Tabla16[[#This Row],[ABR_01]],"00",Tabla16[[#This Row],[ABR_02]],Tabla16[[#This Row],[ZONA2]],,"0",Tabla16[[#This Row],[PARADA2]])</f>
        <v>AR00BA3020</v>
      </c>
      <c r="S90" s="52" t="s">
        <v>555</v>
      </c>
      <c r="T90" s="34" t="s">
        <v>299</v>
      </c>
      <c r="U90" s="45" t="s">
        <v>299</v>
      </c>
      <c r="V90" t="s">
        <v>805</v>
      </c>
    </row>
    <row r="91" spans="1:22" x14ac:dyDescent="0.25">
      <c r="A91" s="48" t="s">
        <v>300</v>
      </c>
      <c r="B91" s="30" t="s">
        <v>611</v>
      </c>
      <c r="C91" s="36" t="s">
        <v>136</v>
      </c>
      <c r="D91" s="31" t="s">
        <v>552</v>
      </c>
      <c r="E91" s="9" t="s">
        <v>58</v>
      </c>
      <c r="F91" s="5" t="s">
        <v>586</v>
      </c>
      <c r="G91" s="9">
        <v>840</v>
      </c>
      <c r="H91" s="32" t="s">
        <v>290</v>
      </c>
      <c r="I91" s="32" t="s">
        <v>554</v>
      </c>
      <c r="J91" s="33" t="s">
        <v>587</v>
      </c>
      <c r="K91" s="33" t="s">
        <v>396</v>
      </c>
      <c r="L91" s="49" t="s">
        <v>294</v>
      </c>
      <c r="M91" s="50" t="str">
        <f>Tabla16[[#This Row],[ABR_02]]</f>
        <v>BA</v>
      </c>
      <c r="N91" t="s">
        <v>295</v>
      </c>
      <c r="O91" s="51" t="s">
        <v>309</v>
      </c>
      <c r="P91" t="s">
        <v>625</v>
      </c>
      <c r="Q91" t="s">
        <v>295</v>
      </c>
      <c r="R91" s="52" t="str">
        <f>_xlfn.CONCAT(Tabla16[[#This Row],[ABR_01]],"00",Tabla16[[#This Row],[ABR_02]],Tabla16[[#This Row],[ZONA2]],,"0",Tabla16[[#This Row],[PARADA2]])</f>
        <v>AR00BA3021</v>
      </c>
      <c r="S91" s="52" t="s">
        <v>555</v>
      </c>
      <c r="T91" s="34" t="s">
        <v>299</v>
      </c>
      <c r="U91" s="45" t="s">
        <v>299</v>
      </c>
      <c r="V91" t="s">
        <v>805</v>
      </c>
    </row>
    <row r="92" spans="1:22" x14ac:dyDescent="0.25">
      <c r="A92" s="48" t="s">
        <v>300</v>
      </c>
      <c r="B92" s="30" t="s">
        <v>180</v>
      </c>
      <c r="C92" s="3" t="s">
        <v>180</v>
      </c>
      <c r="D92" s="31" t="s">
        <v>552</v>
      </c>
      <c r="E92" s="9" t="s">
        <v>58</v>
      </c>
      <c r="F92" s="5" t="s">
        <v>586</v>
      </c>
      <c r="G92" s="9">
        <v>818</v>
      </c>
      <c r="H92" s="32" t="s">
        <v>290</v>
      </c>
      <c r="I92" s="32" t="s">
        <v>554</v>
      </c>
      <c r="J92" s="33" t="s">
        <v>587</v>
      </c>
      <c r="K92" s="33" t="s">
        <v>398</v>
      </c>
      <c r="L92" s="49" t="s">
        <v>294</v>
      </c>
      <c r="M92" s="50" t="str">
        <f>Tabla16[[#This Row],[ABR_02]]</f>
        <v>BA</v>
      </c>
      <c r="N92" t="s">
        <v>295</v>
      </c>
      <c r="O92" s="51" t="s">
        <v>309</v>
      </c>
      <c r="P92" t="s">
        <v>625</v>
      </c>
      <c r="Q92" t="s">
        <v>295</v>
      </c>
      <c r="R92" s="52" t="str">
        <f>_xlfn.CONCAT(Tabla16[[#This Row],[ABR_01]],"00",Tabla16[[#This Row],[ABR_02]],Tabla16[[#This Row],[ZONA2]],,"0",Tabla16[[#This Row],[PARADA2]])</f>
        <v>AR00BA3022</v>
      </c>
      <c r="S92" s="52" t="s">
        <v>555</v>
      </c>
      <c r="T92" s="34" t="s">
        <v>299</v>
      </c>
      <c r="U92" s="45" t="s">
        <v>299</v>
      </c>
      <c r="V92" t="s">
        <v>805</v>
      </c>
    </row>
    <row r="93" spans="1:22" x14ac:dyDescent="0.25">
      <c r="A93" s="48" t="s">
        <v>300</v>
      </c>
      <c r="B93" s="30" t="s">
        <v>612</v>
      </c>
      <c r="C93" s="3" t="s">
        <v>612</v>
      </c>
      <c r="D93" s="31" t="s">
        <v>552</v>
      </c>
      <c r="E93" s="9" t="s">
        <v>58</v>
      </c>
      <c r="F93" s="5" t="s">
        <v>586</v>
      </c>
      <c r="G93" s="9">
        <v>819</v>
      </c>
      <c r="H93" s="32" t="s">
        <v>290</v>
      </c>
      <c r="I93" s="32" t="s">
        <v>554</v>
      </c>
      <c r="J93" s="33" t="s">
        <v>587</v>
      </c>
      <c r="K93" s="33" t="s">
        <v>401</v>
      </c>
      <c r="L93" s="49" t="s">
        <v>294</v>
      </c>
      <c r="M93" s="50" t="str">
        <f>Tabla16[[#This Row],[ABR_02]]</f>
        <v>BA</v>
      </c>
      <c r="N93" t="s">
        <v>295</v>
      </c>
      <c r="O93" s="51" t="s">
        <v>309</v>
      </c>
      <c r="P93" t="s">
        <v>625</v>
      </c>
      <c r="Q93" t="s">
        <v>295</v>
      </c>
      <c r="R93" s="52" t="str">
        <f>_xlfn.CONCAT(Tabla16[[#This Row],[ABR_01]],"00",Tabla16[[#This Row],[ABR_02]],Tabla16[[#This Row],[ZONA2]],,"0",Tabla16[[#This Row],[PARADA2]])</f>
        <v>AR00BA3023</v>
      </c>
      <c r="S93" s="52" t="s">
        <v>555</v>
      </c>
      <c r="T93" s="34" t="s">
        <v>299</v>
      </c>
      <c r="U93" s="45" t="s">
        <v>299</v>
      </c>
      <c r="V93" t="s">
        <v>805</v>
      </c>
    </row>
    <row r="94" spans="1:22" x14ac:dyDescent="0.25">
      <c r="A94" s="48" t="s">
        <v>300</v>
      </c>
      <c r="B94" s="30" t="s">
        <v>613</v>
      </c>
      <c r="C94" s="36" t="s">
        <v>614</v>
      </c>
      <c r="D94" s="31" t="s">
        <v>552</v>
      </c>
      <c r="E94" s="9" t="s">
        <v>27</v>
      </c>
      <c r="F94" s="5">
        <v>342</v>
      </c>
      <c r="G94" s="9">
        <v>775</v>
      </c>
      <c r="H94" s="32" t="s">
        <v>290</v>
      </c>
      <c r="I94" s="32" t="s">
        <v>554</v>
      </c>
      <c r="J94" s="33" t="s">
        <v>587</v>
      </c>
      <c r="K94" s="33" t="s">
        <v>403</v>
      </c>
      <c r="L94" s="49" t="s">
        <v>294</v>
      </c>
      <c r="M94" s="50" t="str">
        <f>Tabla16[[#This Row],[ABR_02]]</f>
        <v>BA</v>
      </c>
      <c r="N94" t="s">
        <v>295</v>
      </c>
      <c r="O94" s="51" t="s">
        <v>309</v>
      </c>
      <c r="P94" t="s">
        <v>625</v>
      </c>
      <c r="Q94" t="s">
        <v>295</v>
      </c>
      <c r="R94" s="52" t="str">
        <f>_xlfn.CONCAT(Tabla16[[#This Row],[ABR_01]],"00",Tabla16[[#This Row],[ABR_02]],Tabla16[[#This Row],[ZONA2]],,"0",Tabla16[[#This Row],[PARADA2]])</f>
        <v>AR00BA3024</v>
      </c>
      <c r="S94" s="52" t="s">
        <v>555</v>
      </c>
      <c r="T94" s="34" t="s">
        <v>299</v>
      </c>
      <c r="U94" s="45" t="s">
        <v>299</v>
      </c>
      <c r="V94" t="s">
        <v>805</v>
      </c>
    </row>
    <row r="95" spans="1:22" x14ac:dyDescent="0.25">
      <c r="A95" s="48" t="s">
        <v>300</v>
      </c>
      <c r="B95" s="30" t="s">
        <v>615</v>
      </c>
      <c r="C95" s="36" t="s">
        <v>615</v>
      </c>
      <c r="D95" s="31" t="s">
        <v>552</v>
      </c>
      <c r="E95" s="9" t="s">
        <v>58</v>
      </c>
      <c r="F95" s="5" t="s">
        <v>586</v>
      </c>
      <c r="G95" s="9" t="s">
        <v>616</v>
      </c>
      <c r="H95" s="32" t="s">
        <v>290</v>
      </c>
      <c r="I95" s="32" t="s">
        <v>554</v>
      </c>
      <c r="J95" s="33" t="s">
        <v>587</v>
      </c>
      <c r="K95" s="33" t="s">
        <v>405</v>
      </c>
      <c r="L95" s="49" t="s">
        <v>294</v>
      </c>
      <c r="M95" s="50" t="str">
        <f>Tabla16[[#This Row],[ABR_02]]</f>
        <v>BA</v>
      </c>
      <c r="N95" t="s">
        <v>295</v>
      </c>
      <c r="O95" s="51" t="s">
        <v>309</v>
      </c>
      <c r="P95" t="s">
        <v>625</v>
      </c>
      <c r="Q95" t="s">
        <v>295</v>
      </c>
      <c r="R95" s="52" t="str">
        <f>_xlfn.CONCAT(Tabla16[[#This Row],[ABR_01]],"00",Tabla16[[#This Row],[ABR_02]],Tabla16[[#This Row],[ZONA2]],,"0",Tabla16[[#This Row],[PARADA2]])</f>
        <v>AR00BA3025</v>
      </c>
      <c r="S95" s="52" t="s">
        <v>555</v>
      </c>
      <c r="T95" s="34" t="s">
        <v>299</v>
      </c>
      <c r="U95" s="45" t="s">
        <v>299</v>
      </c>
      <c r="V95" t="s">
        <v>805</v>
      </c>
    </row>
    <row r="96" spans="1:22" x14ac:dyDescent="0.25">
      <c r="A96" s="48" t="s">
        <v>300</v>
      </c>
      <c r="B96" s="30" t="s">
        <v>548</v>
      </c>
      <c r="C96" s="36" t="s">
        <v>32</v>
      </c>
      <c r="D96" s="31" t="s">
        <v>549</v>
      </c>
      <c r="E96" s="9" t="s">
        <v>31</v>
      </c>
      <c r="F96" s="5">
        <v>354</v>
      </c>
      <c r="G96" s="9">
        <v>470</v>
      </c>
      <c r="H96" s="32" t="s">
        <v>290</v>
      </c>
      <c r="I96" s="32" t="s">
        <v>550</v>
      </c>
      <c r="J96" s="33" t="s">
        <v>292</v>
      </c>
      <c r="K96" s="33" t="s">
        <v>293</v>
      </c>
      <c r="L96" s="49" t="s">
        <v>294</v>
      </c>
      <c r="M96" s="50" t="str">
        <f>Tabla16[[#This Row],[ABR_02]]</f>
        <v>CA</v>
      </c>
      <c r="N96" t="s">
        <v>295</v>
      </c>
      <c r="O96" s="51" t="s">
        <v>293</v>
      </c>
      <c r="P96" t="s">
        <v>296</v>
      </c>
      <c r="Q96" t="s">
        <v>303</v>
      </c>
      <c r="R96" s="52" t="str">
        <f>_xlfn.CONCAT(Tabla16[[#This Row],[ABR_01]],"00",Tabla16[[#This Row],[ABR_02]],Tabla16[[#This Row],[ZONA2]],,"0",Tabla16[[#This Row],[PARADA2]])</f>
        <v>AR00CA1001</v>
      </c>
      <c r="S96" s="52" t="s">
        <v>304</v>
      </c>
      <c r="T96" s="34" t="s">
        <v>299</v>
      </c>
      <c r="U96" s="34" t="s">
        <v>299</v>
      </c>
      <c r="V96" t="s">
        <v>804</v>
      </c>
    </row>
    <row r="97" spans="1:22" x14ac:dyDescent="0.25">
      <c r="A97" s="48" t="s">
        <v>300</v>
      </c>
      <c r="B97" s="30" t="s">
        <v>548</v>
      </c>
      <c r="C97" s="36" t="s">
        <v>32</v>
      </c>
      <c r="D97" s="31" t="s">
        <v>549</v>
      </c>
      <c r="E97" s="9" t="s">
        <v>31</v>
      </c>
      <c r="F97" s="5">
        <v>354</v>
      </c>
      <c r="G97" s="9">
        <v>470</v>
      </c>
      <c r="H97" s="32" t="s">
        <v>290</v>
      </c>
      <c r="I97" s="32" t="s">
        <v>550</v>
      </c>
      <c r="J97" s="33" t="s">
        <v>292</v>
      </c>
      <c r="K97" s="33" t="s">
        <v>293</v>
      </c>
      <c r="L97" s="49" t="s">
        <v>294</v>
      </c>
      <c r="M97" s="50" t="str">
        <f>Tabla16[[#This Row],[ABR_02]]</f>
        <v>CA</v>
      </c>
      <c r="N97" t="s">
        <v>295</v>
      </c>
      <c r="O97" s="51" t="s">
        <v>309</v>
      </c>
      <c r="P97" t="s">
        <v>625</v>
      </c>
      <c r="Q97" t="s">
        <v>626</v>
      </c>
      <c r="R97" s="52" t="str">
        <f>_xlfn.CONCAT(Tabla16[[#This Row],[ABR_01]],"00",Tabla16[[#This Row],[ABR_02]],Tabla16[[#This Row],[ZONA2]],,"0",Tabla16[[#This Row],[PARADA2]])</f>
        <v>AR00CA1001</v>
      </c>
      <c r="S97" s="52" t="s">
        <v>627</v>
      </c>
      <c r="T97" s="34" t="s">
        <v>299</v>
      </c>
      <c r="U97" s="45" t="s">
        <v>299</v>
      </c>
      <c r="V97" t="s">
        <v>805</v>
      </c>
    </row>
    <row r="98" spans="1:22" x14ac:dyDescent="0.25">
      <c r="A98" s="48" t="s">
        <v>300</v>
      </c>
      <c r="B98" s="30" t="s">
        <v>516</v>
      </c>
      <c r="C98" s="30" t="s">
        <v>517</v>
      </c>
      <c r="D98" s="31" t="s">
        <v>518</v>
      </c>
      <c r="E98" s="9" t="s">
        <v>44</v>
      </c>
      <c r="F98" s="5">
        <v>351</v>
      </c>
      <c r="G98" s="9">
        <v>607</v>
      </c>
      <c r="H98" s="32" t="s">
        <v>290</v>
      </c>
      <c r="I98" s="32" t="s">
        <v>519</v>
      </c>
      <c r="J98" s="33" t="s">
        <v>292</v>
      </c>
      <c r="K98" s="33" t="s">
        <v>293</v>
      </c>
      <c r="L98" s="49" t="s">
        <v>294</v>
      </c>
      <c r="M98" s="50" t="str">
        <f>Tabla16[[#This Row],[ABR_02]]</f>
        <v>CB</v>
      </c>
      <c r="N98" t="s">
        <v>295</v>
      </c>
      <c r="O98" s="51" t="s">
        <v>293</v>
      </c>
      <c r="P98" t="s">
        <v>296</v>
      </c>
      <c r="Q98" t="s">
        <v>303</v>
      </c>
      <c r="R98" s="52" t="str">
        <f>_xlfn.CONCAT(Tabla16[[#This Row],[ABR_01]],"00",Tabla16[[#This Row],[ABR_02]],Tabla16[[#This Row],[ZONA2]],,"0",Tabla16[[#This Row],[PARADA2]])</f>
        <v>AR00CB1001</v>
      </c>
      <c r="S98" s="52" t="s">
        <v>304</v>
      </c>
      <c r="T98" s="34" t="s">
        <v>299</v>
      </c>
      <c r="U98" s="34" t="s">
        <v>299</v>
      </c>
      <c r="V98" t="s">
        <v>804</v>
      </c>
    </row>
    <row r="99" spans="1:22" x14ac:dyDescent="0.25">
      <c r="A99" s="48" t="s">
        <v>300</v>
      </c>
      <c r="B99" s="30" t="s">
        <v>520</v>
      </c>
      <c r="C99" s="30" t="s">
        <v>520</v>
      </c>
      <c r="D99" s="31" t="s">
        <v>518</v>
      </c>
      <c r="E99" s="9" t="s">
        <v>44</v>
      </c>
      <c r="F99" s="5">
        <v>351</v>
      </c>
      <c r="G99" s="9">
        <v>635</v>
      </c>
      <c r="H99" s="32" t="s">
        <v>290</v>
      </c>
      <c r="I99" s="32" t="s">
        <v>519</v>
      </c>
      <c r="J99" s="33" t="s">
        <v>292</v>
      </c>
      <c r="K99" s="33" t="s">
        <v>306</v>
      </c>
      <c r="L99" s="49" t="s">
        <v>294</v>
      </c>
      <c r="M99" s="50" t="str">
        <f>Tabla16[[#This Row],[ABR_02]]</f>
        <v>CB</v>
      </c>
      <c r="N99" t="s">
        <v>295</v>
      </c>
      <c r="O99" s="51" t="s">
        <v>293</v>
      </c>
      <c r="P99" t="s">
        <v>296</v>
      </c>
      <c r="Q99" t="s">
        <v>303</v>
      </c>
      <c r="R99" s="52" t="str">
        <f>_xlfn.CONCAT(Tabla16[[#This Row],[ABR_01]],"00",Tabla16[[#This Row],[ABR_02]],Tabla16[[#This Row],[ZONA2]],,"0",Tabla16[[#This Row],[PARADA2]])</f>
        <v>AR00CB1002</v>
      </c>
      <c r="S99" s="52" t="s">
        <v>304</v>
      </c>
      <c r="T99" s="34" t="s">
        <v>299</v>
      </c>
      <c r="U99" s="34" t="s">
        <v>299</v>
      </c>
      <c r="V99" t="s">
        <v>804</v>
      </c>
    </row>
    <row r="100" spans="1:22" x14ac:dyDescent="0.25">
      <c r="A100" s="48" t="s">
        <v>300</v>
      </c>
      <c r="B100" s="30" t="s">
        <v>521</v>
      </c>
      <c r="C100" s="30" t="s">
        <v>521</v>
      </c>
      <c r="D100" s="31" t="s">
        <v>518</v>
      </c>
      <c r="E100" s="9" t="s">
        <v>44</v>
      </c>
      <c r="F100" s="5">
        <v>351</v>
      </c>
      <c r="G100" s="9">
        <v>725</v>
      </c>
      <c r="H100" s="32" t="s">
        <v>290</v>
      </c>
      <c r="I100" s="32" t="s">
        <v>519</v>
      </c>
      <c r="J100" s="33" t="s">
        <v>292</v>
      </c>
      <c r="K100" s="33" t="s">
        <v>307</v>
      </c>
      <c r="L100" s="49" t="s">
        <v>294</v>
      </c>
      <c r="M100" s="50" t="str">
        <f>Tabla16[[#This Row],[ABR_02]]</f>
        <v>CB</v>
      </c>
      <c r="N100" t="s">
        <v>295</v>
      </c>
      <c r="O100" s="51" t="s">
        <v>293</v>
      </c>
      <c r="P100" t="s">
        <v>296</v>
      </c>
      <c r="Q100" t="s">
        <v>303</v>
      </c>
      <c r="R100" s="52" t="str">
        <f>_xlfn.CONCAT(Tabla16[[#This Row],[ABR_01]],"00",Tabla16[[#This Row],[ABR_02]],Tabla16[[#This Row],[ZONA2]],,"0",Tabla16[[#This Row],[PARADA2]])</f>
        <v>AR00CB1003</v>
      </c>
      <c r="S100" s="52" t="s">
        <v>304</v>
      </c>
      <c r="T100" s="34" t="s">
        <v>299</v>
      </c>
      <c r="U100" s="34" t="s">
        <v>299</v>
      </c>
      <c r="V100" t="s">
        <v>804</v>
      </c>
    </row>
    <row r="101" spans="1:22" x14ac:dyDescent="0.25">
      <c r="A101" s="48" t="s">
        <v>300</v>
      </c>
      <c r="B101" s="30" t="s">
        <v>204</v>
      </c>
      <c r="C101" s="30" t="s">
        <v>204</v>
      </c>
      <c r="D101" s="31" t="s">
        <v>518</v>
      </c>
      <c r="E101" s="9" t="s">
        <v>44</v>
      </c>
      <c r="F101" s="5">
        <v>351</v>
      </c>
      <c r="G101" s="9">
        <v>627</v>
      </c>
      <c r="H101" s="32" t="s">
        <v>290</v>
      </c>
      <c r="I101" s="32" t="s">
        <v>519</v>
      </c>
      <c r="J101" s="33" t="s">
        <v>292</v>
      </c>
      <c r="K101" s="33" t="s">
        <v>309</v>
      </c>
      <c r="L101" s="49" t="s">
        <v>294</v>
      </c>
      <c r="M101" s="50" t="str">
        <f>Tabla16[[#This Row],[ABR_02]]</f>
        <v>CB</v>
      </c>
      <c r="N101" t="s">
        <v>295</v>
      </c>
      <c r="O101" s="51" t="s">
        <v>293</v>
      </c>
      <c r="P101" t="s">
        <v>296</v>
      </c>
      <c r="Q101" t="s">
        <v>303</v>
      </c>
      <c r="R101" s="52" t="str">
        <f>_xlfn.CONCAT(Tabla16[[#This Row],[ABR_01]],"00",Tabla16[[#This Row],[ABR_02]],Tabla16[[#This Row],[ZONA2]],,"0",Tabla16[[#This Row],[PARADA2]])</f>
        <v>AR00CB1004</v>
      </c>
      <c r="S101" s="52" t="s">
        <v>304</v>
      </c>
      <c r="T101" s="34" t="s">
        <v>299</v>
      </c>
      <c r="U101" s="34" t="s">
        <v>299</v>
      </c>
      <c r="V101" t="s">
        <v>804</v>
      </c>
    </row>
    <row r="102" spans="1:22" x14ac:dyDescent="0.25">
      <c r="A102" s="48" t="s">
        <v>300</v>
      </c>
      <c r="B102" s="38" t="s">
        <v>198</v>
      </c>
      <c r="C102" s="38" t="s">
        <v>198</v>
      </c>
      <c r="D102" s="31" t="s">
        <v>518</v>
      </c>
      <c r="E102" s="9" t="s">
        <v>44</v>
      </c>
      <c r="F102" s="5">
        <v>351</v>
      </c>
      <c r="G102" s="9">
        <v>628</v>
      </c>
      <c r="H102" s="32" t="s">
        <v>290</v>
      </c>
      <c r="I102" s="32" t="s">
        <v>519</v>
      </c>
      <c r="J102" s="33" t="s">
        <v>292</v>
      </c>
      <c r="K102" s="33" t="s">
        <v>319</v>
      </c>
      <c r="L102" s="49" t="s">
        <v>294</v>
      </c>
      <c r="M102" s="50" t="str">
        <f>Tabla16[[#This Row],[ABR_02]]</f>
        <v>CB</v>
      </c>
      <c r="N102" t="s">
        <v>295</v>
      </c>
      <c r="O102" s="51" t="s">
        <v>293</v>
      </c>
      <c r="P102" t="s">
        <v>296</v>
      </c>
      <c r="Q102" t="s">
        <v>303</v>
      </c>
      <c r="R102" s="52" t="str">
        <f>_xlfn.CONCAT(Tabla16[[#This Row],[ABR_01]],"00",Tabla16[[#This Row],[ABR_02]],Tabla16[[#This Row],[ZONA2]],,"0",Tabla16[[#This Row],[PARADA2]])</f>
        <v>AR00CB1005</v>
      </c>
      <c r="S102" s="52" t="s">
        <v>304</v>
      </c>
      <c r="T102" s="34" t="s">
        <v>299</v>
      </c>
      <c r="U102" s="34" t="s">
        <v>299</v>
      </c>
      <c r="V102" t="s">
        <v>804</v>
      </c>
    </row>
    <row r="103" spans="1:22" x14ac:dyDescent="0.25">
      <c r="A103" s="48" t="s">
        <v>300</v>
      </c>
      <c r="B103" s="30" t="s">
        <v>522</v>
      </c>
      <c r="C103" s="30" t="s">
        <v>200</v>
      </c>
      <c r="D103" s="31" t="s">
        <v>518</v>
      </c>
      <c r="E103" s="9" t="s">
        <v>44</v>
      </c>
      <c r="F103" s="5">
        <v>351</v>
      </c>
      <c r="G103" s="9">
        <v>605</v>
      </c>
      <c r="H103" s="32" t="s">
        <v>290</v>
      </c>
      <c r="I103" s="32" t="s">
        <v>519</v>
      </c>
      <c r="J103" s="33" t="s">
        <v>292</v>
      </c>
      <c r="K103" s="33" t="s">
        <v>320</v>
      </c>
      <c r="L103" s="49" t="s">
        <v>294</v>
      </c>
      <c r="M103" s="50" t="str">
        <f>Tabla16[[#This Row],[ABR_02]]</f>
        <v>CB</v>
      </c>
      <c r="N103" t="s">
        <v>295</v>
      </c>
      <c r="O103" s="51" t="s">
        <v>293</v>
      </c>
      <c r="P103" t="s">
        <v>296</v>
      </c>
      <c r="Q103" t="s">
        <v>303</v>
      </c>
      <c r="R103" s="52" t="str">
        <f>_xlfn.CONCAT(Tabla16[[#This Row],[ABR_01]],"00",Tabla16[[#This Row],[ABR_02]],Tabla16[[#This Row],[ZONA2]],,"0",Tabla16[[#This Row],[PARADA2]])</f>
        <v>AR00CB1006</v>
      </c>
      <c r="S103" s="52" t="s">
        <v>304</v>
      </c>
      <c r="T103" s="34" t="s">
        <v>299</v>
      </c>
      <c r="U103" s="34" t="s">
        <v>299</v>
      </c>
      <c r="V103" t="s">
        <v>804</v>
      </c>
    </row>
    <row r="104" spans="1:22" x14ac:dyDescent="0.25">
      <c r="A104" s="48" t="s">
        <v>300</v>
      </c>
      <c r="B104" s="30" t="s">
        <v>523</v>
      </c>
      <c r="C104" s="30" t="s">
        <v>523</v>
      </c>
      <c r="D104" s="31" t="s">
        <v>518</v>
      </c>
      <c r="E104" s="9" t="s">
        <v>44</v>
      </c>
      <c r="F104" s="5">
        <v>351</v>
      </c>
      <c r="G104" s="9">
        <v>650</v>
      </c>
      <c r="H104" s="32" t="s">
        <v>290</v>
      </c>
      <c r="I104" s="32" t="s">
        <v>519</v>
      </c>
      <c r="J104" s="33" t="s">
        <v>292</v>
      </c>
      <c r="K104" s="33" t="s">
        <v>322</v>
      </c>
      <c r="L104" s="49" t="s">
        <v>294</v>
      </c>
      <c r="M104" s="50" t="str">
        <f>Tabla16[[#This Row],[ABR_02]]</f>
        <v>CB</v>
      </c>
      <c r="N104" t="s">
        <v>295</v>
      </c>
      <c r="O104" s="51" t="s">
        <v>293</v>
      </c>
      <c r="P104" t="s">
        <v>296</v>
      </c>
      <c r="Q104" t="s">
        <v>303</v>
      </c>
      <c r="R104" s="52" t="str">
        <f>_xlfn.CONCAT(Tabla16[[#This Row],[ABR_01]],"00",Tabla16[[#This Row],[ABR_02]],Tabla16[[#This Row],[ZONA2]],,"0",Tabla16[[#This Row],[PARADA2]])</f>
        <v>AR00CB1007</v>
      </c>
      <c r="S104" s="52" t="s">
        <v>304</v>
      </c>
      <c r="T104" s="34" t="s">
        <v>299</v>
      </c>
      <c r="U104" s="34" t="s">
        <v>299</v>
      </c>
      <c r="V104" t="s">
        <v>804</v>
      </c>
    </row>
    <row r="105" spans="1:22" x14ac:dyDescent="0.25">
      <c r="A105" s="48" t="s">
        <v>300</v>
      </c>
      <c r="B105" s="38" t="s">
        <v>524</v>
      </c>
      <c r="C105" s="38" t="s">
        <v>45</v>
      </c>
      <c r="D105" s="31" t="s">
        <v>518</v>
      </c>
      <c r="E105" s="9" t="s">
        <v>44</v>
      </c>
      <c r="F105" s="5">
        <v>351</v>
      </c>
      <c r="G105" s="9">
        <v>600</v>
      </c>
      <c r="H105" s="32" t="s">
        <v>290</v>
      </c>
      <c r="I105" s="32" t="s">
        <v>519</v>
      </c>
      <c r="J105" s="33" t="s">
        <v>292</v>
      </c>
      <c r="K105" s="33" t="s">
        <v>324</v>
      </c>
      <c r="L105" s="49" t="s">
        <v>294</v>
      </c>
      <c r="M105" s="50" t="str">
        <f>Tabla16[[#This Row],[ABR_02]]</f>
        <v>CB</v>
      </c>
      <c r="N105" t="s">
        <v>295</v>
      </c>
      <c r="O105" s="51" t="s">
        <v>293</v>
      </c>
      <c r="P105" t="s">
        <v>296</v>
      </c>
      <c r="Q105" t="s">
        <v>303</v>
      </c>
      <c r="R105" s="52" t="str">
        <f>_xlfn.CONCAT(Tabla16[[#This Row],[ABR_01]],"00",Tabla16[[#This Row],[ABR_02]],Tabla16[[#This Row],[ZONA2]],,"0",Tabla16[[#This Row],[PARADA2]])</f>
        <v>AR00CB1008</v>
      </c>
      <c r="S105" s="52" t="s">
        <v>304</v>
      </c>
      <c r="T105" s="34" t="s">
        <v>299</v>
      </c>
      <c r="U105" s="34" t="s">
        <v>299</v>
      </c>
      <c r="V105" t="s">
        <v>804</v>
      </c>
    </row>
    <row r="106" spans="1:22" x14ac:dyDescent="0.25">
      <c r="A106" s="48" t="s">
        <v>300</v>
      </c>
      <c r="B106" s="30" t="s">
        <v>525</v>
      </c>
      <c r="C106" s="30" t="s">
        <v>526</v>
      </c>
      <c r="D106" s="31" t="s">
        <v>518</v>
      </c>
      <c r="E106" s="9" t="s">
        <v>44</v>
      </c>
      <c r="F106" s="5">
        <v>351</v>
      </c>
      <c r="G106" s="9">
        <v>680</v>
      </c>
      <c r="H106" s="32" t="s">
        <v>290</v>
      </c>
      <c r="I106" s="32" t="s">
        <v>519</v>
      </c>
      <c r="J106" s="33" t="s">
        <v>292</v>
      </c>
      <c r="K106" s="33" t="s">
        <v>368</v>
      </c>
      <c r="L106" s="49" t="s">
        <v>294</v>
      </c>
      <c r="M106" s="50" t="str">
        <f>Tabla16[[#This Row],[ABR_02]]</f>
        <v>CB</v>
      </c>
      <c r="N106" t="s">
        <v>295</v>
      </c>
      <c r="O106" s="51" t="s">
        <v>293</v>
      </c>
      <c r="P106" t="s">
        <v>296</v>
      </c>
      <c r="Q106" t="s">
        <v>303</v>
      </c>
      <c r="R106" s="52" t="str">
        <f>_xlfn.CONCAT(Tabla16[[#This Row],[ABR_01]],"00",Tabla16[[#This Row],[ABR_02]],Tabla16[[#This Row],[ZONA2]],,"0",Tabla16[[#This Row],[PARADA2]])</f>
        <v>AR00CB1009</v>
      </c>
      <c r="S106" s="52" t="s">
        <v>304</v>
      </c>
      <c r="T106" s="34" t="s">
        <v>299</v>
      </c>
      <c r="U106" s="34" t="s">
        <v>299</v>
      </c>
      <c r="V106" t="s">
        <v>804</v>
      </c>
    </row>
    <row r="107" spans="1:22" x14ac:dyDescent="0.25">
      <c r="A107" s="48" t="s">
        <v>300</v>
      </c>
      <c r="B107" s="30" t="s">
        <v>527</v>
      </c>
      <c r="C107" s="30" t="s">
        <v>527</v>
      </c>
      <c r="D107" s="31" t="s">
        <v>518</v>
      </c>
      <c r="E107" s="9" t="s">
        <v>44</v>
      </c>
      <c r="F107" s="5">
        <v>351</v>
      </c>
      <c r="G107" s="9">
        <v>610</v>
      </c>
      <c r="H107" s="32" t="s">
        <v>290</v>
      </c>
      <c r="I107" s="32" t="s">
        <v>519</v>
      </c>
      <c r="J107" s="33" t="s">
        <v>292</v>
      </c>
      <c r="K107" s="33" t="s">
        <v>370</v>
      </c>
      <c r="L107" s="49" t="s">
        <v>294</v>
      </c>
      <c r="M107" s="50" t="str">
        <f>Tabla16[[#This Row],[ABR_02]]</f>
        <v>CB</v>
      </c>
      <c r="N107" t="s">
        <v>295</v>
      </c>
      <c r="O107" s="51" t="s">
        <v>293</v>
      </c>
      <c r="P107" t="s">
        <v>296</v>
      </c>
      <c r="Q107" t="s">
        <v>303</v>
      </c>
      <c r="R107" s="52" t="str">
        <f>_xlfn.CONCAT(Tabla16[[#This Row],[ABR_01]],"00",Tabla16[[#This Row],[ABR_02]],Tabla16[[#This Row],[ZONA2]],,"0",Tabla16[[#This Row],[PARADA2]])</f>
        <v>AR00CB1010</v>
      </c>
      <c r="S107" s="52" t="s">
        <v>304</v>
      </c>
      <c r="T107" s="34" t="s">
        <v>299</v>
      </c>
      <c r="U107" s="34" t="s">
        <v>299</v>
      </c>
      <c r="V107" t="s">
        <v>804</v>
      </c>
    </row>
    <row r="108" spans="1:22" x14ac:dyDescent="0.25">
      <c r="A108" s="48" t="s">
        <v>300</v>
      </c>
      <c r="B108" s="30" t="s">
        <v>528</v>
      </c>
      <c r="C108" s="30" t="s">
        <v>528</v>
      </c>
      <c r="D108" s="31" t="s">
        <v>518</v>
      </c>
      <c r="E108" s="9" t="s">
        <v>44</v>
      </c>
      <c r="F108" s="5">
        <v>351</v>
      </c>
      <c r="G108" s="9">
        <v>670</v>
      </c>
      <c r="H108" s="32" t="s">
        <v>290</v>
      </c>
      <c r="I108" s="32" t="s">
        <v>519</v>
      </c>
      <c r="J108" s="33" t="s">
        <v>292</v>
      </c>
      <c r="K108" s="33" t="s">
        <v>372</v>
      </c>
      <c r="L108" s="49" t="s">
        <v>294</v>
      </c>
      <c r="M108" s="50" t="str">
        <f>Tabla16[[#This Row],[ABR_02]]</f>
        <v>CB</v>
      </c>
      <c r="N108" t="s">
        <v>295</v>
      </c>
      <c r="O108" s="51" t="s">
        <v>293</v>
      </c>
      <c r="P108" t="s">
        <v>296</v>
      </c>
      <c r="Q108" t="s">
        <v>303</v>
      </c>
      <c r="R108" s="52" t="str">
        <f>_xlfn.CONCAT(Tabla16[[#This Row],[ABR_01]],"00",Tabla16[[#This Row],[ABR_02]],Tabla16[[#This Row],[ZONA2]],,"0",Tabla16[[#This Row],[PARADA2]])</f>
        <v>AR00CB1011</v>
      </c>
      <c r="S108" s="52" t="s">
        <v>304</v>
      </c>
      <c r="T108" s="34" t="s">
        <v>299</v>
      </c>
      <c r="U108" s="34" t="s">
        <v>299</v>
      </c>
      <c r="V108" t="s">
        <v>804</v>
      </c>
    </row>
    <row r="109" spans="1:22" x14ac:dyDescent="0.25">
      <c r="A109" s="48" t="s">
        <v>300</v>
      </c>
      <c r="B109" s="30" t="s">
        <v>529</v>
      </c>
      <c r="C109" s="30" t="s">
        <v>529</v>
      </c>
      <c r="D109" s="31" t="s">
        <v>518</v>
      </c>
      <c r="E109" s="9" t="s">
        <v>44</v>
      </c>
      <c r="F109" s="5">
        <v>351</v>
      </c>
      <c r="G109" s="9">
        <v>645</v>
      </c>
      <c r="H109" s="32" t="s">
        <v>290</v>
      </c>
      <c r="I109" s="32" t="s">
        <v>519</v>
      </c>
      <c r="J109" s="33" t="s">
        <v>292</v>
      </c>
      <c r="K109" s="33" t="s">
        <v>374</v>
      </c>
      <c r="L109" s="49" t="s">
        <v>294</v>
      </c>
      <c r="M109" s="50" t="str">
        <f>Tabla16[[#This Row],[ABR_02]]</f>
        <v>CB</v>
      </c>
      <c r="N109" t="s">
        <v>295</v>
      </c>
      <c r="O109" s="51" t="s">
        <v>293</v>
      </c>
      <c r="P109" t="s">
        <v>296</v>
      </c>
      <c r="Q109" t="s">
        <v>303</v>
      </c>
      <c r="R109" s="52" t="str">
        <f>_xlfn.CONCAT(Tabla16[[#This Row],[ABR_01]],"00",Tabla16[[#This Row],[ABR_02]],Tabla16[[#This Row],[ZONA2]],,"0",Tabla16[[#This Row],[PARADA2]])</f>
        <v>AR00CB1012</v>
      </c>
      <c r="S109" s="52" t="s">
        <v>304</v>
      </c>
      <c r="T109" s="34" t="s">
        <v>299</v>
      </c>
      <c r="U109" s="34" t="s">
        <v>299</v>
      </c>
      <c r="V109" t="s">
        <v>804</v>
      </c>
    </row>
    <row r="110" spans="1:22" x14ac:dyDescent="0.25">
      <c r="A110" s="48" t="s">
        <v>300</v>
      </c>
      <c r="B110" s="30" t="s">
        <v>530</v>
      </c>
      <c r="C110" s="30" t="s">
        <v>530</v>
      </c>
      <c r="D110" s="31" t="s">
        <v>518</v>
      </c>
      <c r="E110" s="9" t="s">
        <v>44</v>
      </c>
      <c r="F110" s="5">
        <v>351</v>
      </c>
      <c r="G110" s="9">
        <v>660</v>
      </c>
      <c r="H110" s="32" t="s">
        <v>290</v>
      </c>
      <c r="I110" s="32" t="s">
        <v>519</v>
      </c>
      <c r="J110" s="33" t="s">
        <v>292</v>
      </c>
      <c r="K110" s="33" t="s">
        <v>376</v>
      </c>
      <c r="L110" s="49" t="s">
        <v>294</v>
      </c>
      <c r="M110" s="50" t="str">
        <f>Tabla16[[#This Row],[ABR_02]]</f>
        <v>CB</v>
      </c>
      <c r="N110" t="s">
        <v>295</v>
      </c>
      <c r="O110" s="51" t="s">
        <v>293</v>
      </c>
      <c r="P110" t="s">
        <v>296</v>
      </c>
      <c r="Q110" t="s">
        <v>303</v>
      </c>
      <c r="R110" s="52" t="str">
        <f>_xlfn.CONCAT(Tabla16[[#This Row],[ABR_01]],"00",Tabla16[[#This Row],[ABR_02]],Tabla16[[#This Row],[ZONA2]],,"0",Tabla16[[#This Row],[PARADA2]])</f>
        <v>AR00CB1013</v>
      </c>
      <c r="S110" s="52" t="s">
        <v>304</v>
      </c>
      <c r="T110" s="34" t="s">
        <v>299</v>
      </c>
      <c r="U110" s="34" t="s">
        <v>299</v>
      </c>
      <c r="V110" t="s">
        <v>804</v>
      </c>
    </row>
    <row r="111" spans="1:22" x14ac:dyDescent="0.25">
      <c r="A111" s="48" t="s">
        <v>300</v>
      </c>
      <c r="B111" s="30" t="s">
        <v>531</v>
      </c>
      <c r="C111" s="30" t="s">
        <v>531</v>
      </c>
      <c r="D111" s="31" t="s">
        <v>518</v>
      </c>
      <c r="E111" s="9" t="s">
        <v>44</v>
      </c>
      <c r="F111" s="5">
        <v>351</v>
      </c>
      <c r="G111" s="9">
        <v>625</v>
      </c>
      <c r="H111" s="32" t="s">
        <v>290</v>
      </c>
      <c r="I111" s="32" t="s">
        <v>519</v>
      </c>
      <c r="J111" s="33" t="s">
        <v>292</v>
      </c>
      <c r="K111" s="33" t="s">
        <v>379</v>
      </c>
      <c r="L111" s="49" t="s">
        <v>294</v>
      </c>
      <c r="M111" s="50" t="str">
        <f>Tabla16[[#This Row],[ABR_02]]</f>
        <v>CB</v>
      </c>
      <c r="N111" t="s">
        <v>295</v>
      </c>
      <c r="O111" s="51" t="s">
        <v>293</v>
      </c>
      <c r="P111" t="s">
        <v>296</v>
      </c>
      <c r="Q111" t="s">
        <v>303</v>
      </c>
      <c r="R111" s="52" t="str">
        <f>_xlfn.CONCAT(Tabla16[[#This Row],[ABR_01]],"00",Tabla16[[#This Row],[ABR_02]],Tabla16[[#This Row],[ZONA2]],,"0",Tabla16[[#This Row],[PARADA2]])</f>
        <v>AR00CB1014</v>
      </c>
      <c r="S111" s="52" t="s">
        <v>304</v>
      </c>
      <c r="T111" s="34" t="s">
        <v>299</v>
      </c>
      <c r="U111" s="34" t="s">
        <v>299</v>
      </c>
      <c r="V111" t="s">
        <v>804</v>
      </c>
    </row>
    <row r="112" spans="1:22" x14ac:dyDescent="0.25">
      <c r="A112" s="48" t="s">
        <v>300</v>
      </c>
      <c r="B112" s="30" t="s">
        <v>532</v>
      </c>
      <c r="C112" s="30" t="s">
        <v>532</v>
      </c>
      <c r="D112" s="31" t="s">
        <v>518</v>
      </c>
      <c r="E112" s="9" t="s">
        <v>44</v>
      </c>
      <c r="F112" s="5">
        <v>351</v>
      </c>
      <c r="G112" s="9">
        <v>655</v>
      </c>
      <c r="H112" s="32" t="s">
        <v>290</v>
      </c>
      <c r="I112" s="32" t="s">
        <v>519</v>
      </c>
      <c r="J112" s="33" t="s">
        <v>292</v>
      </c>
      <c r="K112" s="33" t="s">
        <v>382</v>
      </c>
      <c r="L112" s="49" t="s">
        <v>294</v>
      </c>
      <c r="M112" s="50" t="str">
        <f>Tabla16[[#This Row],[ABR_02]]</f>
        <v>CB</v>
      </c>
      <c r="N112" t="s">
        <v>295</v>
      </c>
      <c r="O112" s="51" t="s">
        <v>293</v>
      </c>
      <c r="P112" t="s">
        <v>296</v>
      </c>
      <c r="Q112" t="s">
        <v>303</v>
      </c>
      <c r="R112" s="52" t="str">
        <f>_xlfn.CONCAT(Tabla16[[#This Row],[ABR_01]],"00",Tabla16[[#This Row],[ABR_02]],Tabla16[[#This Row],[ZONA2]],,"0",Tabla16[[#This Row],[PARADA2]])</f>
        <v>AR00CB1015</v>
      </c>
      <c r="S112" s="52" t="s">
        <v>304</v>
      </c>
      <c r="T112" s="34" t="s">
        <v>299</v>
      </c>
      <c r="U112" s="34" t="s">
        <v>299</v>
      </c>
      <c r="V112" t="s">
        <v>804</v>
      </c>
    </row>
    <row r="113" spans="1:22" x14ac:dyDescent="0.25">
      <c r="A113" s="48" t="s">
        <v>300</v>
      </c>
      <c r="B113" s="30" t="s">
        <v>533</v>
      </c>
      <c r="C113" s="30" t="s">
        <v>534</v>
      </c>
      <c r="D113" s="31" t="s">
        <v>518</v>
      </c>
      <c r="E113" s="9" t="s">
        <v>44</v>
      </c>
      <c r="F113" s="5">
        <v>351</v>
      </c>
      <c r="G113" s="9">
        <v>620</v>
      </c>
      <c r="H113" s="32" t="s">
        <v>290</v>
      </c>
      <c r="I113" s="32" t="s">
        <v>519</v>
      </c>
      <c r="J113" s="33" t="s">
        <v>292</v>
      </c>
      <c r="K113" s="33" t="s">
        <v>384</v>
      </c>
      <c r="L113" s="49" t="s">
        <v>294</v>
      </c>
      <c r="M113" s="50" t="str">
        <f>Tabla16[[#This Row],[ABR_02]]</f>
        <v>CB</v>
      </c>
      <c r="N113" t="s">
        <v>295</v>
      </c>
      <c r="O113" s="51" t="s">
        <v>293</v>
      </c>
      <c r="P113" t="s">
        <v>296</v>
      </c>
      <c r="Q113" t="s">
        <v>303</v>
      </c>
      <c r="R113" s="52" t="str">
        <f>_xlfn.CONCAT(Tabla16[[#This Row],[ABR_01]],"00",Tabla16[[#This Row],[ABR_02]],Tabla16[[#This Row],[ZONA2]],,"0",Tabla16[[#This Row],[PARADA2]])</f>
        <v>AR00CB1016</v>
      </c>
      <c r="S113" s="52" t="s">
        <v>304</v>
      </c>
      <c r="T113" s="34" t="s">
        <v>299</v>
      </c>
      <c r="U113" s="34" t="s">
        <v>299</v>
      </c>
      <c r="V113" t="s">
        <v>804</v>
      </c>
    </row>
    <row r="114" spans="1:22" x14ac:dyDescent="0.25">
      <c r="A114" s="48" t="s">
        <v>300</v>
      </c>
      <c r="B114" s="30" t="s">
        <v>535</v>
      </c>
      <c r="C114" s="30" t="s">
        <v>100</v>
      </c>
      <c r="D114" s="31" t="s">
        <v>518</v>
      </c>
      <c r="E114" s="9" t="s">
        <v>44</v>
      </c>
      <c r="F114" s="5">
        <v>351</v>
      </c>
      <c r="G114" s="9">
        <v>662</v>
      </c>
      <c r="H114" s="32" t="s">
        <v>290</v>
      </c>
      <c r="I114" s="32" t="s">
        <v>519</v>
      </c>
      <c r="J114" s="33" t="s">
        <v>292</v>
      </c>
      <c r="K114" s="33" t="s">
        <v>387</v>
      </c>
      <c r="L114" s="49" t="s">
        <v>294</v>
      </c>
      <c r="M114" s="50" t="str">
        <f>Tabla16[[#This Row],[ABR_02]]</f>
        <v>CB</v>
      </c>
      <c r="N114" t="s">
        <v>295</v>
      </c>
      <c r="O114" s="51" t="s">
        <v>293</v>
      </c>
      <c r="P114" t="s">
        <v>296</v>
      </c>
      <c r="Q114" t="s">
        <v>303</v>
      </c>
      <c r="R114" s="52" t="str">
        <f>_xlfn.CONCAT(Tabla16[[#This Row],[ABR_01]],"00",Tabla16[[#This Row],[ABR_02]],Tabla16[[#This Row],[ZONA2]],,"0",Tabla16[[#This Row],[PARADA2]])</f>
        <v>AR00CB1017</v>
      </c>
      <c r="S114" s="52" t="s">
        <v>304</v>
      </c>
      <c r="T114" s="34" t="s">
        <v>299</v>
      </c>
      <c r="U114" s="34" t="s">
        <v>299</v>
      </c>
      <c r="V114" t="s">
        <v>804</v>
      </c>
    </row>
    <row r="115" spans="1:22" x14ac:dyDescent="0.25">
      <c r="A115" s="48" t="s">
        <v>300</v>
      </c>
      <c r="B115" s="30" t="s">
        <v>536</v>
      </c>
      <c r="C115" s="30" t="s">
        <v>202</v>
      </c>
      <c r="D115" s="31" t="s">
        <v>518</v>
      </c>
      <c r="E115" s="9" t="s">
        <v>44</v>
      </c>
      <c r="F115" s="5">
        <v>351</v>
      </c>
      <c r="G115" s="9">
        <v>665</v>
      </c>
      <c r="H115" s="32" t="s">
        <v>290</v>
      </c>
      <c r="I115" s="32" t="s">
        <v>519</v>
      </c>
      <c r="J115" s="33" t="s">
        <v>292</v>
      </c>
      <c r="K115" s="33" t="s">
        <v>389</v>
      </c>
      <c r="L115" s="49" t="s">
        <v>294</v>
      </c>
      <c r="M115" s="50" t="str">
        <f>Tabla16[[#This Row],[ABR_02]]</f>
        <v>CB</v>
      </c>
      <c r="N115" t="s">
        <v>295</v>
      </c>
      <c r="O115" s="51" t="s">
        <v>293</v>
      </c>
      <c r="P115" t="s">
        <v>296</v>
      </c>
      <c r="Q115" t="s">
        <v>303</v>
      </c>
      <c r="R115" s="52" t="str">
        <f>_xlfn.CONCAT(Tabla16[[#This Row],[ABR_01]],"00",Tabla16[[#This Row],[ABR_02]],Tabla16[[#This Row],[ZONA2]],,"0",Tabla16[[#This Row],[PARADA2]])</f>
        <v>AR00CB1018</v>
      </c>
      <c r="S115" s="52" t="s">
        <v>304</v>
      </c>
      <c r="T115" s="34" t="s">
        <v>299</v>
      </c>
      <c r="U115" s="34" t="s">
        <v>299</v>
      </c>
      <c r="V115" t="s">
        <v>804</v>
      </c>
    </row>
    <row r="116" spans="1:22" x14ac:dyDescent="0.25">
      <c r="A116" s="48" t="s">
        <v>300</v>
      </c>
      <c r="B116" s="30" t="s">
        <v>537</v>
      </c>
      <c r="C116" s="30" t="s">
        <v>538</v>
      </c>
      <c r="D116" s="31" t="s">
        <v>518</v>
      </c>
      <c r="E116" s="9" t="s">
        <v>44</v>
      </c>
      <c r="F116" s="5">
        <v>351</v>
      </c>
      <c r="G116" s="9">
        <v>720</v>
      </c>
      <c r="H116" s="32" t="s">
        <v>290</v>
      </c>
      <c r="I116" s="32" t="s">
        <v>519</v>
      </c>
      <c r="J116" s="33" t="s">
        <v>292</v>
      </c>
      <c r="K116" s="33" t="s">
        <v>392</v>
      </c>
      <c r="L116" s="49" t="s">
        <v>294</v>
      </c>
      <c r="M116" s="50" t="str">
        <f>Tabla16[[#This Row],[ABR_02]]</f>
        <v>CB</v>
      </c>
      <c r="N116" t="s">
        <v>295</v>
      </c>
      <c r="O116" s="51" t="s">
        <v>293</v>
      </c>
      <c r="P116" t="s">
        <v>296</v>
      </c>
      <c r="Q116" t="s">
        <v>303</v>
      </c>
      <c r="R116" s="52" t="str">
        <f>_xlfn.CONCAT(Tabla16[[#This Row],[ABR_01]],"00",Tabla16[[#This Row],[ABR_02]],Tabla16[[#This Row],[ZONA2]],,"0",Tabla16[[#This Row],[PARADA2]])</f>
        <v>AR00CB1019</v>
      </c>
      <c r="S116" s="52" t="s">
        <v>304</v>
      </c>
      <c r="T116" s="34" t="s">
        <v>299</v>
      </c>
      <c r="U116" s="34" t="s">
        <v>299</v>
      </c>
      <c r="V116" t="s">
        <v>804</v>
      </c>
    </row>
    <row r="117" spans="1:22" x14ac:dyDescent="0.25">
      <c r="A117" s="48" t="s">
        <v>300</v>
      </c>
      <c r="B117" s="30" t="s">
        <v>539</v>
      </c>
      <c r="C117" s="30" t="s">
        <v>539</v>
      </c>
      <c r="D117" s="31" t="s">
        <v>518</v>
      </c>
      <c r="E117" s="9" t="s">
        <v>44</v>
      </c>
      <c r="F117" s="5">
        <v>351</v>
      </c>
      <c r="G117" s="9">
        <v>657</v>
      </c>
      <c r="H117" s="32" t="s">
        <v>290</v>
      </c>
      <c r="I117" s="32" t="s">
        <v>519</v>
      </c>
      <c r="J117" s="33" t="s">
        <v>292</v>
      </c>
      <c r="K117" s="33" t="s">
        <v>394</v>
      </c>
      <c r="L117" s="49" t="s">
        <v>294</v>
      </c>
      <c r="M117" s="50" t="str">
        <f>Tabla16[[#This Row],[ABR_02]]</f>
        <v>CB</v>
      </c>
      <c r="N117" t="s">
        <v>295</v>
      </c>
      <c r="O117" s="51" t="s">
        <v>293</v>
      </c>
      <c r="P117" t="s">
        <v>296</v>
      </c>
      <c r="Q117" t="s">
        <v>303</v>
      </c>
      <c r="R117" s="52" t="str">
        <f>_xlfn.CONCAT(Tabla16[[#This Row],[ABR_01]],"00",Tabla16[[#This Row],[ABR_02]],Tabla16[[#This Row],[ZONA2]],,"0",Tabla16[[#This Row],[PARADA2]])</f>
        <v>AR00CB1020</v>
      </c>
      <c r="S117" s="52" t="s">
        <v>304</v>
      </c>
      <c r="T117" s="34" t="s">
        <v>299</v>
      </c>
      <c r="U117" s="34" t="s">
        <v>299</v>
      </c>
      <c r="V117" t="s">
        <v>804</v>
      </c>
    </row>
    <row r="118" spans="1:22" x14ac:dyDescent="0.25">
      <c r="A118" s="48" t="s">
        <v>300</v>
      </c>
      <c r="B118" s="30" t="s">
        <v>540</v>
      </c>
      <c r="C118" s="3" t="s">
        <v>541</v>
      </c>
      <c r="D118" s="31" t="s">
        <v>518</v>
      </c>
      <c r="E118" s="9" t="s">
        <v>44</v>
      </c>
      <c r="F118" s="5">
        <v>351</v>
      </c>
      <c r="G118" s="9">
        <v>630</v>
      </c>
      <c r="H118" s="32" t="s">
        <v>290</v>
      </c>
      <c r="I118" s="32" t="s">
        <v>519</v>
      </c>
      <c r="J118" s="33" t="s">
        <v>292</v>
      </c>
      <c r="K118" s="33" t="s">
        <v>396</v>
      </c>
      <c r="L118" s="49" t="s">
        <v>294</v>
      </c>
      <c r="M118" s="50" t="str">
        <f>Tabla16[[#This Row],[ABR_02]]</f>
        <v>CB</v>
      </c>
      <c r="N118" t="s">
        <v>295</v>
      </c>
      <c r="O118" s="51" t="s">
        <v>293</v>
      </c>
      <c r="P118" t="s">
        <v>296</v>
      </c>
      <c r="Q118" t="s">
        <v>303</v>
      </c>
      <c r="R118" s="52" t="str">
        <f>_xlfn.CONCAT(Tabla16[[#This Row],[ABR_01]],"00",Tabla16[[#This Row],[ABR_02]],Tabla16[[#This Row],[ZONA2]],,"0",Tabla16[[#This Row],[PARADA2]])</f>
        <v>AR00CB1021</v>
      </c>
      <c r="S118" s="52" t="s">
        <v>304</v>
      </c>
      <c r="T118" s="34" t="s">
        <v>299</v>
      </c>
      <c r="U118" s="34" t="s">
        <v>299</v>
      </c>
      <c r="V118" t="s">
        <v>804</v>
      </c>
    </row>
    <row r="119" spans="1:22" x14ac:dyDescent="0.25">
      <c r="A119" s="48" t="s">
        <v>300</v>
      </c>
      <c r="B119" s="30" t="s">
        <v>542</v>
      </c>
      <c r="C119" s="3" t="s">
        <v>543</v>
      </c>
      <c r="D119" s="31" t="s">
        <v>518</v>
      </c>
      <c r="E119" s="9" t="s">
        <v>44</v>
      </c>
      <c r="F119" s="5">
        <v>351</v>
      </c>
      <c r="G119" s="9">
        <v>615</v>
      </c>
      <c r="H119" s="32" t="s">
        <v>290</v>
      </c>
      <c r="I119" s="32" t="s">
        <v>519</v>
      </c>
      <c r="J119" s="33" t="s">
        <v>292</v>
      </c>
      <c r="K119" s="33" t="s">
        <v>398</v>
      </c>
      <c r="L119" s="49" t="s">
        <v>294</v>
      </c>
      <c r="M119" s="50" t="str">
        <f>Tabla16[[#This Row],[ABR_02]]</f>
        <v>CB</v>
      </c>
      <c r="N119" t="s">
        <v>295</v>
      </c>
      <c r="O119" s="51" t="s">
        <v>293</v>
      </c>
      <c r="P119" t="s">
        <v>296</v>
      </c>
      <c r="Q119" t="s">
        <v>303</v>
      </c>
      <c r="R119" s="52" t="str">
        <f>_xlfn.CONCAT(Tabla16[[#This Row],[ABR_01]],"00",Tabla16[[#This Row],[ABR_02]],Tabla16[[#This Row],[ZONA2]],,"0",Tabla16[[#This Row],[PARADA2]])</f>
        <v>AR00CB1022</v>
      </c>
      <c r="S119" s="52" t="s">
        <v>304</v>
      </c>
      <c r="T119" s="34" t="s">
        <v>299</v>
      </c>
      <c r="U119" s="34" t="s">
        <v>299</v>
      </c>
      <c r="V119" t="s">
        <v>804</v>
      </c>
    </row>
    <row r="120" spans="1:22" x14ac:dyDescent="0.25">
      <c r="A120" s="48" t="s">
        <v>300</v>
      </c>
      <c r="B120" s="30" t="s">
        <v>544</v>
      </c>
      <c r="C120" s="3" t="s">
        <v>545</v>
      </c>
      <c r="D120" s="31" t="s">
        <v>518</v>
      </c>
      <c r="E120" s="9" t="s">
        <v>44</v>
      </c>
      <c r="F120" s="5">
        <v>351</v>
      </c>
      <c r="G120" s="9">
        <v>640</v>
      </c>
      <c r="H120" s="32" t="s">
        <v>290</v>
      </c>
      <c r="I120" s="32" t="s">
        <v>519</v>
      </c>
      <c r="J120" s="33" t="s">
        <v>292</v>
      </c>
      <c r="K120" s="33" t="s">
        <v>401</v>
      </c>
      <c r="L120" s="49" t="s">
        <v>294</v>
      </c>
      <c r="M120" s="50" t="str">
        <f>Tabla16[[#This Row],[ABR_02]]</f>
        <v>CB</v>
      </c>
      <c r="N120" t="s">
        <v>295</v>
      </c>
      <c r="O120" s="51" t="s">
        <v>293</v>
      </c>
      <c r="P120" t="s">
        <v>296</v>
      </c>
      <c r="Q120" t="s">
        <v>303</v>
      </c>
      <c r="R120" s="52" t="str">
        <f>_xlfn.CONCAT(Tabla16[[#This Row],[ABR_01]],"00",Tabla16[[#This Row],[ABR_02]],Tabla16[[#This Row],[ZONA2]],,"0",Tabla16[[#This Row],[PARADA2]])</f>
        <v>AR00CB1023</v>
      </c>
      <c r="S120" s="52" t="s">
        <v>304</v>
      </c>
      <c r="T120" s="34" t="s">
        <v>299</v>
      </c>
      <c r="U120" s="34" t="s">
        <v>299</v>
      </c>
      <c r="V120" t="s">
        <v>804</v>
      </c>
    </row>
    <row r="121" spans="1:22" x14ac:dyDescent="0.25">
      <c r="A121" s="48" t="s">
        <v>300</v>
      </c>
      <c r="B121" s="30" t="s">
        <v>546</v>
      </c>
      <c r="C121" s="3" t="s">
        <v>546</v>
      </c>
      <c r="D121" s="31" t="s">
        <v>518</v>
      </c>
      <c r="E121" s="9" t="s">
        <v>44</v>
      </c>
      <c r="F121" s="5">
        <v>351</v>
      </c>
      <c r="G121" s="9">
        <v>685</v>
      </c>
      <c r="H121" s="32" t="s">
        <v>290</v>
      </c>
      <c r="I121" s="32" t="s">
        <v>519</v>
      </c>
      <c r="J121" s="33" t="s">
        <v>292</v>
      </c>
      <c r="K121" s="33" t="s">
        <v>403</v>
      </c>
      <c r="L121" s="49" t="s">
        <v>294</v>
      </c>
      <c r="M121" s="50" t="str">
        <f>Tabla16[[#This Row],[ABR_02]]</f>
        <v>CB</v>
      </c>
      <c r="N121" t="s">
        <v>295</v>
      </c>
      <c r="O121" s="51" t="s">
        <v>293</v>
      </c>
      <c r="P121" t="s">
        <v>296</v>
      </c>
      <c r="Q121" t="s">
        <v>303</v>
      </c>
      <c r="R121" s="52" t="str">
        <f>_xlfn.CONCAT(Tabla16[[#This Row],[ABR_01]],"00",Tabla16[[#This Row],[ABR_02]],Tabla16[[#This Row],[ZONA2]],,"0",Tabla16[[#This Row],[PARADA2]])</f>
        <v>AR00CB1024</v>
      </c>
      <c r="S121" s="52" t="s">
        <v>304</v>
      </c>
      <c r="T121" s="34" t="s">
        <v>299</v>
      </c>
      <c r="U121" s="34" t="s">
        <v>299</v>
      </c>
      <c r="V121" t="s">
        <v>804</v>
      </c>
    </row>
    <row r="122" spans="1:22" x14ac:dyDescent="0.25">
      <c r="A122" s="48" t="s">
        <v>300</v>
      </c>
      <c r="B122" s="30" t="s">
        <v>547</v>
      </c>
      <c r="C122" s="36" t="s">
        <v>146</v>
      </c>
      <c r="D122" s="31" t="s">
        <v>518</v>
      </c>
      <c r="E122" s="9" t="s">
        <v>44</v>
      </c>
      <c r="F122" s="5">
        <v>351</v>
      </c>
      <c r="G122" s="9">
        <v>675</v>
      </c>
      <c r="H122" s="32" t="s">
        <v>290</v>
      </c>
      <c r="I122" s="32" t="s">
        <v>519</v>
      </c>
      <c r="J122" s="33" t="s">
        <v>292</v>
      </c>
      <c r="K122" s="33" t="s">
        <v>405</v>
      </c>
      <c r="L122" s="49" t="s">
        <v>294</v>
      </c>
      <c r="M122" s="50" t="str">
        <f>Tabla16[[#This Row],[ABR_02]]</f>
        <v>CB</v>
      </c>
      <c r="N122" t="s">
        <v>295</v>
      </c>
      <c r="O122" s="51" t="s">
        <v>293</v>
      </c>
      <c r="P122" t="s">
        <v>296</v>
      </c>
      <c r="Q122" t="s">
        <v>303</v>
      </c>
      <c r="R122" s="52" t="str">
        <f>_xlfn.CONCAT(Tabla16[[#This Row],[ABR_01]],"00",Tabla16[[#This Row],[ABR_02]],Tabla16[[#This Row],[ZONA2]],,"0",Tabla16[[#This Row],[PARADA2]])</f>
        <v>AR00CB1025</v>
      </c>
      <c r="S122" s="52" t="s">
        <v>304</v>
      </c>
      <c r="T122" s="34" t="s">
        <v>299</v>
      </c>
      <c r="U122" s="34" t="s">
        <v>299</v>
      </c>
      <c r="V122" t="s">
        <v>804</v>
      </c>
    </row>
    <row r="123" spans="1:22" x14ac:dyDescent="0.25">
      <c r="A123" s="48" t="s">
        <v>300</v>
      </c>
      <c r="B123" s="30" t="s">
        <v>516</v>
      </c>
      <c r="C123" s="30" t="s">
        <v>517</v>
      </c>
      <c r="D123" s="31" t="s">
        <v>518</v>
      </c>
      <c r="E123" s="9" t="s">
        <v>44</v>
      </c>
      <c r="F123" s="5">
        <v>351</v>
      </c>
      <c r="G123" s="9">
        <v>607</v>
      </c>
      <c r="H123" s="32" t="s">
        <v>290</v>
      </c>
      <c r="I123" s="32" t="s">
        <v>519</v>
      </c>
      <c r="J123" s="33" t="s">
        <v>292</v>
      </c>
      <c r="K123" s="33" t="s">
        <v>293</v>
      </c>
      <c r="L123" s="49" t="s">
        <v>294</v>
      </c>
      <c r="M123" s="50" t="str">
        <f>Tabla16[[#This Row],[ABR_02]]</f>
        <v>CB</v>
      </c>
      <c r="N123" t="s">
        <v>295</v>
      </c>
      <c r="O123" s="51" t="s">
        <v>309</v>
      </c>
      <c r="P123" t="s">
        <v>625</v>
      </c>
      <c r="Q123" t="s">
        <v>295</v>
      </c>
      <c r="R123" s="52" t="str">
        <f>_xlfn.CONCAT(Tabla16[[#This Row],[ABR_01]],"00",Tabla16[[#This Row],[ABR_02]],Tabla16[[#This Row],[ZONA2]],,"0",Tabla16[[#This Row],[PARADA2]])</f>
        <v>AR00CB1001</v>
      </c>
      <c r="S123" s="52" t="s">
        <v>555</v>
      </c>
      <c r="T123" s="34" t="s">
        <v>299</v>
      </c>
      <c r="U123" s="45" t="s">
        <v>299</v>
      </c>
      <c r="V123" t="s">
        <v>805</v>
      </c>
    </row>
    <row r="124" spans="1:22" x14ac:dyDescent="0.25">
      <c r="A124" s="48" t="s">
        <v>300</v>
      </c>
      <c r="B124" s="30" t="s">
        <v>520</v>
      </c>
      <c r="C124" s="30" t="s">
        <v>520</v>
      </c>
      <c r="D124" s="31" t="s">
        <v>518</v>
      </c>
      <c r="E124" s="9" t="s">
        <v>44</v>
      </c>
      <c r="F124" s="5">
        <v>351</v>
      </c>
      <c r="G124" s="9">
        <v>635</v>
      </c>
      <c r="H124" s="32" t="s">
        <v>290</v>
      </c>
      <c r="I124" s="32" t="s">
        <v>519</v>
      </c>
      <c r="J124" s="33" t="s">
        <v>292</v>
      </c>
      <c r="K124" s="33" t="s">
        <v>306</v>
      </c>
      <c r="L124" s="49" t="s">
        <v>294</v>
      </c>
      <c r="M124" s="50" t="str">
        <f>Tabla16[[#This Row],[ABR_02]]</f>
        <v>CB</v>
      </c>
      <c r="N124" t="s">
        <v>295</v>
      </c>
      <c r="O124" s="51" t="s">
        <v>309</v>
      </c>
      <c r="P124" t="s">
        <v>625</v>
      </c>
      <c r="Q124" t="s">
        <v>295</v>
      </c>
      <c r="R124" s="52" t="str">
        <f>_xlfn.CONCAT(Tabla16[[#This Row],[ABR_01]],"00",Tabla16[[#This Row],[ABR_02]],Tabla16[[#This Row],[ZONA2]],,"0",Tabla16[[#This Row],[PARADA2]])</f>
        <v>AR00CB1002</v>
      </c>
      <c r="S124" s="52" t="s">
        <v>555</v>
      </c>
      <c r="T124" s="34" t="s">
        <v>299</v>
      </c>
      <c r="U124" s="45" t="s">
        <v>299</v>
      </c>
      <c r="V124" t="s">
        <v>805</v>
      </c>
    </row>
    <row r="125" spans="1:22" x14ac:dyDescent="0.25">
      <c r="A125" s="48" t="s">
        <v>300</v>
      </c>
      <c r="B125" s="30" t="s">
        <v>521</v>
      </c>
      <c r="C125" s="30" t="s">
        <v>521</v>
      </c>
      <c r="D125" s="31" t="s">
        <v>518</v>
      </c>
      <c r="E125" s="9" t="s">
        <v>44</v>
      </c>
      <c r="F125" s="5">
        <v>351</v>
      </c>
      <c r="G125" s="9">
        <v>725</v>
      </c>
      <c r="H125" s="32" t="s">
        <v>290</v>
      </c>
      <c r="I125" s="32" t="s">
        <v>519</v>
      </c>
      <c r="J125" s="33" t="s">
        <v>292</v>
      </c>
      <c r="K125" s="33" t="s">
        <v>307</v>
      </c>
      <c r="L125" s="49" t="s">
        <v>294</v>
      </c>
      <c r="M125" s="50" t="str">
        <f>Tabla16[[#This Row],[ABR_02]]</f>
        <v>CB</v>
      </c>
      <c r="N125" t="s">
        <v>295</v>
      </c>
      <c r="O125" s="51" t="s">
        <v>309</v>
      </c>
      <c r="P125" t="s">
        <v>625</v>
      </c>
      <c r="Q125" t="s">
        <v>295</v>
      </c>
      <c r="R125" s="52" t="str">
        <f>_xlfn.CONCAT(Tabla16[[#This Row],[ABR_01]],"00",Tabla16[[#This Row],[ABR_02]],Tabla16[[#This Row],[ZONA2]],,"0",Tabla16[[#This Row],[PARADA2]])</f>
        <v>AR00CB1003</v>
      </c>
      <c r="S125" s="52" t="s">
        <v>555</v>
      </c>
      <c r="T125" s="34" t="s">
        <v>299</v>
      </c>
      <c r="U125" s="45" t="s">
        <v>299</v>
      </c>
      <c r="V125" t="s">
        <v>805</v>
      </c>
    </row>
    <row r="126" spans="1:22" x14ac:dyDescent="0.25">
      <c r="A126" s="48" t="s">
        <v>300</v>
      </c>
      <c r="B126" s="30" t="s">
        <v>204</v>
      </c>
      <c r="C126" s="30" t="s">
        <v>204</v>
      </c>
      <c r="D126" s="31" t="s">
        <v>518</v>
      </c>
      <c r="E126" s="9" t="s">
        <v>44</v>
      </c>
      <c r="F126" s="5">
        <v>351</v>
      </c>
      <c r="G126" s="9">
        <v>627</v>
      </c>
      <c r="H126" s="32" t="s">
        <v>290</v>
      </c>
      <c r="I126" s="32" t="s">
        <v>519</v>
      </c>
      <c r="J126" s="33" t="s">
        <v>292</v>
      </c>
      <c r="K126" s="33" t="s">
        <v>309</v>
      </c>
      <c r="L126" s="49" t="s">
        <v>294</v>
      </c>
      <c r="M126" s="50" t="str">
        <f>Tabla16[[#This Row],[ABR_02]]</f>
        <v>CB</v>
      </c>
      <c r="N126" t="s">
        <v>295</v>
      </c>
      <c r="O126" s="51" t="s">
        <v>309</v>
      </c>
      <c r="P126" t="s">
        <v>625</v>
      </c>
      <c r="Q126" t="s">
        <v>295</v>
      </c>
      <c r="R126" s="52" t="str">
        <f>_xlfn.CONCAT(Tabla16[[#This Row],[ABR_01]],"00",Tabla16[[#This Row],[ABR_02]],Tabla16[[#This Row],[ZONA2]],,"0",Tabla16[[#This Row],[PARADA2]])</f>
        <v>AR00CB1004</v>
      </c>
      <c r="S126" s="52" t="s">
        <v>555</v>
      </c>
      <c r="T126" s="34" t="s">
        <v>299</v>
      </c>
      <c r="U126" s="45" t="s">
        <v>299</v>
      </c>
      <c r="V126" t="s">
        <v>805</v>
      </c>
    </row>
    <row r="127" spans="1:22" x14ac:dyDescent="0.25">
      <c r="A127" s="48" t="s">
        <v>300</v>
      </c>
      <c r="B127" s="30" t="s">
        <v>198</v>
      </c>
      <c r="C127" s="38" t="s">
        <v>198</v>
      </c>
      <c r="D127" s="31" t="s">
        <v>518</v>
      </c>
      <c r="E127" s="9" t="s">
        <v>44</v>
      </c>
      <c r="F127" s="5">
        <v>351</v>
      </c>
      <c r="G127" s="9">
        <v>628</v>
      </c>
      <c r="H127" s="32" t="s">
        <v>290</v>
      </c>
      <c r="I127" s="32" t="s">
        <v>519</v>
      </c>
      <c r="J127" s="33" t="s">
        <v>292</v>
      </c>
      <c r="K127" s="33" t="s">
        <v>319</v>
      </c>
      <c r="L127" s="49" t="s">
        <v>294</v>
      </c>
      <c r="M127" s="50" t="str">
        <f>Tabla16[[#This Row],[ABR_02]]</f>
        <v>CB</v>
      </c>
      <c r="N127" t="s">
        <v>295</v>
      </c>
      <c r="O127" s="51" t="s">
        <v>309</v>
      </c>
      <c r="P127" t="s">
        <v>625</v>
      </c>
      <c r="Q127" t="s">
        <v>295</v>
      </c>
      <c r="R127" s="52" t="str">
        <f>_xlfn.CONCAT(Tabla16[[#This Row],[ABR_01]],"00",Tabla16[[#This Row],[ABR_02]],Tabla16[[#This Row],[ZONA2]],,"0",Tabla16[[#This Row],[PARADA2]])</f>
        <v>AR00CB1005</v>
      </c>
      <c r="S127" s="52" t="s">
        <v>555</v>
      </c>
      <c r="T127" s="34" t="s">
        <v>299</v>
      </c>
      <c r="U127" s="45" t="s">
        <v>299</v>
      </c>
      <c r="V127" t="s">
        <v>805</v>
      </c>
    </row>
    <row r="128" spans="1:22" x14ac:dyDescent="0.25">
      <c r="A128" s="48" t="s">
        <v>300</v>
      </c>
      <c r="B128" s="30" t="s">
        <v>522</v>
      </c>
      <c r="C128" s="30" t="s">
        <v>200</v>
      </c>
      <c r="D128" s="31" t="s">
        <v>518</v>
      </c>
      <c r="E128" s="9" t="s">
        <v>44</v>
      </c>
      <c r="F128" s="5">
        <v>351</v>
      </c>
      <c r="G128" s="9">
        <v>605</v>
      </c>
      <c r="H128" s="32" t="s">
        <v>290</v>
      </c>
      <c r="I128" s="32" t="s">
        <v>519</v>
      </c>
      <c r="J128" s="33" t="s">
        <v>292</v>
      </c>
      <c r="K128" s="33" t="s">
        <v>320</v>
      </c>
      <c r="L128" s="49" t="s">
        <v>294</v>
      </c>
      <c r="M128" s="50" t="str">
        <f>Tabla16[[#This Row],[ABR_02]]</f>
        <v>CB</v>
      </c>
      <c r="N128" t="s">
        <v>295</v>
      </c>
      <c r="O128" s="51" t="s">
        <v>309</v>
      </c>
      <c r="P128" t="s">
        <v>625</v>
      </c>
      <c r="Q128" t="s">
        <v>295</v>
      </c>
      <c r="R128" s="52" t="str">
        <f>_xlfn.CONCAT(Tabla16[[#This Row],[ABR_01]],"00",Tabla16[[#This Row],[ABR_02]],Tabla16[[#This Row],[ZONA2]],,"0",Tabla16[[#This Row],[PARADA2]])</f>
        <v>AR00CB1006</v>
      </c>
      <c r="S128" s="52" t="s">
        <v>555</v>
      </c>
      <c r="T128" s="34" t="s">
        <v>299</v>
      </c>
      <c r="U128" s="45" t="s">
        <v>299</v>
      </c>
      <c r="V128" t="s">
        <v>805</v>
      </c>
    </row>
    <row r="129" spans="1:22" x14ac:dyDescent="0.25">
      <c r="A129" s="48" t="s">
        <v>300</v>
      </c>
      <c r="B129" s="30" t="s">
        <v>523</v>
      </c>
      <c r="C129" s="30" t="s">
        <v>523</v>
      </c>
      <c r="D129" s="31" t="s">
        <v>518</v>
      </c>
      <c r="E129" s="9" t="s">
        <v>44</v>
      </c>
      <c r="F129" s="5">
        <v>351</v>
      </c>
      <c r="G129" s="9">
        <v>650</v>
      </c>
      <c r="H129" s="32" t="s">
        <v>290</v>
      </c>
      <c r="I129" s="32" t="s">
        <v>519</v>
      </c>
      <c r="J129" s="33" t="s">
        <v>292</v>
      </c>
      <c r="K129" s="33" t="s">
        <v>322</v>
      </c>
      <c r="L129" s="49" t="s">
        <v>294</v>
      </c>
      <c r="M129" s="50" t="str">
        <f>Tabla16[[#This Row],[ABR_02]]</f>
        <v>CB</v>
      </c>
      <c r="N129" t="s">
        <v>295</v>
      </c>
      <c r="O129" s="51" t="s">
        <v>309</v>
      </c>
      <c r="P129" t="s">
        <v>625</v>
      </c>
      <c r="Q129" t="s">
        <v>295</v>
      </c>
      <c r="R129" s="52" t="str">
        <f>_xlfn.CONCAT(Tabla16[[#This Row],[ABR_01]],"00",Tabla16[[#This Row],[ABR_02]],Tabla16[[#This Row],[ZONA2]],,"0",Tabla16[[#This Row],[PARADA2]])</f>
        <v>AR00CB1007</v>
      </c>
      <c r="S129" s="52" t="s">
        <v>555</v>
      </c>
      <c r="T129" s="34" t="s">
        <v>299</v>
      </c>
      <c r="U129" s="45" t="s">
        <v>299</v>
      </c>
      <c r="V129" t="s">
        <v>805</v>
      </c>
    </row>
    <row r="130" spans="1:22" x14ac:dyDescent="0.25">
      <c r="A130" s="48" t="s">
        <v>300</v>
      </c>
      <c r="B130" s="30" t="s">
        <v>524</v>
      </c>
      <c r="C130" s="38" t="s">
        <v>45</v>
      </c>
      <c r="D130" s="31" t="s">
        <v>518</v>
      </c>
      <c r="E130" s="9" t="s">
        <v>44</v>
      </c>
      <c r="F130" s="5">
        <v>351</v>
      </c>
      <c r="G130" s="9">
        <v>600</v>
      </c>
      <c r="H130" s="32" t="s">
        <v>290</v>
      </c>
      <c r="I130" s="32" t="s">
        <v>519</v>
      </c>
      <c r="J130" s="33" t="s">
        <v>292</v>
      </c>
      <c r="K130" s="33" t="s">
        <v>324</v>
      </c>
      <c r="L130" s="49" t="s">
        <v>294</v>
      </c>
      <c r="M130" s="50" t="str">
        <f>Tabla16[[#This Row],[ABR_02]]</f>
        <v>CB</v>
      </c>
      <c r="N130" t="s">
        <v>295</v>
      </c>
      <c r="O130" s="51" t="s">
        <v>309</v>
      </c>
      <c r="P130" t="s">
        <v>625</v>
      </c>
      <c r="Q130" t="s">
        <v>295</v>
      </c>
      <c r="R130" s="52" t="str">
        <f>_xlfn.CONCAT(Tabla16[[#This Row],[ABR_01]],"00",Tabla16[[#This Row],[ABR_02]],Tabla16[[#This Row],[ZONA2]],,"0",Tabla16[[#This Row],[PARADA2]])</f>
        <v>AR00CB1008</v>
      </c>
      <c r="S130" s="52" t="s">
        <v>555</v>
      </c>
      <c r="T130" s="34" t="s">
        <v>299</v>
      </c>
      <c r="U130" s="45" t="s">
        <v>299</v>
      </c>
      <c r="V130" t="s">
        <v>805</v>
      </c>
    </row>
    <row r="131" spans="1:22" x14ac:dyDescent="0.25">
      <c r="A131" s="48" t="s">
        <v>300</v>
      </c>
      <c r="B131" s="30" t="s">
        <v>525</v>
      </c>
      <c r="C131" s="30" t="s">
        <v>526</v>
      </c>
      <c r="D131" s="31" t="s">
        <v>518</v>
      </c>
      <c r="E131" s="9" t="s">
        <v>44</v>
      </c>
      <c r="F131" s="5">
        <v>351</v>
      </c>
      <c r="G131" s="9">
        <v>680</v>
      </c>
      <c r="H131" s="32" t="s">
        <v>290</v>
      </c>
      <c r="I131" s="32" t="s">
        <v>519</v>
      </c>
      <c r="J131" s="33" t="s">
        <v>292</v>
      </c>
      <c r="K131" s="33" t="s">
        <v>368</v>
      </c>
      <c r="L131" s="49" t="s">
        <v>294</v>
      </c>
      <c r="M131" s="50" t="str">
        <f>Tabla16[[#This Row],[ABR_02]]</f>
        <v>CB</v>
      </c>
      <c r="N131" t="s">
        <v>295</v>
      </c>
      <c r="O131" s="51" t="s">
        <v>309</v>
      </c>
      <c r="P131" t="s">
        <v>625</v>
      </c>
      <c r="Q131" t="s">
        <v>295</v>
      </c>
      <c r="R131" s="52" t="str">
        <f>_xlfn.CONCAT(Tabla16[[#This Row],[ABR_01]],"00",Tabla16[[#This Row],[ABR_02]],Tabla16[[#This Row],[ZONA2]],,"0",Tabla16[[#This Row],[PARADA2]])</f>
        <v>AR00CB1009</v>
      </c>
      <c r="S131" s="52" t="s">
        <v>555</v>
      </c>
      <c r="T131" s="34" t="s">
        <v>299</v>
      </c>
      <c r="U131" s="45" t="s">
        <v>299</v>
      </c>
      <c r="V131" t="s">
        <v>805</v>
      </c>
    </row>
    <row r="132" spans="1:22" x14ac:dyDescent="0.25">
      <c r="A132" s="48" t="s">
        <v>300</v>
      </c>
      <c r="B132" s="30" t="s">
        <v>527</v>
      </c>
      <c r="C132" s="30" t="s">
        <v>527</v>
      </c>
      <c r="D132" s="31" t="s">
        <v>518</v>
      </c>
      <c r="E132" s="9" t="s">
        <v>44</v>
      </c>
      <c r="F132" s="5">
        <v>351</v>
      </c>
      <c r="G132" s="9">
        <v>610</v>
      </c>
      <c r="H132" s="32" t="s">
        <v>290</v>
      </c>
      <c r="I132" s="32" t="s">
        <v>519</v>
      </c>
      <c r="J132" s="33" t="s">
        <v>292</v>
      </c>
      <c r="K132" s="33" t="s">
        <v>370</v>
      </c>
      <c r="L132" s="49" t="s">
        <v>294</v>
      </c>
      <c r="M132" s="50" t="str">
        <f>Tabla16[[#This Row],[ABR_02]]</f>
        <v>CB</v>
      </c>
      <c r="N132" t="s">
        <v>295</v>
      </c>
      <c r="O132" s="51" t="s">
        <v>309</v>
      </c>
      <c r="P132" t="s">
        <v>625</v>
      </c>
      <c r="Q132" t="s">
        <v>295</v>
      </c>
      <c r="R132" s="52" t="str">
        <f>_xlfn.CONCAT(Tabla16[[#This Row],[ABR_01]],"00",Tabla16[[#This Row],[ABR_02]],Tabla16[[#This Row],[ZONA2]],,"0",Tabla16[[#This Row],[PARADA2]])</f>
        <v>AR00CB1010</v>
      </c>
      <c r="S132" s="52" t="s">
        <v>555</v>
      </c>
      <c r="T132" s="34" t="s">
        <v>299</v>
      </c>
      <c r="U132" s="45" t="s">
        <v>299</v>
      </c>
      <c r="V132" t="s">
        <v>805</v>
      </c>
    </row>
    <row r="133" spans="1:22" x14ac:dyDescent="0.25">
      <c r="A133" s="48" t="s">
        <v>300</v>
      </c>
      <c r="B133" s="30" t="s">
        <v>528</v>
      </c>
      <c r="C133" s="30" t="s">
        <v>528</v>
      </c>
      <c r="D133" s="31" t="s">
        <v>518</v>
      </c>
      <c r="E133" s="9" t="s">
        <v>44</v>
      </c>
      <c r="F133" s="5">
        <v>351</v>
      </c>
      <c r="G133" s="9">
        <v>670</v>
      </c>
      <c r="H133" s="32" t="s">
        <v>290</v>
      </c>
      <c r="I133" s="32" t="s">
        <v>519</v>
      </c>
      <c r="J133" s="33" t="s">
        <v>292</v>
      </c>
      <c r="K133" s="33" t="s">
        <v>372</v>
      </c>
      <c r="L133" s="49" t="s">
        <v>294</v>
      </c>
      <c r="M133" s="50" t="str">
        <f>Tabla16[[#This Row],[ABR_02]]</f>
        <v>CB</v>
      </c>
      <c r="N133" t="s">
        <v>295</v>
      </c>
      <c r="O133" s="51" t="s">
        <v>309</v>
      </c>
      <c r="P133" t="s">
        <v>625</v>
      </c>
      <c r="Q133" t="s">
        <v>295</v>
      </c>
      <c r="R133" s="52" t="str">
        <f>_xlfn.CONCAT(Tabla16[[#This Row],[ABR_01]],"00",Tabla16[[#This Row],[ABR_02]],Tabla16[[#This Row],[ZONA2]],,"0",Tabla16[[#This Row],[PARADA2]])</f>
        <v>AR00CB1011</v>
      </c>
      <c r="S133" s="52" t="s">
        <v>555</v>
      </c>
      <c r="T133" s="34" t="s">
        <v>299</v>
      </c>
      <c r="U133" s="45" t="s">
        <v>299</v>
      </c>
      <c r="V133" t="s">
        <v>805</v>
      </c>
    </row>
    <row r="134" spans="1:22" x14ac:dyDescent="0.25">
      <c r="A134" s="48" t="s">
        <v>300</v>
      </c>
      <c r="B134" s="30" t="s">
        <v>529</v>
      </c>
      <c r="C134" s="30" t="s">
        <v>529</v>
      </c>
      <c r="D134" s="31" t="s">
        <v>518</v>
      </c>
      <c r="E134" s="9" t="s">
        <v>44</v>
      </c>
      <c r="F134" s="5">
        <v>351</v>
      </c>
      <c r="G134" s="9">
        <v>645</v>
      </c>
      <c r="H134" s="32" t="s">
        <v>290</v>
      </c>
      <c r="I134" s="32" t="s">
        <v>519</v>
      </c>
      <c r="J134" s="33" t="s">
        <v>292</v>
      </c>
      <c r="K134" s="33" t="s">
        <v>374</v>
      </c>
      <c r="L134" s="49" t="s">
        <v>294</v>
      </c>
      <c r="M134" s="50" t="str">
        <f>Tabla16[[#This Row],[ABR_02]]</f>
        <v>CB</v>
      </c>
      <c r="N134" t="s">
        <v>295</v>
      </c>
      <c r="O134" s="51" t="s">
        <v>309</v>
      </c>
      <c r="P134" t="s">
        <v>625</v>
      </c>
      <c r="Q134" t="s">
        <v>295</v>
      </c>
      <c r="R134" s="52" t="str">
        <f>_xlfn.CONCAT(Tabla16[[#This Row],[ABR_01]],"00",Tabla16[[#This Row],[ABR_02]],Tabla16[[#This Row],[ZONA2]],,"0",Tabla16[[#This Row],[PARADA2]])</f>
        <v>AR00CB1012</v>
      </c>
      <c r="S134" s="52" t="s">
        <v>555</v>
      </c>
      <c r="T134" s="34" t="s">
        <v>299</v>
      </c>
      <c r="U134" s="45" t="s">
        <v>299</v>
      </c>
      <c r="V134" t="s">
        <v>805</v>
      </c>
    </row>
    <row r="135" spans="1:22" x14ac:dyDescent="0.25">
      <c r="A135" s="48" t="s">
        <v>300</v>
      </c>
      <c r="B135" s="30" t="s">
        <v>530</v>
      </c>
      <c r="C135" s="30" t="s">
        <v>530</v>
      </c>
      <c r="D135" s="31" t="s">
        <v>518</v>
      </c>
      <c r="E135" s="9" t="s">
        <v>44</v>
      </c>
      <c r="F135" s="5">
        <v>351</v>
      </c>
      <c r="G135" s="9">
        <v>660</v>
      </c>
      <c r="H135" s="32" t="s">
        <v>290</v>
      </c>
      <c r="I135" s="32" t="s">
        <v>519</v>
      </c>
      <c r="J135" s="33" t="s">
        <v>292</v>
      </c>
      <c r="K135" s="33" t="s">
        <v>376</v>
      </c>
      <c r="L135" s="49" t="s">
        <v>294</v>
      </c>
      <c r="M135" s="50" t="str">
        <f>Tabla16[[#This Row],[ABR_02]]</f>
        <v>CB</v>
      </c>
      <c r="N135" t="s">
        <v>295</v>
      </c>
      <c r="O135" s="51" t="s">
        <v>309</v>
      </c>
      <c r="P135" t="s">
        <v>625</v>
      </c>
      <c r="Q135" t="s">
        <v>295</v>
      </c>
      <c r="R135" s="52" t="str">
        <f>_xlfn.CONCAT(Tabla16[[#This Row],[ABR_01]],"00",Tabla16[[#This Row],[ABR_02]],Tabla16[[#This Row],[ZONA2]],,"0",Tabla16[[#This Row],[PARADA2]])</f>
        <v>AR00CB1013</v>
      </c>
      <c r="S135" s="52" t="s">
        <v>555</v>
      </c>
      <c r="T135" s="34" t="s">
        <v>299</v>
      </c>
      <c r="U135" s="45" t="s">
        <v>299</v>
      </c>
      <c r="V135" t="s">
        <v>805</v>
      </c>
    </row>
    <row r="136" spans="1:22" x14ac:dyDescent="0.25">
      <c r="A136" s="48" t="s">
        <v>300</v>
      </c>
      <c r="B136" s="30" t="s">
        <v>531</v>
      </c>
      <c r="C136" s="30" t="s">
        <v>531</v>
      </c>
      <c r="D136" s="31" t="s">
        <v>518</v>
      </c>
      <c r="E136" s="9" t="s">
        <v>44</v>
      </c>
      <c r="F136" s="5">
        <v>351</v>
      </c>
      <c r="G136" s="9">
        <v>625</v>
      </c>
      <c r="H136" s="32" t="s">
        <v>290</v>
      </c>
      <c r="I136" s="32" t="s">
        <v>519</v>
      </c>
      <c r="J136" s="33" t="s">
        <v>292</v>
      </c>
      <c r="K136" s="33" t="s">
        <v>379</v>
      </c>
      <c r="L136" s="49" t="s">
        <v>294</v>
      </c>
      <c r="M136" s="50" t="str">
        <f>Tabla16[[#This Row],[ABR_02]]</f>
        <v>CB</v>
      </c>
      <c r="N136" t="s">
        <v>295</v>
      </c>
      <c r="O136" s="51" t="s">
        <v>309</v>
      </c>
      <c r="P136" t="s">
        <v>625</v>
      </c>
      <c r="Q136" t="s">
        <v>295</v>
      </c>
      <c r="R136" s="52" t="str">
        <f>_xlfn.CONCAT(Tabla16[[#This Row],[ABR_01]],"00",Tabla16[[#This Row],[ABR_02]],Tabla16[[#This Row],[ZONA2]],,"0",Tabla16[[#This Row],[PARADA2]])</f>
        <v>AR00CB1014</v>
      </c>
      <c r="S136" s="52" t="s">
        <v>555</v>
      </c>
      <c r="T136" s="34" t="s">
        <v>299</v>
      </c>
      <c r="U136" s="45" t="s">
        <v>299</v>
      </c>
      <c r="V136" t="s">
        <v>805</v>
      </c>
    </row>
    <row r="137" spans="1:22" x14ac:dyDescent="0.25">
      <c r="A137" s="48" t="s">
        <v>300</v>
      </c>
      <c r="B137" s="30" t="s">
        <v>532</v>
      </c>
      <c r="C137" s="30" t="s">
        <v>532</v>
      </c>
      <c r="D137" s="31" t="s">
        <v>518</v>
      </c>
      <c r="E137" s="9" t="s">
        <v>44</v>
      </c>
      <c r="F137" s="5">
        <v>351</v>
      </c>
      <c r="G137" s="9">
        <v>655</v>
      </c>
      <c r="H137" s="32" t="s">
        <v>290</v>
      </c>
      <c r="I137" s="32" t="s">
        <v>519</v>
      </c>
      <c r="J137" s="33" t="s">
        <v>292</v>
      </c>
      <c r="K137" s="33" t="s">
        <v>382</v>
      </c>
      <c r="L137" s="49" t="s">
        <v>294</v>
      </c>
      <c r="M137" s="50" t="str">
        <f>Tabla16[[#This Row],[ABR_02]]</f>
        <v>CB</v>
      </c>
      <c r="N137" t="s">
        <v>295</v>
      </c>
      <c r="O137" s="51" t="s">
        <v>309</v>
      </c>
      <c r="P137" t="s">
        <v>625</v>
      </c>
      <c r="Q137" t="s">
        <v>295</v>
      </c>
      <c r="R137" s="52" t="str">
        <f>_xlfn.CONCAT(Tabla16[[#This Row],[ABR_01]],"00",Tabla16[[#This Row],[ABR_02]],Tabla16[[#This Row],[ZONA2]],,"0",Tabla16[[#This Row],[PARADA2]])</f>
        <v>AR00CB1015</v>
      </c>
      <c r="S137" s="52" t="s">
        <v>555</v>
      </c>
      <c r="T137" s="34" t="s">
        <v>299</v>
      </c>
      <c r="U137" s="45" t="s">
        <v>299</v>
      </c>
      <c r="V137" t="s">
        <v>805</v>
      </c>
    </row>
    <row r="138" spans="1:22" x14ac:dyDescent="0.25">
      <c r="A138" s="48" t="s">
        <v>300</v>
      </c>
      <c r="B138" s="30" t="s">
        <v>533</v>
      </c>
      <c r="C138" s="30" t="s">
        <v>534</v>
      </c>
      <c r="D138" s="31" t="s">
        <v>518</v>
      </c>
      <c r="E138" s="9" t="s">
        <v>44</v>
      </c>
      <c r="F138" s="5">
        <v>351</v>
      </c>
      <c r="G138" s="9">
        <v>620</v>
      </c>
      <c r="H138" s="32" t="s">
        <v>290</v>
      </c>
      <c r="I138" s="32" t="s">
        <v>519</v>
      </c>
      <c r="J138" s="33" t="s">
        <v>292</v>
      </c>
      <c r="K138" s="33" t="s">
        <v>384</v>
      </c>
      <c r="L138" s="49" t="s">
        <v>294</v>
      </c>
      <c r="M138" s="50" t="str">
        <f>Tabla16[[#This Row],[ABR_02]]</f>
        <v>CB</v>
      </c>
      <c r="N138" t="s">
        <v>295</v>
      </c>
      <c r="O138" s="51" t="s">
        <v>309</v>
      </c>
      <c r="P138" t="s">
        <v>625</v>
      </c>
      <c r="Q138" t="s">
        <v>295</v>
      </c>
      <c r="R138" s="52" t="str">
        <f>_xlfn.CONCAT(Tabla16[[#This Row],[ABR_01]],"00",Tabla16[[#This Row],[ABR_02]],Tabla16[[#This Row],[ZONA2]],,"0",Tabla16[[#This Row],[PARADA2]])</f>
        <v>AR00CB1016</v>
      </c>
      <c r="S138" s="52" t="s">
        <v>555</v>
      </c>
      <c r="T138" s="34" t="s">
        <v>299</v>
      </c>
      <c r="U138" s="45" t="s">
        <v>299</v>
      </c>
      <c r="V138" t="s">
        <v>805</v>
      </c>
    </row>
    <row r="139" spans="1:22" x14ac:dyDescent="0.25">
      <c r="A139" s="48" t="s">
        <v>300</v>
      </c>
      <c r="B139" s="30" t="s">
        <v>535</v>
      </c>
      <c r="C139" s="30" t="s">
        <v>100</v>
      </c>
      <c r="D139" s="31" t="s">
        <v>518</v>
      </c>
      <c r="E139" s="9" t="s">
        <v>44</v>
      </c>
      <c r="F139" s="5">
        <v>351</v>
      </c>
      <c r="G139" s="9">
        <v>662</v>
      </c>
      <c r="H139" s="32" t="s">
        <v>290</v>
      </c>
      <c r="I139" s="32" t="s">
        <v>519</v>
      </c>
      <c r="J139" s="33" t="s">
        <v>292</v>
      </c>
      <c r="K139" s="33" t="s">
        <v>387</v>
      </c>
      <c r="L139" s="49" t="s">
        <v>294</v>
      </c>
      <c r="M139" s="50" t="str">
        <f>Tabla16[[#This Row],[ABR_02]]</f>
        <v>CB</v>
      </c>
      <c r="N139" t="s">
        <v>295</v>
      </c>
      <c r="O139" s="51" t="s">
        <v>309</v>
      </c>
      <c r="P139" t="s">
        <v>625</v>
      </c>
      <c r="Q139" t="s">
        <v>295</v>
      </c>
      <c r="R139" s="52" t="str">
        <f>_xlfn.CONCAT(Tabla16[[#This Row],[ABR_01]],"00",Tabla16[[#This Row],[ABR_02]],Tabla16[[#This Row],[ZONA2]],,"0",Tabla16[[#This Row],[PARADA2]])</f>
        <v>AR00CB1017</v>
      </c>
      <c r="S139" s="52" t="s">
        <v>555</v>
      </c>
      <c r="T139" s="34" t="s">
        <v>299</v>
      </c>
      <c r="U139" s="45" t="s">
        <v>299</v>
      </c>
      <c r="V139" t="s">
        <v>805</v>
      </c>
    </row>
    <row r="140" spans="1:22" x14ac:dyDescent="0.25">
      <c r="A140" s="48" t="s">
        <v>300</v>
      </c>
      <c r="B140" s="30" t="s">
        <v>536</v>
      </c>
      <c r="C140" s="30" t="s">
        <v>202</v>
      </c>
      <c r="D140" s="31" t="s">
        <v>518</v>
      </c>
      <c r="E140" s="9" t="s">
        <v>44</v>
      </c>
      <c r="F140" s="5">
        <v>351</v>
      </c>
      <c r="G140" s="9">
        <v>665</v>
      </c>
      <c r="H140" s="32" t="s">
        <v>290</v>
      </c>
      <c r="I140" s="32" t="s">
        <v>519</v>
      </c>
      <c r="J140" s="33" t="s">
        <v>292</v>
      </c>
      <c r="K140" s="33" t="s">
        <v>389</v>
      </c>
      <c r="L140" s="49" t="s">
        <v>294</v>
      </c>
      <c r="M140" s="50" t="str">
        <f>Tabla16[[#This Row],[ABR_02]]</f>
        <v>CB</v>
      </c>
      <c r="N140" t="s">
        <v>295</v>
      </c>
      <c r="O140" s="51" t="s">
        <v>309</v>
      </c>
      <c r="P140" t="s">
        <v>625</v>
      </c>
      <c r="Q140" t="s">
        <v>295</v>
      </c>
      <c r="R140" s="52" t="str">
        <f>_xlfn.CONCAT(Tabla16[[#This Row],[ABR_01]],"00",Tabla16[[#This Row],[ABR_02]],Tabla16[[#This Row],[ZONA2]],,"0",Tabla16[[#This Row],[PARADA2]])</f>
        <v>AR00CB1018</v>
      </c>
      <c r="S140" s="52" t="s">
        <v>555</v>
      </c>
      <c r="T140" s="34" t="s">
        <v>299</v>
      </c>
      <c r="U140" s="45" t="s">
        <v>299</v>
      </c>
      <c r="V140" t="s">
        <v>805</v>
      </c>
    </row>
    <row r="141" spans="1:22" x14ac:dyDescent="0.25">
      <c r="A141" s="48" t="s">
        <v>300</v>
      </c>
      <c r="B141" s="30" t="s">
        <v>537</v>
      </c>
      <c r="C141" s="30" t="s">
        <v>538</v>
      </c>
      <c r="D141" s="31" t="s">
        <v>518</v>
      </c>
      <c r="E141" s="9" t="s">
        <v>44</v>
      </c>
      <c r="F141" s="5">
        <v>351</v>
      </c>
      <c r="G141" s="9">
        <v>720</v>
      </c>
      <c r="H141" s="32" t="s">
        <v>290</v>
      </c>
      <c r="I141" s="32" t="s">
        <v>519</v>
      </c>
      <c r="J141" s="33" t="s">
        <v>292</v>
      </c>
      <c r="K141" s="33" t="s">
        <v>392</v>
      </c>
      <c r="L141" s="49" t="s">
        <v>294</v>
      </c>
      <c r="M141" s="50" t="str">
        <f>Tabla16[[#This Row],[ABR_02]]</f>
        <v>CB</v>
      </c>
      <c r="N141" t="s">
        <v>295</v>
      </c>
      <c r="O141" s="51" t="s">
        <v>309</v>
      </c>
      <c r="P141" t="s">
        <v>625</v>
      </c>
      <c r="Q141" t="s">
        <v>295</v>
      </c>
      <c r="R141" s="52" t="str">
        <f>_xlfn.CONCAT(Tabla16[[#This Row],[ABR_01]],"00",Tabla16[[#This Row],[ABR_02]],Tabla16[[#This Row],[ZONA2]],,"0",Tabla16[[#This Row],[PARADA2]])</f>
        <v>AR00CB1019</v>
      </c>
      <c r="S141" s="52" t="s">
        <v>555</v>
      </c>
      <c r="T141" s="34" t="s">
        <v>299</v>
      </c>
      <c r="U141" s="45" t="s">
        <v>299</v>
      </c>
      <c r="V141" t="s">
        <v>805</v>
      </c>
    </row>
    <row r="142" spans="1:22" x14ac:dyDescent="0.25">
      <c r="A142" s="48" t="s">
        <v>300</v>
      </c>
      <c r="B142" s="30" t="s">
        <v>539</v>
      </c>
      <c r="C142" s="30" t="s">
        <v>539</v>
      </c>
      <c r="D142" s="31" t="s">
        <v>518</v>
      </c>
      <c r="E142" s="9" t="s">
        <v>44</v>
      </c>
      <c r="F142" s="5">
        <v>351</v>
      </c>
      <c r="G142" s="9">
        <v>657</v>
      </c>
      <c r="H142" s="32" t="s">
        <v>290</v>
      </c>
      <c r="I142" s="32" t="s">
        <v>519</v>
      </c>
      <c r="J142" s="33" t="s">
        <v>292</v>
      </c>
      <c r="K142" s="33" t="s">
        <v>394</v>
      </c>
      <c r="L142" s="49" t="s">
        <v>294</v>
      </c>
      <c r="M142" s="50" t="str">
        <f>Tabla16[[#This Row],[ABR_02]]</f>
        <v>CB</v>
      </c>
      <c r="N142" t="s">
        <v>295</v>
      </c>
      <c r="O142" s="51" t="s">
        <v>309</v>
      </c>
      <c r="P142" t="s">
        <v>625</v>
      </c>
      <c r="Q142" t="s">
        <v>295</v>
      </c>
      <c r="R142" s="52" t="str">
        <f>_xlfn.CONCAT(Tabla16[[#This Row],[ABR_01]],"00",Tabla16[[#This Row],[ABR_02]],Tabla16[[#This Row],[ZONA2]],,"0",Tabla16[[#This Row],[PARADA2]])</f>
        <v>AR00CB1020</v>
      </c>
      <c r="S142" s="52" t="s">
        <v>555</v>
      </c>
      <c r="T142" s="34" t="s">
        <v>299</v>
      </c>
      <c r="U142" s="45" t="s">
        <v>299</v>
      </c>
      <c r="V142" t="s">
        <v>805</v>
      </c>
    </row>
    <row r="143" spans="1:22" x14ac:dyDescent="0.25">
      <c r="A143" s="48" t="s">
        <v>300</v>
      </c>
      <c r="B143" s="30" t="s">
        <v>540</v>
      </c>
      <c r="C143" s="3" t="s">
        <v>541</v>
      </c>
      <c r="D143" s="31" t="s">
        <v>518</v>
      </c>
      <c r="E143" s="9" t="s">
        <v>44</v>
      </c>
      <c r="F143" s="5">
        <v>351</v>
      </c>
      <c r="G143" s="9">
        <v>630</v>
      </c>
      <c r="H143" s="32" t="s">
        <v>290</v>
      </c>
      <c r="I143" s="32" t="s">
        <v>519</v>
      </c>
      <c r="J143" s="33" t="s">
        <v>292</v>
      </c>
      <c r="K143" s="33" t="s">
        <v>396</v>
      </c>
      <c r="L143" s="49" t="s">
        <v>294</v>
      </c>
      <c r="M143" s="50" t="str">
        <f>Tabla16[[#This Row],[ABR_02]]</f>
        <v>CB</v>
      </c>
      <c r="N143" t="s">
        <v>295</v>
      </c>
      <c r="O143" s="51" t="s">
        <v>309</v>
      </c>
      <c r="P143" t="s">
        <v>625</v>
      </c>
      <c r="Q143" t="s">
        <v>295</v>
      </c>
      <c r="R143" s="52" t="str">
        <f>_xlfn.CONCAT(Tabla16[[#This Row],[ABR_01]],"00",Tabla16[[#This Row],[ABR_02]],Tabla16[[#This Row],[ZONA2]],,"0",Tabla16[[#This Row],[PARADA2]])</f>
        <v>AR00CB1021</v>
      </c>
      <c r="S143" s="52" t="s">
        <v>555</v>
      </c>
      <c r="T143" s="34" t="s">
        <v>299</v>
      </c>
      <c r="U143" s="45" t="s">
        <v>299</v>
      </c>
      <c r="V143" t="s">
        <v>805</v>
      </c>
    </row>
    <row r="144" spans="1:22" x14ac:dyDescent="0.25">
      <c r="A144" s="48" t="s">
        <v>300</v>
      </c>
      <c r="B144" s="30" t="s">
        <v>542</v>
      </c>
      <c r="C144" s="3" t="s">
        <v>543</v>
      </c>
      <c r="D144" s="31" t="s">
        <v>518</v>
      </c>
      <c r="E144" s="9" t="s">
        <v>44</v>
      </c>
      <c r="F144" s="5">
        <v>351</v>
      </c>
      <c r="G144" s="9">
        <v>615</v>
      </c>
      <c r="H144" s="32" t="s">
        <v>290</v>
      </c>
      <c r="I144" s="32" t="s">
        <v>519</v>
      </c>
      <c r="J144" s="33" t="s">
        <v>292</v>
      </c>
      <c r="K144" s="33" t="s">
        <v>398</v>
      </c>
      <c r="L144" s="49" t="s">
        <v>294</v>
      </c>
      <c r="M144" s="50" t="str">
        <f>Tabla16[[#This Row],[ABR_02]]</f>
        <v>CB</v>
      </c>
      <c r="N144" t="s">
        <v>295</v>
      </c>
      <c r="O144" s="51" t="s">
        <v>309</v>
      </c>
      <c r="P144" t="s">
        <v>625</v>
      </c>
      <c r="Q144" t="s">
        <v>295</v>
      </c>
      <c r="R144" s="52" t="str">
        <f>_xlfn.CONCAT(Tabla16[[#This Row],[ABR_01]],"00",Tabla16[[#This Row],[ABR_02]],Tabla16[[#This Row],[ZONA2]],,"0",Tabla16[[#This Row],[PARADA2]])</f>
        <v>AR00CB1022</v>
      </c>
      <c r="S144" s="52" t="s">
        <v>555</v>
      </c>
      <c r="T144" s="34" t="s">
        <v>299</v>
      </c>
      <c r="U144" s="45" t="s">
        <v>299</v>
      </c>
      <c r="V144" t="s">
        <v>805</v>
      </c>
    </row>
    <row r="145" spans="1:22" x14ac:dyDescent="0.25">
      <c r="A145" s="48" t="s">
        <v>300</v>
      </c>
      <c r="B145" s="30" t="s">
        <v>544</v>
      </c>
      <c r="C145" s="3" t="s">
        <v>545</v>
      </c>
      <c r="D145" s="31" t="s">
        <v>518</v>
      </c>
      <c r="E145" s="9" t="s">
        <v>44</v>
      </c>
      <c r="F145" s="5">
        <v>351</v>
      </c>
      <c r="G145" s="9">
        <v>640</v>
      </c>
      <c r="H145" s="32" t="s">
        <v>290</v>
      </c>
      <c r="I145" s="32" t="s">
        <v>519</v>
      </c>
      <c r="J145" s="33" t="s">
        <v>292</v>
      </c>
      <c r="K145" s="33" t="s">
        <v>401</v>
      </c>
      <c r="L145" s="49" t="s">
        <v>294</v>
      </c>
      <c r="M145" s="50" t="str">
        <f>Tabla16[[#This Row],[ABR_02]]</f>
        <v>CB</v>
      </c>
      <c r="N145" t="s">
        <v>295</v>
      </c>
      <c r="O145" s="51" t="s">
        <v>309</v>
      </c>
      <c r="P145" t="s">
        <v>625</v>
      </c>
      <c r="Q145" t="s">
        <v>295</v>
      </c>
      <c r="R145" s="52" t="str">
        <f>_xlfn.CONCAT(Tabla16[[#This Row],[ABR_01]],"00",Tabla16[[#This Row],[ABR_02]],Tabla16[[#This Row],[ZONA2]],,"0",Tabla16[[#This Row],[PARADA2]])</f>
        <v>AR00CB1023</v>
      </c>
      <c r="S145" s="52" t="s">
        <v>555</v>
      </c>
      <c r="T145" s="34" t="s">
        <v>299</v>
      </c>
      <c r="U145" s="45" t="s">
        <v>299</v>
      </c>
      <c r="V145" t="s">
        <v>805</v>
      </c>
    </row>
    <row r="146" spans="1:22" x14ac:dyDescent="0.25">
      <c r="A146" s="48" t="s">
        <v>300</v>
      </c>
      <c r="B146" s="30" t="s">
        <v>546</v>
      </c>
      <c r="C146" s="3" t="s">
        <v>546</v>
      </c>
      <c r="D146" s="31" t="s">
        <v>518</v>
      </c>
      <c r="E146" s="9" t="s">
        <v>44</v>
      </c>
      <c r="F146" s="5">
        <v>351</v>
      </c>
      <c r="G146" s="9">
        <v>685</v>
      </c>
      <c r="H146" s="32" t="s">
        <v>290</v>
      </c>
      <c r="I146" s="32" t="s">
        <v>519</v>
      </c>
      <c r="J146" s="33" t="s">
        <v>292</v>
      </c>
      <c r="K146" s="33" t="s">
        <v>403</v>
      </c>
      <c r="L146" s="49" t="s">
        <v>294</v>
      </c>
      <c r="M146" s="50" t="str">
        <f>Tabla16[[#This Row],[ABR_02]]</f>
        <v>CB</v>
      </c>
      <c r="N146" t="s">
        <v>295</v>
      </c>
      <c r="O146" s="51" t="s">
        <v>309</v>
      </c>
      <c r="P146" t="s">
        <v>625</v>
      </c>
      <c r="Q146" t="s">
        <v>295</v>
      </c>
      <c r="R146" s="52" t="str">
        <f>_xlfn.CONCAT(Tabla16[[#This Row],[ABR_01]],"00",Tabla16[[#This Row],[ABR_02]],Tabla16[[#This Row],[ZONA2]],,"0",Tabla16[[#This Row],[PARADA2]])</f>
        <v>AR00CB1024</v>
      </c>
      <c r="S146" s="52" t="s">
        <v>555</v>
      </c>
      <c r="T146" s="34" t="s">
        <v>299</v>
      </c>
      <c r="U146" s="45" t="s">
        <v>299</v>
      </c>
      <c r="V146" t="s">
        <v>805</v>
      </c>
    </row>
    <row r="147" spans="1:22" x14ac:dyDescent="0.25">
      <c r="A147" s="48" t="s">
        <v>300</v>
      </c>
      <c r="B147" s="30" t="s">
        <v>547</v>
      </c>
      <c r="C147" s="36" t="s">
        <v>146</v>
      </c>
      <c r="D147" s="31" t="s">
        <v>518</v>
      </c>
      <c r="E147" s="9" t="s">
        <v>44</v>
      </c>
      <c r="F147" s="5">
        <v>351</v>
      </c>
      <c r="G147" s="9">
        <v>675</v>
      </c>
      <c r="H147" s="32" t="s">
        <v>290</v>
      </c>
      <c r="I147" s="32" t="s">
        <v>519</v>
      </c>
      <c r="J147" s="33" t="s">
        <v>292</v>
      </c>
      <c r="K147" s="33" t="s">
        <v>405</v>
      </c>
      <c r="L147" s="49" t="s">
        <v>294</v>
      </c>
      <c r="M147" s="50" t="str">
        <f>Tabla16[[#This Row],[ABR_02]]</f>
        <v>CB</v>
      </c>
      <c r="N147" t="s">
        <v>295</v>
      </c>
      <c r="O147" s="51" t="s">
        <v>309</v>
      </c>
      <c r="P147" t="s">
        <v>625</v>
      </c>
      <c r="Q147" t="s">
        <v>295</v>
      </c>
      <c r="R147" s="52" t="str">
        <f>_xlfn.CONCAT(Tabla16[[#This Row],[ABR_01]],"00",Tabla16[[#This Row],[ABR_02]],Tabla16[[#This Row],[ZONA2]],,"0",Tabla16[[#This Row],[PARADA2]])</f>
        <v>AR00CB1025</v>
      </c>
      <c r="S147" s="52" t="s">
        <v>555</v>
      </c>
      <c r="T147" s="34" t="s">
        <v>299</v>
      </c>
      <c r="U147" s="45" t="s">
        <v>299</v>
      </c>
      <c r="V147" t="s">
        <v>805</v>
      </c>
    </row>
    <row r="148" spans="1:22" x14ac:dyDescent="0.25">
      <c r="A148" s="48" t="s">
        <v>300</v>
      </c>
      <c r="B148" s="30" t="s">
        <v>510</v>
      </c>
      <c r="C148" s="36" t="s">
        <v>220</v>
      </c>
      <c r="D148" s="31" t="s">
        <v>511</v>
      </c>
      <c r="E148" s="9" t="s">
        <v>55</v>
      </c>
      <c r="F148" s="5">
        <v>361</v>
      </c>
      <c r="G148" s="9">
        <v>330</v>
      </c>
      <c r="H148" s="32" t="s">
        <v>290</v>
      </c>
      <c r="I148" s="32" t="s">
        <v>512</v>
      </c>
      <c r="J148" s="33" t="s">
        <v>292</v>
      </c>
      <c r="K148" s="33" t="s">
        <v>293</v>
      </c>
      <c r="L148" s="49" t="s">
        <v>294</v>
      </c>
      <c r="M148" s="50" t="str">
        <f>Tabla16[[#This Row],[ABR_02]]</f>
        <v>CR</v>
      </c>
      <c r="N148" t="s">
        <v>295</v>
      </c>
      <c r="O148" s="51" t="s">
        <v>293</v>
      </c>
      <c r="P148" t="s">
        <v>296</v>
      </c>
      <c r="Q148" t="s">
        <v>303</v>
      </c>
      <c r="R148" s="52" t="str">
        <f>_xlfn.CONCAT(Tabla16[[#This Row],[ABR_01]],"00",Tabla16[[#This Row],[ABR_02]],Tabla16[[#This Row],[ZONA2]],,"0",Tabla16[[#This Row],[PARADA2]])</f>
        <v>AR00CR1001</v>
      </c>
      <c r="S148" s="52" t="s">
        <v>304</v>
      </c>
      <c r="T148" s="34" t="s">
        <v>299</v>
      </c>
      <c r="U148" s="34" t="s">
        <v>299</v>
      </c>
      <c r="V148" t="s">
        <v>804</v>
      </c>
    </row>
    <row r="149" spans="1:22" x14ac:dyDescent="0.25">
      <c r="A149" s="48" t="s">
        <v>300</v>
      </c>
      <c r="B149" s="30" t="s">
        <v>513</v>
      </c>
      <c r="C149" s="3" t="s">
        <v>513</v>
      </c>
      <c r="D149" s="31" t="s">
        <v>511</v>
      </c>
      <c r="E149" s="9" t="s">
        <v>55</v>
      </c>
      <c r="F149" s="5">
        <v>361</v>
      </c>
      <c r="G149" s="9">
        <v>335</v>
      </c>
      <c r="H149" s="32" t="s">
        <v>290</v>
      </c>
      <c r="I149" s="32" t="s">
        <v>512</v>
      </c>
      <c r="J149" s="33" t="s">
        <v>292</v>
      </c>
      <c r="K149" s="33" t="s">
        <v>306</v>
      </c>
      <c r="L149" s="49" t="s">
        <v>294</v>
      </c>
      <c r="M149" s="50" t="str">
        <f>Tabla16[[#This Row],[ABR_02]]</f>
        <v>CR</v>
      </c>
      <c r="N149" t="s">
        <v>295</v>
      </c>
      <c r="O149" s="51" t="s">
        <v>293</v>
      </c>
      <c r="P149" t="s">
        <v>296</v>
      </c>
      <c r="Q149" t="s">
        <v>303</v>
      </c>
      <c r="R149" s="52" t="str">
        <f>_xlfn.CONCAT(Tabla16[[#This Row],[ABR_01]],"00",Tabla16[[#This Row],[ABR_02]],Tabla16[[#This Row],[ZONA2]],,"0",Tabla16[[#This Row],[PARADA2]])</f>
        <v>AR00CR1002</v>
      </c>
      <c r="S149" s="52" t="s">
        <v>304</v>
      </c>
      <c r="T149" s="34" t="s">
        <v>299</v>
      </c>
      <c r="U149" s="34" t="s">
        <v>299</v>
      </c>
      <c r="V149" t="s">
        <v>804</v>
      </c>
    </row>
    <row r="150" spans="1:22" x14ac:dyDescent="0.25">
      <c r="A150" s="48" t="s">
        <v>300</v>
      </c>
      <c r="B150" s="30" t="s">
        <v>514</v>
      </c>
      <c r="C150" s="3" t="s">
        <v>515</v>
      </c>
      <c r="D150" s="31" t="s">
        <v>511</v>
      </c>
      <c r="E150" s="9" t="s">
        <v>55</v>
      </c>
      <c r="F150" s="5">
        <v>361</v>
      </c>
      <c r="G150" s="9">
        <v>285</v>
      </c>
      <c r="H150" s="32" t="s">
        <v>290</v>
      </c>
      <c r="I150" s="32" t="s">
        <v>512</v>
      </c>
      <c r="J150" s="33" t="s">
        <v>292</v>
      </c>
      <c r="K150" s="33" t="s">
        <v>307</v>
      </c>
      <c r="L150" s="49" t="s">
        <v>294</v>
      </c>
      <c r="M150" s="50" t="str">
        <f>Tabla16[[#This Row],[ABR_02]]</f>
        <v>CR</v>
      </c>
      <c r="N150" t="s">
        <v>295</v>
      </c>
      <c r="O150" s="51" t="s">
        <v>293</v>
      </c>
      <c r="P150" t="s">
        <v>296</v>
      </c>
      <c r="Q150" t="s">
        <v>303</v>
      </c>
      <c r="R150" s="52" t="str">
        <f>_xlfn.CONCAT(Tabla16[[#This Row],[ABR_01]],"00",Tabla16[[#This Row],[ABR_02]],Tabla16[[#This Row],[ZONA2]],,"0",Tabla16[[#This Row],[PARADA2]])</f>
        <v>AR00CR1003</v>
      </c>
      <c r="S150" s="52" t="s">
        <v>304</v>
      </c>
      <c r="T150" s="34" t="s">
        <v>299</v>
      </c>
      <c r="U150" s="34" t="s">
        <v>299</v>
      </c>
      <c r="V150" t="s">
        <v>804</v>
      </c>
    </row>
    <row r="151" spans="1:22" x14ac:dyDescent="0.25">
      <c r="A151" s="48" t="s">
        <v>300</v>
      </c>
      <c r="B151" s="30" t="s">
        <v>510</v>
      </c>
      <c r="C151" s="36" t="s">
        <v>220</v>
      </c>
      <c r="D151" s="31" t="s">
        <v>511</v>
      </c>
      <c r="E151" s="9" t="s">
        <v>55</v>
      </c>
      <c r="F151" s="5">
        <v>361</v>
      </c>
      <c r="G151" s="9">
        <v>330</v>
      </c>
      <c r="H151" s="32" t="s">
        <v>290</v>
      </c>
      <c r="I151" s="32" t="s">
        <v>512</v>
      </c>
      <c r="J151" s="33" t="s">
        <v>292</v>
      </c>
      <c r="K151" s="33" t="s">
        <v>293</v>
      </c>
      <c r="L151" s="49" t="s">
        <v>294</v>
      </c>
      <c r="M151" s="50" t="str">
        <f>Tabla16[[#This Row],[ABR_02]]</f>
        <v>CR</v>
      </c>
      <c r="N151" t="s">
        <v>295</v>
      </c>
      <c r="O151" s="51" t="s">
        <v>309</v>
      </c>
      <c r="P151" t="s">
        <v>625</v>
      </c>
      <c r="Q151" t="s">
        <v>626</v>
      </c>
      <c r="R151" s="52" t="str">
        <f>_xlfn.CONCAT(Tabla16[[#This Row],[ABR_01]],"00",Tabla16[[#This Row],[ABR_02]],Tabla16[[#This Row],[ZONA2]],,"0",Tabla16[[#This Row],[PARADA2]])</f>
        <v>AR00CR1001</v>
      </c>
      <c r="S151" s="52" t="s">
        <v>627</v>
      </c>
      <c r="T151" s="34" t="s">
        <v>299</v>
      </c>
      <c r="U151" s="45" t="s">
        <v>299</v>
      </c>
      <c r="V151" t="s">
        <v>805</v>
      </c>
    </row>
    <row r="152" spans="1:22" x14ac:dyDescent="0.25">
      <c r="A152" s="48" t="s">
        <v>300</v>
      </c>
      <c r="B152" s="30" t="s">
        <v>513</v>
      </c>
      <c r="C152" s="3" t="s">
        <v>513</v>
      </c>
      <c r="D152" s="31" t="s">
        <v>511</v>
      </c>
      <c r="E152" s="9" t="s">
        <v>55</v>
      </c>
      <c r="F152" s="5">
        <v>361</v>
      </c>
      <c r="G152" s="9">
        <v>335</v>
      </c>
      <c r="H152" s="32" t="s">
        <v>290</v>
      </c>
      <c r="I152" s="32" t="s">
        <v>512</v>
      </c>
      <c r="J152" s="33" t="s">
        <v>292</v>
      </c>
      <c r="K152" s="33" t="s">
        <v>306</v>
      </c>
      <c r="L152" s="49" t="s">
        <v>294</v>
      </c>
      <c r="M152" s="50" t="str">
        <f>Tabla16[[#This Row],[ABR_02]]</f>
        <v>CR</v>
      </c>
      <c r="N152" t="s">
        <v>295</v>
      </c>
      <c r="O152" s="51" t="s">
        <v>309</v>
      </c>
      <c r="P152" t="s">
        <v>625</v>
      </c>
      <c r="Q152" t="s">
        <v>626</v>
      </c>
      <c r="R152" s="52" t="str">
        <f>_xlfn.CONCAT(Tabla16[[#This Row],[ABR_01]],"00",Tabla16[[#This Row],[ABR_02]],Tabla16[[#This Row],[ZONA2]],,"0",Tabla16[[#This Row],[PARADA2]])</f>
        <v>AR00CR1002</v>
      </c>
      <c r="S152" s="52" t="s">
        <v>627</v>
      </c>
      <c r="T152" s="34" t="s">
        <v>299</v>
      </c>
      <c r="U152" s="45" t="s">
        <v>299</v>
      </c>
      <c r="V152" t="s">
        <v>805</v>
      </c>
    </row>
    <row r="153" spans="1:22" x14ac:dyDescent="0.25">
      <c r="A153" s="48" t="s">
        <v>300</v>
      </c>
      <c r="B153" s="30" t="s">
        <v>514</v>
      </c>
      <c r="C153" s="3" t="s">
        <v>515</v>
      </c>
      <c r="D153" s="31" t="s">
        <v>511</v>
      </c>
      <c r="E153" s="9" t="s">
        <v>55</v>
      </c>
      <c r="F153" s="5">
        <v>361</v>
      </c>
      <c r="G153" s="9">
        <v>285</v>
      </c>
      <c r="H153" s="32" t="s">
        <v>290</v>
      </c>
      <c r="I153" s="32" t="s">
        <v>512</v>
      </c>
      <c r="J153" s="33" t="s">
        <v>292</v>
      </c>
      <c r="K153" s="33" t="s">
        <v>307</v>
      </c>
      <c r="L153" s="49" t="s">
        <v>294</v>
      </c>
      <c r="M153" s="50" t="str">
        <f>Tabla16[[#This Row],[ABR_02]]</f>
        <v>CR</v>
      </c>
      <c r="N153" t="s">
        <v>295</v>
      </c>
      <c r="O153" s="51" t="s">
        <v>309</v>
      </c>
      <c r="P153" t="s">
        <v>625</v>
      </c>
      <c r="Q153" t="s">
        <v>626</v>
      </c>
      <c r="R153" s="52" t="str">
        <f>_xlfn.CONCAT(Tabla16[[#This Row],[ABR_01]],"00",Tabla16[[#This Row],[ABR_02]],Tabla16[[#This Row],[ZONA2]],,"0",Tabla16[[#This Row],[PARADA2]])</f>
        <v>AR00CR1003</v>
      </c>
      <c r="S153" s="52" t="s">
        <v>627</v>
      </c>
      <c r="T153" s="34" t="s">
        <v>299</v>
      </c>
      <c r="U153" s="45" t="s">
        <v>299</v>
      </c>
      <c r="V153" t="s">
        <v>805</v>
      </c>
    </row>
    <row r="154" spans="1:22" x14ac:dyDescent="0.25">
      <c r="A154" s="48" t="s">
        <v>300</v>
      </c>
      <c r="B154" s="30" t="s">
        <v>492</v>
      </c>
      <c r="C154" s="3" t="s">
        <v>492</v>
      </c>
      <c r="D154" s="31" t="s">
        <v>493</v>
      </c>
      <c r="E154" s="9" t="s">
        <v>41</v>
      </c>
      <c r="F154" s="5">
        <v>347</v>
      </c>
      <c r="G154" s="9">
        <v>280</v>
      </c>
      <c r="H154" s="32" t="s">
        <v>290</v>
      </c>
      <c r="I154" s="32" t="s">
        <v>494</v>
      </c>
      <c r="J154" s="33" t="s">
        <v>292</v>
      </c>
      <c r="K154" s="33" t="s">
        <v>293</v>
      </c>
      <c r="L154" s="49" t="s">
        <v>294</v>
      </c>
      <c r="M154" s="50" t="str">
        <f>Tabla16[[#This Row],[ABR_02]]</f>
        <v>ER</v>
      </c>
      <c r="N154" t="s">
        <v>295</v>
      </c>
      <c r="O154" s="51" t="s">
        <v>293</v>
      </c>
      <c r="P154" t="s">
        <v>296</v>
      </c>
      <c r="Q154" t="s">
        <v>353</v>
      </c>
      <c r="R154" s="52" t="str">
        <f>_xlfn.CONCAT(Tabla16[[#This Row],[ABR_01]],"00",Tabla16[[#This Row],[ABR_02]],Tabla16[[#This Row],[ZONA2]],,"0",Tabla16[[#This Row],[PARADA2]])</f>
        <v>AR00ER1001</v>
      </c>
      <c r="S154" s="52" t="s">
        <v>354</v>
      </c>
      <c r="T154" s="34" t="s">
        <v>299</v>
      </c>
      <c r="U154" s="34" t="s">
        <v>299</v>
      </c>
      <c r="V154" t="s">
        <v>804</v>
      </c>
    </row>
    <row r="155" spans="1:22" x14ac:dyDescent="0.25">
      <c r="A155" s="48" t="s">
        <v>300</v>
      </c>
      <c r="B155" s="30" t="s">
        <v>495</v>
      </c>
      <c r="C155" s="3" t="s">
        <v>495</v>
      </c>
      <c r="D155" s="31" t="s">
        <v>493</v>
      </c>
      <c r="E155" s="9" t="s">
        <v>41</v>
      </c>
      <c r="F155" s="5">
        <v>347</v>
      </c>
      <c r="G155" s="9">
        <v>298</v>
      </c>
      <c r="H155" s="32" t="s">
        <v>290</v>
      </c>
      <c r="I155" s="32" t="s">
        <v>494</v>
      </c>
      <c r="J155" s="33" t="s">
        <v>292</v>
      </c>
      <c r="K155" s="33" t="s">
        <v>306</v>
      </c>
      <c r="L155" s="49" t="s">
        <v>294</v>
      </c>
      <c r="M155" s="50" t="str">
        <f>Tabla16[[#This Row],[ABR_02]]</f>
        <v>ER</v>
      </c>
      <c r="N155" t="s">
        <v>295</v>
      </c>
      <c r="O155" s="51" t="s">
        <v>293</v>
      </c>
      <c r="P155" t="s">
        <v>296</v>
      </c>
      <c r="Q155" t="s">
        <v>353</v>
      </c>
      <c r="R155" s="52" t="str">
        <f>_xlfn.CONCAT(Tabla16[[#This Row],[ABR_01]],"00",Tabla16[[#This Row],[ABR_02]],Tabla16[[#This Row],[ZONA2]],,"0",Tabla16[[#This Row],[PARADA2]])</f>
        <v>AR00ER1002</v>
      </c>
      <c r="S155" s="52" t="s">
        <v>354</v>
      </c>
      <c r="T155" s="34" t="s">
        <v>299</v>
      </c>
      <c r="U155" s="34" t="s">
        <v>299</v>
      </c>
      <c r="V155" t="s">
        <v>804</v>
      </c>
    </row>
    <row r="156" spans="1:22" x14ac:dyDescent="0.25">
      <c r="A156" s="48" t="s">
        <v>300</v>
      </c>
      <c r="B156" s="30" t="s">
        <v>496</v>
      </c>
      <c r="C156" s="3" t="s">
        <v>497</v>
      </c>
      <c r="D156" s="31" t="s">
        <v>493</v>
      </c>
      <c r="E156" s="9" t="s">
        <v>41</v>
      </c>
      <c r="F156" s="5">
        <v>347</v>
      </c>
      <c r="G156" s="9">
        <v>293</v>
      </c>
      <c r="H156" s="32" t="s">
        <v>290</v>
      </c>
      <c r="I156" s="32" t="s">
        <v>494</v>
      </c>
      <c r="J156" s="33" t="s">
        <v>292</v>
      </c>
      <c r="K156" s="33" t="s">
        <v>307</v>
      </c>
      <c r="L156" s="49" t="s">
        <v>294</v>
      </c>
      <c r="M156" s="50" t="str">
        <f>Tabla16[[#This Row],[ABR_02]]</f>
        <v>ER</v>
      </c>
      <c r="N156" t="s">
        <v>295</v>
      </c>
      <c r="O156" s="51" t="s">
        <v>293</v>
      </c>
      <c r="P156" t="s">
        <v>296</v>
      </c>
      <c r="Q156" t="s">
        <v>353</v>
      </c>
      <c r="R156" s="52" t="str">
        <f>_xlfn.CONCAT(Tabla16[[#This Row],[ABR_01]],"00",Tabla16[[#This Row],[ABR_02]],Tabla16[[#This Row],[ZONA2]],,"0",Tabla16[[#This Row],[PARADA2]])</f>
        <v>AR00ER1003</v>
      </c>
      <c r="S156" s="52" t="s">
        <v>354</v>
      </c>
      <c r="T156" s="34" t="s">
        <v>299</v>
      </c>
      <c r="U156" s="34" t="s">
        <v>299</v>
      </c>
      <c r="V156" t="s">
        <v>804</v>
      </c>
    </row>
    <row r="157" spans="1:22" x14ac:dyDescent="0.25">
      <c r="A157" s="48" t="s">
        <v>300</v>
      </c>
      <c r="B157" s="30" t="s">
        <v>498</v>
      </c>
      <c r="C157" s="36" t="s">
        <v>42</v>
      </c>
      <c r="D157" s="31" t="s">
        <v>493</v>
      </c>
      <c r="E157" s="9" t="s">
        <v>41</v>
      </c>
      <c r="F157" s="5">
        <v>347</v>
      </c>
      <c r="G157" s="9">
        <v>277</v>
      </c>
      <c r="H157" s="32" t="s">
        <v>290</v>
      </c>
      <c r="I157" s="32" t="s">
        <v>494</v>
      </c>
      <c r="J157" s="33" t="s">
        <v>292</v>
      </c>
      <c r="K157" s="33" t="s">
        <v>309</v>
      </c>
      <c r="L157" s="49" t="s">
        <v>294</v>
      </c>
      <c r="M157" s="50" t="str">
        <f>Tabla16[[#This Row],[ABR_02]]</f>
        <v>ER</v>
      </c>
      <c r="N157" t="s">
        <v>295</v>
      </c>
      <c r="O157" s="51" t="s">
        <v>293</v>
      </c>
      <c r="P157" t="s">
        <v>296</v>
      </c>
      <c r="Q157" t="s">
        <v>353</v>
      </c>
      <c r="R157" s="52" t="str">
        <f>_xlfn.CONCAT(Tabla16[[#This Row],[ABR_01]],"00",Tabla16[[#This Row],[ABR_02]],Tabla16[[#This Row],[ZONA2]],,"0",Tabla16[[#This Row],[PARADA2]])</f>
        <v>AR00ER1004</v>
      </c>
      <c r="S157" s="52" t="s">
        <v>354</v>
      </c>
      <c r="T157" s="34" t="s">
        <v>299</v>
      </c>
      <c r="U157" s="34" t="s">
        <v>299</v>
      </c>
      <c r="V157" t="s">
        <v>804</v>
      </c>
    </row>
    <row r="158" spans="1:22" x14ac:dyDescent="0.25">
      <c r="A158" s="48" t="s">
        <v>300</v>
      </c>
      <c r="B158" s="30" t="s">
        <v>499</v>
      </c>
      <c r="C158" s="3" t="s">
        <v>499</v>
      </c>
      <c r="D158" s="31" t="s">
        <v>493</v>
      </c>
      <c r="E158" s="9" t="s">
        <v>41</v>
      </c>
      <c r="F158" s="5">
        <v>347</v>
      </c>
      <c r="G158" s="9">
        <v>250</v>
      </c>
      <c r="H158" s="32" t="s">
        <v>290</v>
      </c>
      <c r="I158" s="32" t="s">
        <v>494</v>
      </c>
      <c r="J158" s="33" t="s">
        <v>292</v>
      </c>
      <c r="K158" s="33" t="s">
        <v>319</v>
      </c>
      <c r="L158" s="49" t="s">
        <v>294</v>
      </c>
      <c r="M158" s="50" t="str">
        <f>Tabla16[[#This Row],[ABR_02]]</f>
        <v>ER</v>
      </c>
      <c r="N158" t="s">
        <v>295</v>
      </c>
      <c r="O158" s="51" t="s">
        <v>293</v>
      </c>
      <c r="P158" t="s">
        <v>296</v>
      </c>
      <c r="Q158" t="s">
        <v>353</v>
      </c>
      <c r="R158" s="52" t="str">
        <f>_xlfn.CONCAT(Tabla16[[#This Row],[ABR_01]],"00",Tabla16[[#This Row],[ABR_02]],Tabla16[[#This Row],[ZONA2]],,"0",Tabla16[[#This Row],[PARADA2]])</f>
        <v>AR00ER1005</v>
      </c>
      <c r="S158" s="52" t="s">
        <v>354</v>
      </c>
      <c r="T158" s="34" t="s">
        <v>299</v>
      </c>
      <c r="U158" s="34" t="s">
        <v>299</v>
      </c>
      <c r="V158" t="s">
        <v>804</v>
      </c>
    </row>
    <row r="159" spans="1:22" x14ac:dyDescent="0.25">
      <c r="A159" s="48" t="s">
        <v>300</v>
      </c>
      <c r="B159" s="30" t="s">
        <v>500</v>
      </c>
      <c r="C159" s="3" t="s">
        <v>500</v>
      </c>
      <c r="D159" s="31" t="s">
        <v>493</v>
      </c>
      <c r="E159" s="9" t="s">
        <v>41</v>
      </c>
      <c r="F159" s="5">
        <v>347</v>
      </c>
      <c r="G159" s="9">
        <v>245</v>
      </c>
      <c r="H159" s="32" t="s">
        <v>290</v>
      </c>
      <c r="I159" s="32" t="s">
        <v>494</v>
      </c>
      <c r="J159" s="33" t="s">
        <v>292</v>
      </c>
      <c r="K159" s="33" t="s">
        <v>320</v>
      </c>
      <c r="L159" s="49" t="s">
        <v>294</v>
      </c>
      <c r="M159" s="50" t="str">
        <f>Tabla16[[#This Row],[ABR_02]]</f>
        <v>ER</v>
      </c>
      <c r="N159" t="s">
        <v>295</v>
      </c>
      <c r="O159" s="51" t="s">
        <v>293</v>
      </c>
      <c r="P159" t="s">
        <v>296</v>
      </c>
      <c r="Q159" t="s">
        <v>353</v>
      </c>
      <c r="R159" s="52" t="str">
        <f>_xlfn.CONCAT(Tabla16[[#This Row],[ABR_01]],"00",Tabla16[[#This Row],[ABR_02]],Tabla16[[#This Row],[ZONA2]],,"0",Tabla16[[#This Row],[PARADA2]])</f>
        <v>AR00ER1006</v>
      </c>
      <c r="S159" s="52" t="s">
        <v>354</v>
      </c>
      <c r="T159" s="34" t="s">
        <v>299</v>
      </c>
      <c r="U159" s="34" t="s">
        <v>299</v>
      </c>
      <c r="V159" t="s">
        <v>804</v>
      </c>
    </row>
    <row r="160" spans="1:22" x14ac:dyDescent="0.25">
      <c r="A160" s="48" t="s">
        <v>300</v>
      </c>
      <c r="B160" s="30" t="s">
        <v>501</v>
      </c>
      <c r="C160" s="3" t="s">
        <v>501</v>
      </c>
      <c r="D160" s="31" t="s">
        <v>493</v>
      </c>
      <c r="E160" s="9" t="s">
        <v>41</v>
      </c>
      <c r="F160" s="5">
        <v>347</v>
      </c>
      <c r="G160" s="9">
        <v>235</v>
      </c>
      <c r="H160" s="32" t="s">
        <v>290</v>
      </c>
      <c r="I160" s="32" t="s">
        <v>494</v>
      </c>
      <c r="J160" s="33" t="s">
        <v>292</v>
      </c>
      <c r="K160" s="33" t="s">
        <v>322</v>
      </c>
      <c r="L160" s="49" t="s">
        <v>294</v>
      </c>
      <c r="M160" s="50" t="str">
        <f>Tabla16[[#This Row],[ABR_02]]</f>
        <v>ER</v>
      </c>
      <c r="N160" t="s">
        <v>295</v>
      </c>
      <c r="O160" s="51" t="s">
        <v>293</v>
      </c>
      <c r="P160" t="s">
        <v>296</v>
      </c>
      <c r="Q160" t="s">
        <v>353</v>
      </c>
      <c r="R160" s="52" t="str">
        <f>_xlfn.CONCAT(Tabla16[[#This Row],[ABR_01]],"00",Tabla16[[#This Row],[ABR_02]],Tabla16[[#This Row],[ZONA2]],,"0",Tabla16[[#This Row],[PARADA2]])</f>
        <v>AR00ER1007</v>
      </c>
      <c r="S160" s="52" t="s">
        <v>354</v>
      </c>
      <c r="T160" s="34" t="s">
        <v>299</v>
      </c>
      <c r="U160" s="34" t="s">
        <v>299</v>
      </c>
      <c r="V160" t="s">
        <v>804</v>
      </c>
    </row>
    <row r="161" spans="1:22" x14ac:dyDescent="0.25">
      <c r="A161" s="48" t="s">
        <v>300</v>
      </c>
      <c r="B161" s="30" t="s">
        <v>502</v>
      </c>
      <c r="C161" s="36" t="s">
        <v>64</v>
      </c>
      <c r="D161" s="31" t="s">
        <v>493</v>
      </c>
      <c r="E161" s="9" t="s">
        <v>41</v>
      </c>
      <c r="F161" s="5">
        <v>347</v>
      </c>
      <c r="G161" s="9">
        <v>230</v>
      </c>
      <c r="H161" s="32" t="s">
        <v>290</v>
      </c>
      <c r="I161" s="32" t="s">
        <v>494</v>
      </c>
      <c r="J161" s="33" t="s">
        <v>292</v>
      </c>
      <c r="K161" s="33" t="s">
        <v>324</v>
      </c>
      <c r="L161" s="49" t="s">
        <v>294</v>
      </c>
      <c r="M161" s="50" t="str">
        <f>Tabla16[[#This Row],[ABR_02]]</f>
        <v>ER</v>
      </c>
      <c r="N161" t="s">
        <v>295</v>
      </c>
      <c r="O161" s="51" t="s">
        <v>293</v>
      </c>
      <c r="P161" t="s">
        <v>296</v>
      </c>
      <c r="Q161" t="s">
        <v>353</v>
      </c>
      <c r="R161" s="52" t="str">
        <f>_xlfn.CONCAT(Tabla16[[#This Row],[ABR_01]],"00",Tabla16[[#This Row],[ABR_02]],Tabla16[[#This Row],[ZONA2]],,"0",Tabla16[[#This Row],[PARADA2]])</f>
        <v>AR00ER1008</v>
      </c>
      <c r="S161" s="52" t="s">
        <v>354</v>
      </c>
      <c r="T161" s="34" t="s">
        <v>299</v>
      </c>
      <c r="U161" s="34" t="s">
        <v>299</v>
      </c>
      <c r="V161" t="s">
        <v>804</v>
      </c>
    </row>
    <row r="162" spans="1:22" x14ac:dyDescent="0.25">
      <c r="A162" s="48" t="s">
        <v>300</v>
      </c>
      <c r="B162" s="30" t="s">
        <v>503</v>
      </c>
      <c r="C162" s="3" t="s">
        <v>503</v>
      </c>
      <c r="D162" s="31" t="s">
        <v>493</v>
      </c>
      <c r="E162" s="9" t="s">
        <v>41</v>
      </c>
      <c r="F162" s="5">
        <v>347</v>
      </c>
      <c r="G162" s="9">
        <v>267</v>
      </c>
      <c r="H162" s="32" t="s">
        <v>290</v>
      </c>
      <c r="I162" s="32" t="s">
        <v>494</v>
      </c>
      <c r="J162" s="33" t="s">
        <v>292</v>
      </c>
      <c r="K162" s="33" t="s">
        <v>368</v>
      </c>
      <c r="L162" s="49" t="s">
        <v>294</v>
      </c>
      <c r="M162" s="50" t="str">
        <f>Tabla16[[#This Row],[ABR_02]]</f>
        <v>ER</v>
      </c>
      <c r="N162" t="s">
        <v>295</v>
      </c>
      <c r="O162" s="51" t="s">
        <v>293</v>
      </c>
      <c r="P162" t="s">
        <v>296</v>
      </c>
      <c r="Q162" t="s">
        <v>353</v>
      </c>
      <c r="R162" s="52" t="str">
        <f>_xlfn.CONCAT(Tabla16[[#This Row],[ABR_01]],"00",Tabla16[[#This Row],[ABR_02]],Tabla16[[#This Row],[ZONA2]],,"0",Tabla16[[#This Row],[PARADA2]])</f>
        <v>AR00ER1009</v>
      </c>
      <c r="S162" s="52" t="s">
        <v>354</v>
      </c>
      <c r="T162" s="34" t="s">
        <v>299</v>
      </c>
      <c r="U162" s="34" t="s">
        <v>299</v>
      </c>
      <c r="V162" t="s">
        <v>804</v>
      </c>
    </row>
    <row r="163" spans="1:22" x14ac:dyDescent="0.25">
      <c r="A163" s="48" t="s">
        <v>300</v>
      </c>
      <c r="B163" s="30" t="s">
        <v>504</v>
      </c>
      <c r="C163" s="3" t="s">
        <v>504</v>
      </c>
      <c r="D163" s="31" t="s">
        <v>493</v>
      </c>
      <c r="E163" s="9" t="s">
        <v>41</v>
      </c>
      <c r="F163" s="5">
        <v>347</v>
      </c>
      <c r="G163" s="9">
        <v>343</v>
      </c>
      <c r="H163" s="32" t="s">
        <v>290</v>
      </c>
      <c r="I163" s="32" t="s">
        <v>494</v>
      </c>
      <c r="J163" s="33" t="s">
        <v>292</v>
      </c>
      <c r="K163" s="33" t="s">
        <v>370</v>
      </c>
      <c r="L163" s="49" t="s">
        <v>294</v>
      </c>
      <c r="M163" s="50" t="str">
        <f>Tabla16[[#This Row],[ABR_02]]</f>
        <v>ER</v>
      </c>
      <c r="N163" t="s">
        <v>295</v>
      </c>
      <c r="O163" s="51" t="s">
        <v>293</v>
      </c>
      <c r="P163" t="s">
        <v>296</v>
      </c>
      <c r="Q163" t="s">
        <v>353</v>
      </c>
      <c r="R163" s="52" t="str">
        <f>_xlfn.CONCAT(Tabla16[[#This Row],[ABR_01]],"00",Tabla16[[#This Row],[ABR_02]],Tabla16[[#This Row],[ZONA2]],,"0",Tabla16[[#This Row],[PARADA2]])</f>
        <v>AR00ER1010</v>
      </c>
      <c r="S163" s="52" t="s">
        <v>354</v>
      </c>
      <c r="T163" s="34" t="s">
        <v>299</v>
      </c>
      <c r="U163" s="34" t="s">
        <v>299</v>
      </c>
      <c r="V163" t="s">
        <v>804</v>
      </c>
    </row>
    <row r="164" spans="1:22" x14ac:dyDescent="0.25">
      <c r="A164" s="48" t="s">
        <v>300</v>
      </c>
      <c r="B164" s="30" t="s">
        <v>505</v>
      </c>
      <c r="C164" s="3" t="s">
        <v>505</v>
      </c>
      <c r="D164" s="31" t="s">
        <v>493</v>
      </c>
      <c r="E164" s="9" t="s">
        <v>41</v>
      </c>
      <c r="F164" s="5">
        <v>347</v>
      </c>
      <c r="G164" s="9">
        <v>255</v>
      </c>
      <c r="H164" s="32" t="s">
        <v>290</v>
      </c>
      <c r="I164" s="32" t="s">
        <v>494</v>
      </c>
      <c r="J164" s="33" t="s">
        <v>292</v>
      </c>
      <c r="K164" s="33" t="s">
        <v>372</v>
      </c>
      <c r="L164" s="49" t="s">
        <v>294</v>
      </c>
      <c r="M164" s="50" t="str">
        <f>Tabla16[[#This Row],[ABR_02]]</f>
        <v>ER</v>
      </c>
      <c r="N164" t="s">
        <v>295</v>
      </c>
      <c r="O164" s="51" t="s">
        <v>293</v>
      </c>
      <c r="P164" t="s">
        <v>296</v>
      </c>
      <c r="Q164" t="s">
        <v>353</v>
      </c>
      <c r="R164" s="52" t="str">
        <f>_xlfn.CONCAT(Tabla16[[#This Row],[ABR_01]],"00",Tabla16[[#This Row],[ABR_02]],Tabla16[[#This Row],[ZONA2]],,"0",Tabla16[[#This Row],[PARADA2]])</f>
        <v>AR00ER1011</v>
      </c>
      <c r="S164" s="52" t="s">
        <v>354</v>
      </c>
      <c r="T164" s="34" t="s">
        <v>299</v>
      </c>
      <c r="U164" s="34" t="s">
        <v>299</v>
      </c>
      <c r="V164" t="s">
        <v>804</v>
      </c>
    </row>
    <row r="165" spans="1:22" x14ac:dyDescent="0.25">
      <c r="A165" s="48" t="s">
        <v>300</v>
      </c>
      <c r="B165" s="30" t="s">
        <v>506</v>
      </c>
      <c r="C165" s="3" t="s">
        <v>506</v>
      </c>
      <c r="D165" s="31" t="s">
        <v>493</v>
      </c>
      <c r="E165" s="9" t="s">
        <v>41</v>
      </c>
      <c r="F165" s="5">
        <v>347</v>
      </c>
      <c r="G165" s="9">
        <v>268</v>
      </c>
      <c r="H165" s="32" t="s">
        <v>290</v>
      </c>
      <c r="I165" s="32" t="s">
        <v>494</v>
      </c>
      <c r="J165" s="33" t="s">
        <v>292</v>
      </c>
      <c r="K165" s="33" t="s">
        <v>374</v>
      </c>
      <c r="L165" s="49" t="s">
        <v>294</v>
      </c>
      <c r="M165" s="50" t="str">
        <f>Tabla16[[#This Row],[ABR_02]]</f>
        <v>ER</v>
      </c>
      <c r="N165" t="s">
        <v>295</v>
      </c>
      <c r="O165" s="51" t="s">
        <v>293</v>
      </c>
      <c r="P165" t="s">
        <v>296</v>
      </c>
      <c r="Q165" t="s">
        <v>353</v>
      </c>
      <c r="R165" s="52" t="str">
        <f>_xlfn.CONCAT(Tabla16[[#This Row],[ABR_01]],"00",Tabla16[[#This Row],[ABR_02]],Tabla16[[#This Row],[ZONA2]],,"0",Tabla16[[#This Row],[PARADA2]])</f>
        <v>AR00ER1012</v>
      </c>
      <c r="S165" s="52" t="s">
        <v>354</v>
      </c>
      <c r="T165" s="34" t="s">
        <v>299</v>
      </c>
      <c r="U165" s="34" t="s">
        <v>299</v>
      </c>
      <c r="V165" t="s">
        <v>804</v>
      </c>
    </row>
    <row r="166" spans="1:22" x14ac:dyDescent="0.25">
      <c r="A166" s="48" t="s">
        <v>300</v>
      </c>
      <c r="B166" s="30" t="s">
        <v>507</v>
      </c>
      <c r="C166" s="3" t="s">
        <v>507</v>
      </c>
      <c r="D166" s="31" t="s">
        <v>493</v>
      </c>
      <c r="E166" s="9" t="s">
        <v>41</v>
      </c>
      <c r="F166" s="5">
        <v>347</v>
      </c>
      <c r="G166" s="9">
        <v>260</v>
      </c>
      <c r="H166" s="32" t="s">
        <v>290</v>
      </c>
      <c r="I166" s="32" t="s">
        <v>494</v>
      </c>
      <c r="J166" s="33" t="s">
        <v>292</v>
      </c>
      <c r="K166" s="33" t="s">
        <v>376</v>
      </c>
      <c r="L166" s="49" t="s">
        <v>294</v>
      </c>
      <c r="M166" s="50" t="str">
        <f>Tabla16[[#This Row],[ABR_02]]</f>
        <v>ER</v>
      </c>
      <c r="N166" t="s">
        <v>295</v>
      </c>
      <c r="O166" s="51" t="s">
        <v>293</v>
      </c>
      <c r="P166" t="s">
        <v>296</v>
      </c>
      <c r="Q166" t="s">
        <v>353</v>
      </c>
      <c r="R166" s="52" t="str">
        <f>_xlfn.CONCAT(Tabla16[[#This Row],[ABR_01]],"00",Tabla16[[#This Row],[ABR_02]],Tabla16[[#This Row],[ZONA2]],,"0",Tabla16[[#This Row],[PARADA2]])</f>
        <v>AR00ER1013</v>
      </c>
      <c r="S166" s="52" t="s">
        <v>354</v>
      </c>
      <c r="T166" s="34" t="s">
        <v>299</v>
      </c>
      <c r="U166" s="34" t="s">
        <v>299</v>
      </c>
      <c r="V166" t="s">
        <v>804</v>
      </c>
    </row>
    <row r="167" spans="1:22" x14ac:dyDescent="0.25">
      <c r="A167" s="48" t="s">
        <v>300</v>
      </c>
      <c r="B167" s="30" t="s">
        <v>508</v>
      </c>
      <c r="C167" s="3" t="s">
        <v>508</v>
      </c>
      <c r="D167" s="31" t="s">
        <v>493</v>
      </c>
      <c r="E167" s="9" t="s">
        <v>41</v>
      </c>
      <c r="F167" s="5">
        <v>347</v>
      </c>
      <c r="G167" s="9">
        <v>290</v>
      </c>
      <c r="H167" s="32" t="s">
        <v>290</v>
      </c>
      <c r="I167" s="32" t="s">
        <v>494</v>
      </c>
      <c r="J167" s="33" t="s">
        <v>292</v>
      </c>
      <c r="K167" s="33" t="s">
        <v>379</v>
      </c>
      <c r="L167" s="49" t="s">
        <v>294</v>
      </c>
      <c r="M167" s="50" t="str">
        <f>Tabla16[[#This Row],[ABR_02]]</f>
        <v>ER</v>
      </c>
      <c r="N167" t="s">
        <v>295</v>
      </c>
      <c r="O167" s="51" t="s">
        <v>293</v>
      </c>
      <c r="P167" t="s">
        <v>296</v>
      </c>
      <c r="Q167" t="s">
        <v>353</v>
      </c>
      <c r="R167" s="52" t="str">
        <f>_xlfn.CONCAT(Tabla16[[#This Row],[ABR_01]],"00",Tabla16[[#This Row],[ABR_02]],Tabla16[[#This Row],[ZONA2]],,"0",Tabla16[[#This Row],[PARADA2]])</f>
        <v>AR00ER1014</v>
      </c>
      <c r="S167" s="52" t="s">
        <v>354</v>
      </c>
      <c r="T167" s="34" t="s">
        <v>299</v>
      </c>
      <c r="U167" s="34" t="s">
        <v>299</v>
      </c>
      <c r="V167" t="s">
        <v>804</v>
      </c>
    </row>
    <row r="168" spans="1:22" x14ac:dyDescent="0.25">
      <c r="A168" s="48" t="s">
        <v>300</v>
      </c>
      <c r="B168" s="30" t="s">
        <v>509</v>
      </c>
      <c r="C168" s="36" t="s">
        <v>218</v>
      </c>
      <c r="D168" s="31" t="s">
        <v>493</v>
      </c>
      <c r="E168" s="9" t="s">
        <v>27</v>
      </c>
      <c r="F168" s="5">
        <v>342</v>
      </c>
      <c r="G168" s="9">
        <v>240</v>
      </c>
      <c r="H168" s="32" t="s">
        <v>290</v>
      </c>
      <c r="I168" s="32" t="s">
        <v>494</v>
      </c>
      <c r="J168" s="33" t="s">
        <v>292</v>
      </c>
      <c r="K168" s="33" t="s">
        <v>382</v>
      </c>
      <c r="L168" s="49" t="s">
        <v>294</v>
      </c>
      <c r="M168" s="50" t="str">
        <f>Tabla16[[#This Row],[ABR_02]]</f>
        <v>ER</v>
      </c>
      <c r="N168" t="s">
        <v>295</v>
      </c>
      <c r="O168" s="51" t="s">
        <v>293</v>
      </c>
      <c r="P168" t="s">
        <v>296</v>
      </c>
      <c r="Q168" t="s">
        <v>353</v>
      </c>
      <c r="R168" s="52" t="str">
        <f>_xlfn.CONCAT(Tabla16[[#This Row],[ABR_01]],"00",Tabla16[[#This Row],[ABR_02]],Tabla16[[#This Row],[ZONA2]],,"0",Tabla16[[#This Row],[PARADA2]])</f>
        <v>AR00ER1015</v>
      </c>
      <c r="S168" s="52" t="s">
        <v>354</v>
      </c>
      <c r="T168" s="34" t="s">
        <v>299</v>
      </c>
      <c r="U168" s="34" t="s">
        <v>299</v>
      </c>
      <c r="V168" t="s">
        <v>804</v>
      </c>
    </row>
    <row r="169" spans="1:22" x14ac:dyDescent="0.25">
      <c r="A169" s="48" t="s">
        <v>300</v>
      </c>
      <c r="B169" s="30" t="s">
        <v>492</v>
      </c>
      <c r="C169" s="3" t="s">
        <v>492</v>
      </c>
      <c r="D169" s="31" t="s">
        <v>493</v>
      </c>
      <c r="E169" s="9" t="s">
        <v>41</v>
      </c>
      <c r="F169" s="5">
        <v>347</v>
      </c>
      <c r="G169" s="9">
        <v>280</v>
      </c>
      <c r="H169" s="32" t="s">
        <v>290</v>
      </c>
      <c r="I169" s="32" t="s">
        <v>494</v>
      </c>
      <c r="J169" s="33" t="s">
        <v>292</v>
      </c>
      <c r="K169" s="33" t="s">
        <v>293</v>
      </c>
      <c r="L169" s="49" t="s">
        <v>294</v>
      </c>
      <c r="M169" s="50" t="str">
        <f>Tabla16[[#This Row],[ABR_02]]</f>
        <v>ER</v>
      </c>
      <c r="N169" t="s">
        <v>295</v>
      </c>
      <c r="O169" s="51" t="s">
        <v>309</v>
      </c>
      <c r="P169" t="s">
        <v>625</v>
      </c>
      <c r="Q169" t="s">
        <v>295</v>
      </c>
      <c r="R169" s="52" t="str">
        <f>_xlfn.CONCAT(Tabla16[[#This Row],[ABR_01]],"00",Tabla16[[#This Row],[ABR_02]],Tabla16[[#This Row],[ZONA2]],,"0",Tabla16[[#This Row],[PARADA2]])</f>
        <v>AR00ER1001</v>
      </c>
      <c r="S169" s="52" t="s">
        <v>555</v>
      </c>
      <c r="T169" s="34" t="s">
        <v>299</v>
      </c>
      <c r="U169" s="45" t="s">
        <v>299</v>
      </c>
      <c r="V169" t="s">
        <v>805</v>
      </c>
    </row>
    <row r="170" spans="1:22" x14ac:dyDescent="0.25">
      <c r="A170" s="48" t="s">
        <v>300</v>
      </c>
      <c r="B170" s="30" t="s">
        <v>495</v>
      </c>
      <c r="C170" s="3" t="s">
        <v>495</v>
      </c>
      <c r="D170" s="31" t="s">
        <v>493</v>
      </c>
      <c r="E170" s="9" t="s">
        <v>41</v>
      </c>
      <c r="F170" s="5">
        <v>347</v>
      </c>
      <c r="G170" s="9">
        <v>298</v>
      </c>
      <c r="H170" s="32" t="s">
        <v>290</v>
      </c>
      <c r="I170" s="32" t="s">
        <v>494</v>
      </c>
      <c r="J170" s="33" t="s">
        <v>292</v>
      </c>
      <c r="K170" s="33" t="s">
        <v>306</v>
      </c>
      <c r="L170" s="49" t="s">
        <v>294</v>
      </c>
      <c r="M170" s="50" t="str">
        <f>Tabla16[[#This Row],[ABR_02]]</f>
        <v>ER</v>
      </c>
      <c r="N170" t="s">
        <v>295</v>
      </c>
      <c r="O170" s="51" t="s">
        <v>309</v>
      </c>
      <c r="P170" t="s">
        <v>625</v>
      </c>
      <c r="Q170" t="s">
        <v>295</v>
      </c>
      <c r="R170" s="52" t="str">
        <f>_xlfn.CONCAT(Tabla16[[#This Row],[ABR_01]],"00",Tabla16[[#This Row],[ABR_02]],Tabla16[[#This Row],[ZONA2]],,"0",Tabla16[[#This Row],[PARADA2]])</f>
        <v>AR00ER1002</v>
      </c>
      <c r="S170" s="52" t="s">
        <v>555</v>
      </c>
      <c r="T170" s="34" t="s">
        <v>299</v>
      </c>
      <c r="U170" s="45" t="s">
        <v>299</v>
      </c>
      <c r="V170" t="s">
        <v>805</v>
      </c>
    </row>
    <row r="171" spans="1:22" x14ac:dyDescent="0.25">
      <c r="A171" s="48" t="s">
        <v>300</v>
      </c>
      <c r="B171" s="30" t="s">
        <v>496</v>
      </c>
      <c r="C171" s="3" t="s">
        <v>497</v>
      </c>
      <c r="D171" s="31" t="s">
        <v>493</v>
      </c>
      <c r="E171" s="9" t="s">
        <v>41</v>
      </c>
      <c r="F171" s="5">
        <v>347</v>
      </c>
      <c r="G171" s="9">
        <v>293</v>
      </c>
      <c r="H171" s="32" t="s">
        <v>290</v>
      </c>
      <c r="I171" s="32" t="s">
        <v>494</v>
      </c>
      <c r="J171" s="33" t="s">
        <v>292</v>
      </c>
      <c r="K171" s="33" t="s">
        <v>307</v>
      </c>
      <c r="L171" s="49" t="s">
        <v>294</v>
      </c>
      <c r="M171" s="50" t="str">
        <f>Tabla16[[#This Row],[ABR_02]]</f>
        <v>ER</v>
      </c>
      <c r="N171" t="s">
        <v>295</v>
      </c>
      <c r="O171" s="51" t="s">
        <v>309</v>
      </c>
      <c r="P171" t="s">
        <v>625</v>
      </c>
      <c r="Q171" t="s">
        <v>295</v>
      </c>
      <c r="R171" s="52" t="str">
        <f>_xlfn.CONCAT(Tabla16[[#This Row],[ABR_01]],"00",Tabla16[[#This Row],[ABR_02]],Tabla16[[#This Row],[ZONA2]],,"0",Tabla16[[#This Row],[PARADA2]])</f>
        <v>AR00ER1003</v>
      </c>
      <c r="S171" s="52" t="s">
        <v>555</v>
      </c>
      <c r="T171" s="34" t="s">
        <v>299</v>
      </c>
      <c r="U171" s="45" t="s">
        <v>299</v>
      </c>
      <c r="V171" t="s">
        <v>805</v>
      </c>
    </row>
    <row r="172" spans="1:22" x14ac:dyDescent="0.25">
      <c r="A172" s="48" t="s">
        <v>300</v>
      </c>
      <c r="B172" s="30" t="s">
        <v>498</v>
      </c>
      <c r="C172" s="36" t="s">
        <v>42</v>
      </c>
      <c r="D172" s="31" t="s">
        <v>493</v>
      </c>
      <c r="E172" s="9" t="s">
        <v>41</v>
      </c>
      <c r="F172" s="5">
        <v>347</v>
      </c>
      <c r="G172" s="9">
        <v>277</v>
      </c>
      <c r="H172" s="32" t="s">
        <v>290</v>
      </c>
      <c r="I172" s="32" t="s">
        <v>494</v>
      </c>
      <c r="J172" s="33" t="s">
        <v>292</v>
      </c>
      <c r="K172" s="33" t="s">
        <v>309</v>
      </c>
      <c r="L172" s="49" t="s">
        <v>294</v>
      </c>
      <c r="M172" s="50" t="str">
        <f>Tabla16[[#This Row],[ABR_02]]</f>
        <v>ER</v>
      </c>
      <c r="N172" t="s">
        <v>295</v>
      </c>
      <c r="O172" s="51" t="s">
        <v>309</v>
      </c>
      <c r="P172" t="s">
        <v>625</v>
      </c>
      <c r="Q172" t="s">
        <v>295</v>
      </c>
      <c r="R172" s="52" t="str">
        <f>_xlfn.CONCAT(Tabla16[[#This Row],[ABR_01]],"00",Tabla16[[#This Row],[ABR_02]],Tabla16[[#This Row],[ZONA2]],,"0",Tabla16[[#This Row],[PARADA2]])</f>
        <v>AR00ER1004</v>
      </c>
      <c r="S172" s="52" t="s">
        <v>555</v>
      </c>
      <c r="T172" s="34" t="s">
        <v>299</v>
      </c>
      <c r="U172" s="45" t="s">
        <v>299</v>
      </c>
      <c r="V172" t="s">
        <v>805</v>
      </c>
    </row>
    <row r="173" spans="1:22" x14ac:dyDescent="0.25">
      <c r="A173" s="48" t="s">
        <v>300</v>
      </c>
      <c r="B173" s="30" t="s">
        <v>499</v>
      </c>
      <c r="C173" s="3" t="s">
        <v>499</v>
      </c>
      <c r="D173" s="31" t="s">
        <v>493</v>
      </c>
      <c r="E173" s="9" t="s">
        <v>41</v>
      </c>
      <c r="F173" s="5">
        <v>347</v>
      </c>
      <c r="G173" s="9">
        <v>250</v>
      </c>
      <c r="H173" s="32" t="s">
        <v>290</v>
      </c>
      <c r="I173" s="32" t="s">
        <v>494</v>
      </c>
      <c r="J173" s="33" t="s">
        <v>292</v>
      </c>
      <c r="K173" s="33" t="s">
        <v>319</v>
      </c>
      <c r="L173" s="49" t="s">
        <v>294</v>
      </c>
      <c r="M173" s="50" t="str">
        <f>Tabla16[[#This Row],[ABR_02]]</f>
        <v>ER</v>
      </c>
      <c r="N173" t="s">
        <v>295</v>
      </c>
      <c r="O173" s="51" t="s">
        <v>309</v>
      </c>
      <c r="P173" t="s">
        <v>625</v>
      </c>
      <c r="Q173" t="s">
        <v>295</v>
      </c>
      <c r="R173" s="52" t="str">
        <f>_xlfn.CONCAT(Tabla16[[#This Row],[ABR_01]],"00",Tabla16[[#This Row],[ABR_02]],Tabla16[[#This Row],[ZONA2]],,"0",Tabla16[[#This Row],[PARADA2]])</f>
        <v>AR00ER1005</v>
      </c>
      <c r="S173" s="52" t="s">
        <v>555</v>
      </c>
      <c r="T173" s="34" t="s">
        <v>299</v>
      </c>
      <c r="U173" s="45" t="s">
        <v>299</v>
      </c>
      <c r="V173" t="s">
        <v>805</v>
      </c>
    </row>
    <row r="174" spans="1:22" x14ac:dyDescent="0.25">
      <c r="A174" s="48" t="s">
        <v>300</v>
      </c>
      <c r="B174" s="30" t="s">
        <v>500</v>
      </c>
      <c r="C174" s="3" t="s">
        <v>500</v>
      </c>
      <c r="D174" s="31" t="s">
        <v>493</v>
      </c>
      <c r="E174" s="9" t="s">
        <v>41</v>
      </c>
      <c r="F174" s="5">
        <v>347</v>
      </c>
      <c r="G174" s="9">
        <v>245</v>
      </c>
      <c r="H174" s="32" t="s">
        <v>290</v>
      </c>
      <c r="I174" s="32" t="s">
        <v>494</v>
      </c>
      <c r="J174" s="33" t="s">
        <v>292</v>
      </c>
      <c r="K174" s="33" t="s">
        <v>320</v>
      </c>
      <c r="L174" s="49" t="s">
        <v>294</v>
      </c>
      <c r="M174" s="50" t="str">
        <f>Tabla16[[#This Row],[ABR_02]]</f>
        <v>ER</v>
      </c>
      <c r="N174" t="s">
        <v>295</v>
      </c>
      <c r="O174" s="51" t="s">
        <v>309</v>
      </c>
      <c r="P174" t="s">
        <v>625</v>
      </c>
      <c r="Q174" t="s">
        <v>295</v>
      </c>
      <c r="R174" s="52" t="str">
        <f>_xlfn.CONCAT(Tabla16[[#This Row],[ABR_01]],"00",Tabla16[[#This Row],[ABR_02]],Tabla16[[#This Row],[ZONA2]],,"0",Tabla16[[#This Row],[PARADA2]])</f>
        <v>AR00ER1006</v>
      </c>
      <c r="S174" s="52" t="s">
        <v>555</v>
      </c>
      <c r="T174" s="34" t="s">
        <v>299</v>
      </c>
      <c r="U174" s="45" t="s">
        <v>299</v>
      </c>
      <c r="V174" t="s">
        <v>805</v>
      </c>
    </row>
    <row r="175" spans="1:22" x14ac:dyDescent="0.25">
      <c r="A175" s="48" t="s">
        <v>300</v>
      </c>
      <c r="B175" s="30" t="s">
        <v>501</v>
      </c>
      <c r="C175" s="3" t="s">
        <v>501</v>
      </c>
      <c r="D175" s="31" t="s">
        <v>493</v>
      </c>
      <c r="E175" s="9" t="s">
        <v>41</v>
      </c>
      <c r="F175" s="5">
        <v>347</v>
      </c>
      <c r="G175" s="9">
        <v>235</v>
      </c>
      <c r="H175" s="32" t="s">
        <v>290</v>
      </c>
      <c r="I175" s="32" t="s">
        <v>494</v>
      </c>
      <c r="J175" s="33" t="s">
        <v>292</v>
      </c>
      <c r="K175" s="33" t="s">
        <v>322</v>
      </c>
      <c r="L175" s="49" t="s">
        <v>294</v>
      </c>
      <c r="M175" s="50" t="str">
        <f>Tabla16[[#This Row],[ABR_02]]</f>
        <v>ER</v>
      </c>
      <c r="N175" t="s">
        <v>295</v>
      </c>
      <c r="O175" s="51" t="s">
        <v>309</v>
      </c>
      <c r="P175" t="s">
        <v>625</v>
      </c>
      <c r="Q175" t="s">
        <v>295</v>
      </c>
      <c r="R175" s="52" t="str">
        <f>_xlfn.CONCAT(Tabla16[[#This Row],[ABR_01]],"00",Tabla16[[#This Row],[ABR_02]],Tabla16[[#This Row],[ZONA2]],,"0",Tabla16[[#This Row],[PARADA2]])</f>
        <v>AR00ER1007</v>
      </c>
      <c r="S175" s="52" t="s">
        <v>555</v>
      </c>
      <c r="T175" s="34" t="s">
        <v>299</v>
      </c>
      <c r="U175" s="45" t="s">
        <v>299</v>
      </c>
      <c r="V175" t="s">
        <v>805</v>
      </c>
    </row>
    <row r="176" spans="1:22" x14ac:dyDescent="0.25">
      <c r="A176" s="48" t="s">
        <v>300</v>
      </c>
      <c r="B176" s="30" t="s">
        <v>502</v>
      </c>
      <c r="C176" s="36" t="s">
        <v>64</v>
      </c>
      <c r="D176" s="31" t="s">
        <v>493</v>
      </c>
      <c r="E176" s="9" t="s">
        <v>41</v>
      </c>
      <c r="F176" s="5">
        <v>347</v>
      </c>
      <c r="G176" s="9">
        <v>230</v>
      </c>
      <c r="H176" s="32" t="s">
        <v>290</v>
      </c>
      <c r="I176" s="32" t="s">
        <v>494</v>
      </c>
      <c r="J176" s="33" t="s">
        <v>292</v>
      </c>
      <c r="K176" s="33" t="s">
        <v>324</v>
      </c>
      <c r="L176" s="49" t="s">
        <v>294</v>
      </c>
      <c r="M176" s="50" t="str">
        <f>Tabla16[[#This Row],[ABR_02]]</f>
        <v>ER</v>
      </c>
      <c r="N176" t="s">
        <v>295</v>
      </c>
      <c r="O176" s="51" t="s">
        <v>309</v>
      </c>
      <c r="P176" t="s">
        <v>625</v>
      </c>
      <c r="Q176" t="s">
        <v>295</v>
      </c>
      <c r="R176" s="52" t="str">
        <f>_xlfn.CONCAT(Tabla16[[#This Row],[ABR_01]],"00",Tabla16[[#This Row],[ABR_02]],Tabla16[[#This Row],[ZONA2]],,"0",Tabla16[[#This Row],[PARADA2]])</f>
        <v>AR00ER1008</v>
      </c>
      <c r="S176" s="52" t="s">
        <v>555</v>
      </c>
      <c r="T176" s="34" t="s">
        <v>299</v>
      </c>
      <c r="U176" s="45" t="s">
        <v>299</v>
      </c>
      <c r="V176" t="s">
        <v>805</v>
      </c>
    </row>
    <row r="177" spans="1:22" x14ac:dyDescent="0.25">
      <c r="A177" s="48" t="s">
        <v>300</v>
      </c>
      <c r="B177" s="30" t="s">
        <v>503</v>
      </c>
      <c r="C177" s="3" t="s">
        <v>503</v>
      </c>
      <c r="D177" s="31" t="s">
        <v>493</v>
      </c>
      <c r="E177" s="9" t="s">
        <v>41</v>
      </c>
      <c r="F177" s="5">
        <v>347</v>
      </c>
      <c r="G177" s="9">
        <v>267</v>
      </c>
      <c r="H177" s="32" t="s">
        <v>290</v>
      </c>
      <c r="I177" s="32" t="s">
        <v>494</v>
      </c>
      <c r="J177" s="33" t="s">
        <v>292</v>
      </c>
      <c r="K177" s="33" t="s">
        <v>368</v>
      </c>
      <c r="L177" s="49" t="s">
        <v>294</v>
      </c>
      <c r="M177" s="50" t="str">
        <f>Tabla16[[#This Row],[ABR_02]]</f>
        <v>ER</v>
      </c>
      <c r="N177" t="s">
        <v>295</v>
      </c>
      <c r="O177" s="51" t="s">
        <v>309</v>
      </c>
      <c r="P177" t="s">
        <v>625</v>
      </c>
      <c r="Q177" t="s">
        <v>295</v>
      </c>
      <c r="R177" s="52" t="str">
        <f>_xlfn.CONCAT(Tabla16[[#This Row],[ABR_01]],"00",Tabla16[[#This Row],[ABR_02]],Tabla16[[#This Row],[ZONA2]],,"0",Tabla16[[#This Row],[PARADA2]])</f>
        <v>AR00ER1009</v>
      </c>
      <c r="S177" s="52" t="s">
        <v>555</v>
      </c>
      <c r="T177" s="34" t="s">
        <v>299</v>
      </c>
      <c r="U177" s="45" t="s">
        <v>299</v>
      </c>
      <c r="V177" t="s">
        <v>805</v>
      </c>
    </row>
    <row r="178" spans="1:22" x14ac:dyDescent="0.25">
      <c r="A178" s="48" t="s">
        <v>300</v>
      </c>
      <c r="B178" s="30" t="s">
        <v>504</v>
      </c>
      <c r="C178" s="3" t="s">
        <v>504</v>
      </c>
      <c r="D178" s="31" t="s">
        <v>493</v>
      </c>
      <c r="E178" s="9" t="s">
        <v>41</v>
      </c>
      <c r="F178" s="5">
        <v>347</v>
      </c>
      <c r="G178" s="9">
        <v>343</v>
      </c>
      <c r="H178" s="32" t="s">
        <v>290</v>
      </c>
      <c r="I178" s="32" t="s">
        <v>494</v>
      </c>
      <c r="J178" s="33" t="s">
        <v>292</v>
      </c>
      <c r="K178" s="33" t="s">
        <v>370</v>
      </c>
      <c r="L178" s="49" t="s">
        <v>294</v>
      </c>
      <c r="M178" s="50" t="str">
        <f>Tabla16[[#This Row],[ABR_02]]</f>
        <v>ER</v>
      </c>
      <c r="N178" t="s">
        <v>295</v>
      </c>
      <c r="O178" s="51" t="s">
        <v>309</v>
      </c>
      <c r="P178" t="s">
        <v>625</v>
      </c>
      <c r="Q178" t="s">
        <v>295</v>
      </c>
      <c r="R178" s="52" t="str">
        <f>_xlfn.CONCAT(Tabla16[[#This Row],[ABR_01]],"00",Tabla16[[#This Row],[ABR_02]],Tabla16[[#This Row],[ZONA2]],,"0",Tabla16[[#This Row],[PARADA2]])</f>
        <v>AR00ER1010</v>
      </c>
      <c r="S178" s="52" t="s">
        <v>555</v>
      </c>
      <c r="T178" s="34" t="s">
        <v>299</v>
      </c>
      <c r="U178" s="45" t="s">
        <v>299</v>
      </c>
      <c r="V178" t="s">
        <v>805</v>
      </c>
    </row>
    <row r="179" spans="1:22" x14ac:dyDescent="0.25">
      <c r="A179" s="48" t="s">
        <v>300</v>
      </c>
      <c r="B179" s="30" t="s">
        <v>505</v>
      </c>
      <c r="C179" s="3" t="s">
        <v>505</v>
      </c>
      <c r="D179" s="31" t="s">
        <v>493</v>
      </c>
      <c r="E179" s="9" t="s">
        <v>41</v>
      </c>
      <c r="F179" s="5">
        <v>347</v>
      </c>
      <c r="G179" s="9">
        <v>255</v>
      </c>
      <c r="H179" s="32" t="s">
        <v>290</v>
      </c>
      <c r="I179" s="32" t="s">
        <v>494</v>
      </c>
      <c r="J179" s="33" t="s">
        <v>292</v>
      </c>
      <c r="K179" s="33" t="s">
        <v>372</v>
      </c>
      <c r="L179" s="49" t="s">
        <v>294</v>
      </c>
      <c r="M179" s="50" t="str">
        <f>Tabla16[[#This Row],[ABR_02]]</f>
        <v>ER</v>
      </c>
      <c r="N179" t="s">
        <v>295</v>
      </c>
      <c r="O179" s="51" t="s">
        <v>309</v>
      </c>
      <c r="P179" t="s">
        <v>625</v>
      </c>
      <c r="Q179" t="s">
        <v>295</v>
      </c>
      <c r="R179" s="52" t="str">
        <f>_xlfn.CONCAT(Tabla16[[#This Row],[ABR_01]],"00",Tabla16[[#This Row],[ABR_02]],Tabla16[[#This Row],[ZONA2]],,"0",Tabla16[[#This Row],[PARADA2]])</f>
        <v>AR00ER1011</v>
      </c>
      <c r="S179" s="52" t="s">
        <v>555</v>
      </c>
      <c r="T179" s="34" t="s">
        <v>299</v>
      </c>
      <c r="U179" s="45" t="s">
        <v>299</v>
      </c>
      <c r="V179" t="s">
        <v>805</v>
      </c>
    </row>
    <row r="180" spans="1:22" x14ac:dyDescent="0.25">
      <c r="A180" s="48" t="s">
        <v>300</v>
      </c>
      <c r="B180" s="30" t="s">
        <v>506</v>
      </c>
      <c r="C180" s="3" t="s">
        <v>506</v>
      </c>
      <c r="D180" s="31" t="s">
        <v>493</v>
      </c>
      <c r="E180" s="9" t="s">
        <v>41</v>
      </c>
      <c r="F180" s="5">
        <v>347</v>
      </c>
      <c r="G180" s="9">
        <v>268</v>
      </c>
      <c r="H180" s="32" t="s">
        <v>290</v>
      </c>
      <c r="I180" s="32" t="s">
        <v>494</v>
      </c>
      <c r="J180" s="33" t="s">
        <v>292</v>
      </c>
      <c r="K180" s="33" t="s">
        <v>374</v>
      </c>
      <c r="L180" s="49" t="s">
        <v>294</v>
      </c>
      <c r="M180" s="50" t="str">
        <f>Tabla16[[#This Row],[ABR_02]]</f>
        <v>ER</v>
      </c>
      <c r="N180" t="s">
        <v>295</v>
      </c>
      <c r="O180" s="51" t="s">
        <v>309</v>
      </c>
      <c r="P180" t="s">
        <v>625</v>
      </c>
      <c r="Q180" t="s">
        <v>295</v>
      </c>
      <c r="R180" s="52" t="str">
        <f>_xlfn.CONCAT(Tabla16[[#This Row],[ABR_01]],"00",Tabla16[[#This Row],[ABR_02]],Tabla16[[#This Row],[ZONA2]],,"0",Tabla16[[#This Row],[PARADA2]])</f>
        <v>AR00ER1012</v>
      </c>
      <c r="S180" s="52" t="s">
        <v>555</v>
      </c>
      <c r="T180" s="34" t="s">
        <v>299</v>
      </c>
      <c r="U180" s="45" t="s">
        <v>299</v>
      </c>
      <c r="V180" t="s">
        <v>805</v>
      </c>
    </row>
    <row r="181" spans="1:22" x14ac:dyDescent="0.25">
      <c r="A181" s="48" t="s">
        <v>300</v>
      </c>
      <c r="B181" s="30" t="s">
        <v>507</v>
      </c>
      <c r="C181" s="3" t="s">
        <v>507</v>
      </c>
      <c r="D181" s="31" t="s">
        <v>493</v>
      </c>
      <c r="E181" s="9" t="s">
        <v>41</v>
      </c>
      <c r="F181" s="5">
        <v>347</v>
      </c>
      <c r="G181" s="9">
        <v>260</v>
      </c>
      <c r="H181" s="32" t="s">
        <v>290</v>
      </c>
      <c r="I181" s="32" t="s">
        <v>494</v>
      </c>
      <c r="J181" s="33" t="s">
        <v>292</v>
      </c>
      <c r="K181" s="33" t="s">
        <v>376</v>
      </c>
      <c r="L181" s="49" t="s">
        <v>294</v>
      </c>
      <c r="M181" s="50" t="str">
        <f>Tabla16[[#This Row],[ABR_02]]</f>
        <v>ER</v>
      </c>
      <c r="N181" t="s">
        <v>295</v>
      </c>
      <c r="O181" s="51" t="s">
        <v>309</v>
      </c>
      <c r="P181" t="s">
        <v>625</v>
      </c>
      <c r="Q181" t="s">
        <v>295</v>
      </c>
      <c r="R181" s="52" t="str">
        <f>_xlfn.CONCAT(Tabla16[[#This Row],[ABR_01]],"00",Tabla16[[#This Row],[ABR_02]],Tabla16[[#This Row],[ZONA2]],,"0",Tabla16[[#This Row],[PARADA2]])</f>
        <v>AR00ER1013</v>
      </c>
      <c r="S181" s="52" t="s">
        <v>555</v>
      </c>
      <c r="T181" s="34" t="s">
        <v>299</v>
      </c>
      <c r="U181" s="45" t="s">
        <v>299</v>
      </c>
      <c r="V181" t="s">
        <v>805</v>
      </c>
    </row>
    <row r="182" spans="1:22" x14ac:dyDescent="0.25">
      <c r="A182" s="48" t="s">
        <v>300</v>
      </c>
      <c r="B182" s="30" t="s">
        <v>508</v>
      </c>
      <c r="C182" s="3" t="s">
        <v>508</v>
      </c>
      <c r="D182" s="31" t="s">
        <v>493</v>
      </c>
      <c r="E182" s="9" t="s">
        <v>41</v>
      </c>
      <c r="F182" s="5">
        <v>347</v>
      </c>
      <c r="G182" s="9">
        <v>290</v>
      </c>
      <c r="H182" s="32" t="s">
        <v>290</v>
      </c>
      <c r="I182" s="32" t="s">
        <v>494</v>
      </c>
      <c r="J182" s="33" t="s">
        <v>292</v>
      </c>
      <c r="K182" s="33" t="s">
        <v>379</v>
      </c>
      <c r="L182" s="49" t="s">
        <v>294</v>
      </c>
      <c r="M182" s="50" t="str">
        <f>Tabla16[[#This Row],[ABR_02]]</f>
        <v>ER</v>
      </c>
      <c r="N182" t="s">
        <v>295</v>
      </c>
      <c r="O182" s="51" t="s">
        <v>309</v>
      </c>
      <c r="P182" t="s">
        <v>625</v>
      </c>
      <c r="Q182" t="s">
        <v>295</v>
      </c>
      <c r="R182" s="52" t="str">
        <f>_xlfn.CONCAT(Tabla16[[#This Row],[ABR_01]],"00",Tabla16[[#This Row],[ABR_02]],Tabla16[[#This Row],[ZONA2]],,"0",Tabla16[[#This Row],[PARADA2]])</f>
        <v>AR00ER1014</v>
      </c>
      <c r="S182" s="52" t="s">
        <v>555</v>
      </c>
      <c r="T182" s="34" t="s">
        <v>299</v>
      </c>
      <c r="U182" s="45" t="s">
        <v>299</v>
      </c>
      <c r="V182" t="s">
        <v>805</v>
      </c>
    </row>
    <row r="183" spans="1:22" x14ac:dyDescent="0.25">
      <c r="A183" s="48" t="s">
        <v>300</v>
      </c>
      <c r="B183" s="30" t="s">
        <v>509</v>
      </c>
      <c r="C183" s="36" t="s">
        <v>218</v>
      </c>
      <c r="D183" s="31" t="s">
        <v>493</v>
      </c>
      <c r="E183" s="9" t="s">
        <v>27</v>
      </c>
      <c r="F183" s="5">
        <v>342</v>
      </c>
      <c r="G183" s="9">
        <v>240</v>
      </c>
      <c r="H183" s="32" t="s">
        <v>290</v>
      </c>
      <c r="I183" s="32" t="s">
        <v>494</v>
      </c>
      <c r="J183" s="33" t="s">
        <v>292</v>
      </c>
      <c r="K183" s="33" t="s">
        <v>382</v>
      </c>
      <c r="L183" s="49" t="s">
        <v>294</v>
      </c>
      <c r="M183" s="50" t="str">
        <f>Tabla16[[#This Row],[ABR_02]]</f>
        <v>ER</v>
      </c>
      <c r="N183" t="s">
        <v>295</v>
      </c>
      <c r="O183" s="51" t="s">
        <v>309</v>
      </c>
      <c r="P183" t="s">
        <v>625</v>
      </c>
      <c r="Q183" t="s">
        <v>295</v>
      </c>
      <c r="R183" s="52" t="str">
        <f>_xlfn.CONCAT(Tabla16[[#This Row],[ABR_01]],"00",Tabla16[[#This Row],[ABR_02]],Tabla16[[#This Row],[ZONA2]],,"0",Tabla16[[#This Row],[PARADA2]])</f>
        <v>AR00ER1015</v>
      </c>
      <c r="S183" s="52" t="s">
        <v>555</v>
      </c>
      <c r="T183" s="34" t="s">
        <v>299</v>
      </c>
      <c r="U183" s="45" t="s">
        <v>299</v>
      </c>
      <c r="V183" t="s">
        <v>805</v>
      </c>
    </row>
    <row r="184" spans="1:22" x14ac:dyDescent="0.25">
      <c r="A184" s="48" t="s">
        <v>300</v>
      </c>
      <c r="B184" s="30" t="s">
        <v>487</v>
      </c>
      <c r="C184" s="36" t="s">
        <v>488</v>
      </c>
      <c r="D184" s="31" t="s">
        <v>489</v>
      </c>
      <c r="E184" s="9" t="s">
        <v>55</v>
      </c>
      <c r="F184" s="5">
        <v>343</v>
      </c>
      <c r="G184" s="9">
        <v>360</v>
      </c>
      <c r="H184" s="32" t="s">
        <v>290</v>
      </c>
      <c r="I184" s="32" t="s">
        <v>490</v>
      </c>
      <c r="J184" s="33" t="s">
        <v>292</v>
      </c>
      <c r="K184" s="33" t="s">
        <v>293</v>
      </c>
      <c r="L184" s="49" t="s">
        <v>294</v>
      </c>
      <c r="M184" s="50" t="str">
        <f>Tabla16[[#This Row],[ABR_02]]</f>
        <v>FO</v>
      </c>
      <c r="N184" t="s">
        <v>295</v>
      </c>
      <c r="O184" s="51" t="s">
        <v>293</v>
      </c>
      <c r="P184" t="s">
        <v>296</v>
      </c>
      <c r="Q184" t="s">
        <v>303</v>
      </c>
      <c r="R184" s="52" t="str">
        <f>_xlfn.CONCAT(Tabla16[[#This Row],[ABR_01]],"00",Tabla16[[#This Row],[ABR_02]],Tabla16[[#This Row],[ZONA2]],,"0",Tabla16[[#This Row],[PARADA2]])</f>
        <v>AR00FO1001</v>
      </c>
      <c r="S184" s="52" t="s">
        <v>304</v>
      </c>
      <c r="T184" s="34" t="s">
        <v>299</v>
      </c>
      <c r="U184" s="34" t="s">
        <v>299</v>
      </c>
      <c r="V184" t="s">
        <v>804</v>
      </c>
    </row>
    <row r="185" spans="1:22" x14ac:dyDescent="0.25">
      <c r="A185" s="48" t="s">
        <v>300</v>
      </c>
      <c r="B185" s="30" t="s">
        <v>491</v>
      </c>
      <c r="C185" s="36" t="s">
        <v>56</v>
      </c>
      <c r="D185" s="31" t="s">
        <v>489</v>
      </c>
      <c r="E185" s="9" t="s">
        <v>55</v>
      </c>
      <c r="F185" s="5">
        <v>343</v>
      </c>
      <c r="G185" s="9">
        <v>355</v>
      </c>
      <c r="H185" s="32" t="s">
        <v>290</v>
      </c>
      <c r="I185" s="32" t="s">
        <v>490</v>
      </c>
      <c r="J185" s="33" t="s">
        <v>292</v>
      </c>
      <c r="K185" s="33" t="s">
        <v>306</v>
      </c>
      <c r="L185" s="49" t="s">
        <v>294</v>
      </c>
      <c r="M185" s="50" t="str">
        <f>Tabla16[[#This Row],[ABR_02]]</f>
        <v>FO</v>
      </c>
      <c r="N185" t="s">
        <v>295</v>
      </c>
      <c r="O185" s="51" t="s">
        <v>293</v>
      </c>
      <c r="P185" t="s">
        <v>296</v>
      </c>
      <c r="Q185" t="s">
        <v>303</v>
      </c>
      <c r="R185" s="52" t="str">
        <f>_xlfn.CONCAT(Tabla16[[#This Row],[ABR_01]],"00",Tabla16[[#This Row],[ABR_02]],Tabla16[[#This Row],[ZONA2]],,"0",Tabla16[[#This Row],[PARADA2]])</f>
        <v>AR00FO1002</v>
      </c>
      <c r="S185" s="52" t="s">
        <v>304</v>
      </c>
      <c r="T185" s="34" t="s">
        <v>299</v>
      </c>
      <c r="U185" s="34" t="s">
        <v>299</v>
      </c>
      <c r="V185" t="s">
        <v>804</v>
      </c>
    </row>
    <row r="186" spans="1:22" x14ac:dyDescent="0.25">
      <c r="A186" s="48" t="s">
        <v>300</v>
      </c>
      <c r="B186" s="30" t="s">
        <v>487</v>
      </c>
      <c r="C186" s="36" t="s">
        <v>488</v>
      </c>
      <c r="D186" s="31" t="s">
        <v>489</v>
      </c>
      <c r="E186" s="9" t="s">
        <v>55</v>
      </c>
      <c r="F186" s="5">
        <v>343</v>
      </c>
      <c r="G186" s="9">
        <v>360</v>
      </c>
      <c r="H186" s="32" t="s">
        <v>290</v>
      </c>
      <c r="I186" s="32" t="s">
        <v>490</v>
      </c>
      <c r="J186" s="33" t="s">
        <v>292</v>
      </c>
      <c r="K186" s="33" t="s">
        <v>293</v>
      </c>
      <c r="L186" s="49" t="s">
        <v>294</v>
      </c>
      <c r="M186" s="50" t="str">
        <f>Tabla16[[#This Row],[ABR_02]]</f>
        <v>FO</v>
      </c>
      <c r="N186" t="s">
        <v>295</v>
      </c>
      <c r="O186" s="51" t="s">
        <v>309</v>
      </c>
      <c r="P186" t="s">
        <v>625</v>
      </c>
      <c r="Q186" t="s">
        <v>626</v>
      </c>
      <c r="R186" s="52" t="str">
        <f>_xlfn.CONCAT(Tabla16[[#This Row],[ABR_01]],"00",Tabla16[[#This Row],[ABR_02]],Tabla16[[#This Row],[ZONA2]],,"0",Tabla16[[#This Row],[PARADA2]])</f>
        <v>AR00FO1001</v>
      </c>
      <c r="S186" s="52" t="s">
        <v>627</v>
      </c>
      <c r="T186" s="34" t="s">
        <v>299</v>
      </c>
      <c r="U186" s="45" t="s">
        <v>299</v>
      </c>
      <c r="V186" t="s">
        <v>805</v>
      </c>
    </row>
    <row r="187" spans="1:22" x14ac:dyDescent="0.25">
      <c r="A187" s="48" t="s">
        <v>300</v>
      </c>
      <c r="B187" s="30" t="s">
        <v>491</v>
      </c>
      <c r="C187" s="36" t="s">
        <v>56</v>
      </c>
      <c r="D187" s="31" t="s">
        <v>489</v>
      </c>
      <c r="E187" s="9" t="s">
        <v>55</v>
      </c>
      <c r="F187" s="5">
        <v>343</v>
      </c>
      <c r="G187" s="9">
        <v>355</v>
      </c>
      <c r="H187" s="32" t="s">
        <v>290</v>
      </c>
      <c r="I187" s="32" t="s">
        <v>490</v>
      </c>
      <c r="J187" s="33" t="s">
        <v>292</v>
      </c>
      <c r="K187" s="33" t="s">
        <v>306</v>
      </c>
      <c r="L187" s="49" t="s">
        <v>294</v>
      </c>
      <c r="M187" s="50" t="str">
        <f>Tabla16[[#This Row],[ABR_02]]</f>
        <v>FO</v>
      </c>
      <c r="N187" t="s">
        <v>295</v>
      </c>
      <c r="O187" s="51" t="s">
        <v>309</v>
      </c>
      <c r="P187" t="s">
        <v>625</v>
      </c>
      <c r="Q187" t="s">
        <v>626</v>
      </c>
      <c r="R187" s="52" t="str">
        <f>_xlfn.CONCAT(Tabla16[[#This Row],[ABR_01]],"00",Tabla16[[#This Row],[ABR_02]],Tabla16[[#This Row],[ZONA2]],,"0",Tabla16[[#This Row],[PARADA2]])</f>
        <v>AR00FO1002</v>
      </c>
      <c r="S187" s="52" t="s">
        <v>627</v>
      </c>
      <c r="T187" s="34" t="s">
        <v>299</v>
      </c>
      <c r="U187" s="45" t="s">
        <v>299</v>
      </c>
      <c r="V187" t="s">
        <v>805</v>
      </c>
    </row>
    <row r="188" spans="1:22" x14ac:dyDescent="0.25">
      <c r="A188" s="48" t="s">
        <v>300</v>
      </c>
      <c r="B188" s="30" t="s">
        <v>479</v>
      </c>
      <c r="C188" s="3" t="s">
        <v>479</v>
      </c>
      <c r="D188" s="31" t="s">
        <v>480</v>
      </c>
      <c r="E188" s="9" t="s">
        <v>31</v>
      </c>
      <c r="F188" s="5">
        <v>362</v>
      </c>
      <c r="G188" s="9">
        <v>465</v>
      </c>
      <c r="H188" s="32" t="s">
        <v>290</v>
      </c>
      <c r="I188" s="32" t="s">
        <v>481</v>
      </c>
      <c r="J188" s="33" t="s">
        <v>292</v>
      </c>
      <c r="K188" s="33" t="s">
        <v>293</v>
      </c>
      <c r="L188" s="49" t="s">
        <v>294</v>
      </c>
      <c r="M188" s="50" t="str">
        <f>Tabla16[[#This Row],[ABR_02]]</f>
        <v>JY</v>
      </c>
      <c r="N188" t="s">
        <v>295</v>
      </c>
      <c r="O188" s="51" t="s">
        <v>293</v>
      </c>
      <c r="P188" t="s">
        <v>296</v>
      </c>
      <c r="Q188" t="s">
        <v>303</v>
      </c>
      <c r="R188" s="52" t="str">
        <f>_xlfn.CONCAT(Tabla16[[#This Row],[ABR_01]],"00",Tabla16[[#This Row],[ABR_02]],Tabla16[[#This Row],[ZONA2]],,"0",Tabla16[[#This Row],[PARADA2]])</f>
        <v>AR00JY1001</v>
      </c>
      <c r="S188" s="52" t="s">
        <v>304</v>
      </c>
      <c r="T188" s="34" t="s">
        <v>299</v>
      </c>
      <c r="U188" s="34" t="s">
        <v>299</v>
      </c>
      <c r="V188" t="s">
        <v>804</v>
      </c>
    </row>
    <row r="189" spans="1:22" x14ac:dyDescent="0.25">
      <c r="A189" s="48" t="s">
        <v>300</v>
      </c>
      <c r="B189" s="30" t="s">
        <v>482</v>
      </c>
      <c r="C189" s="3" t="s">
        <v>483</v>
      </c>
      <c r="D189" s="31" t="s">
        <v>480</v>
      </c>
      <c r="E189" s="9" t="s">
        <v>31</v>
      </c>
      <c r="F189" s="5">
        <v>362</v>
      </c>
      <c r="G189" s="9">
        <v>450</v>
      </c>
      <c r="H189" s="32" t="s">
        <v>290</v>
      </c>
      <c r="I189" s="32" t="s">
        <v>481</v>
      </c>
      <c r="J189" s="33" t="s">
        <v>292</v>
      </c>
      <c r="K189" s="33" t="s">
        <v>306</v>
      </c>
      <c r="L189" s="49" t="s">
        <v>294</v>
      </c>
      <c r="M189" s="50" t="str">
        <f>Tabla16[[#This Row],[ABR_02]]</f>
        <v>JY</v>
      </c>
      <c r="N189" t="s">
        <v>295</v>
      </c>
      <c r="O189" s="51" t="s">
        <v>293</v>
      </c>
      <c r="P189" t="s">
        <v>296</v>
      </c>
      <c r="Q189" t="s">
        <v>303</v>
      </c>
      <c r="R189" s="52" t="str">
        <f>_xlfn.CONCAT(Tabla16[[#This Row],[ABR_01]],"00",Tabla16[[#This Row],[ABR_02]],Tabla16[[#This Row],[ZONA2]],,"0",Tabla16[[#This Row],[PARADA2]])</f>
        <v>AR00JY1002</v>
      </c>
      <c r="S189" s="52" t="s">
        <v>304</v>
      </c>
      <c r="T189" s="34" t="s">
        <v>299</v>
      </c>
      <c r="U189" s="34" t="s">
        <v>299</v>
      </c>
      <c r="V189" t="s">
        <v>804</v>
      </c>
    </row>
    <row r="190" spans="1:22" x14ac:dyDescent="0.25">
      <c r="A190" s="48" t="s">
        <v>300</v>
      </c>
      <c r="B190" s="30" t="s">
        <v>484</v>
      </c>
      <c r="C190" s="36" t="s">
        <v>485</v>
      </c>
      <c r="D190" s="31" t="s">
        <v>480</v>
      </c>
      <c r="E190" s="9" t="s">
        <v>31</v>
      </c>
      <c r="F190" s="5">
        <v>362</v>
      </c>
      <c r="G190" s="9">
        <v>381</v>
      </c>
      <c r="H190" s="32" t="s">
        <v>290</v>
      </c>
      <c r="I190" s="32" t="s">
        <v>481</v>
      </c>
      <c r="J190" s="33" t="s">
        <v>292</v>
      </c>
      <c r="K190" s="33" t="s">
        <v>307</v>
      </c>
      <c r="L190" s="49" t="s">
        <v>294</v>
      </c>
      <c r="M190" s="50" t="str">
        <f>Tabla16[[#This Row],[ABR_02]]</f>
        <v>JY</v>
      </c>
      <c r="N190" t="s">
        <v>295</v>
      </c>
      <c r="O190" s="51" t="s">
        <v>293</v>
      </c>
      <c r="P190" t="s">
        <v>296</v>
      </c>
      <c r="Q190" t="s">
        <v>303</v>
      </c>
      <c r="R190" s="52" t="str">
        <f>_xlfn.CONCAT(Tabla16[[#This Row],[ABR_01]],"00",Tabla16[[#This Row],[ABR_02]],Tabla16[[#This Row],[ZONA2]],,"0",Tabla16[[#This Row],[PARADA2]])</f>
        <v>AR00JY1003</v>
      </c>
      <c r="S190" s="52" t="s">
        <v>304</v>
      </c>
      <c r="T190" s="34" t="s">
        <v>299</v>
      </c>
      <c r="U190" s="34" t="s">
        <v>299</v>
      </c>
      <c r="V190" t="s">
        <v>804</v>
      </c>
    </row>
    <row r="191" spans="1:22" x14ac:dyDescent="0.25">
      <c r="A191" s="48" t="s">
        <v>300</v>
      </c>
      <c r="B191" s="30" t="s">
        <v>486</v>
      </c>
      <c r="C191" s="3" t="s">
        <v>486</v>
      </c>
      <c r="D191" s="31" t="s">
        <v>480</v>
      </c>
      <c r="E191" s="9" t="s">
        <v>31</v>
      </c>
      <c r="F191" s="5">
        <v>362</v>
      </c>
      <c r="G191" s="9">
        <v>445</v>
      </c>
      <c r="H191" s="32" t="s">
        <v>290</v>
      </c>
      <c r="I191" s="32" t="s">
        <v>481</v>
      </c>
      <c r="J191" s="33" t="s">
        <v>292</v>
      </c>
      <c r="K191" s="33" t="s">
        <v>309</v>
      </c>
      <c r="L191" s="49" t="s">
        <v>294</v>
      </c>
      <c r="M191" s="50" t="str">
        <f>Tabla16[[#This Row],[ABR_02]]</f>
        <v>JY</v>
      </c>
      <c r="N191" t="s">
        <v>295</v>
      </c>
      <c r="O191" s="51" t="s">
        <v>293</v>
      </c>
      <c r="P191" t="s">
        <v>296</v>
      </c>
      <c r="Q191" t="s">
        <v>303</v>
      </c>
      <c r="R191" s="52" t="str">
        <f>_xlfn.CONCAT(Tabla16[[#This Row],[ABR_01]],"00",Tabla16[[#This Row],[ABR_02]],Tabla16[[#This Row],[ZONA2]],,"0",Tabla16[[#This Row],[PARADA2]])</f>
        <v>AR00JY1004</v>
      </c>
      <c r="S191" s="52" t="s">
        <v>304</v>
      </c>
      <c r="T191" s="34" t="s">
        <v>299</v>
      </c>
      <c r="U191" s="34" t="s">
        <v>299</v>
      </c>
      <c r="V191" t="s">
        <v>804</v>
      </c>
    </row>
    <row r="192" spans="1:22" x14ac:dyDescent="0.25">
      <c r="A192" s="48" t="s">
        <v>300</v>
      </c>
      <c r="B192" s="30" t="s">
        <v>128</v>
      </c>
      <c r="C192" s="3" t="s">
        <v>128</v>
      </c>
      <c r="D192" s="31" t="s">
        <v>480</v>
      </c>
      <c r="E192" s="9" t="s">
        <v>31</v>
      </c>
      <c r="F192" s="5">
        <v>362</v>
      </c>
      <c r="G192" s="9">
        <v>460</v>
      </c>
      <c r="H192" s="32" t="s">
        <v>290</v>
      </c>
      <c r="I192" s="32" t="s">
        <v>481</v>
      </c>
      <c r="J192" s="33" t="s">
        <v>292</v>
      </c>
      <c r="K192" s="33" t="s">
        <v>319</v>
      </c>
      <c r="L192" s="49" t="s">
        <v>294</v>
      </c>
      <c r="M192" s="50" t="str">
        <f>Tabla16[[#This Row],[ABR_02]]</f>
        <v>JY</v>
      </c>
      <c r="N192" t="s">
        <v>295</v>
      </c>
      <c r="O192" s="51" t="s">
        <v>293</v>
      </c>
      <c r="P192" t="s">
        <v>296</v>
      </c>
      <c r="Q192" t="s">
        <v>303</v>
      </c>
      <c r="R192" s="52" t="str">
        <f>_xlfn.CONCAT(Tabla16[[#This Row],[ABR_01]],"00",Tabla16[[#This Row],[ABR_02]],Tabla16[[#This Row],[ZONA2]],,"0",Tabla16[[#This Row],[PARADA2]])</f>
        <v>AR00JY1005</v>
      </c>
      <c r="S192" s="52" t="s">
        <v>304</v>
      </c>
      <c r="T192" s="34" t="s">
        <v>299</v>
      </c>
      <c r="U192" s="34" t="s">
        <v>299</v>
      </c>
      <c r="V192" t="s">
        <v>804</v>
      </c>
    </row>
    <row r="193" spans="1:22" x14ac:dyDescent="0.25">
      <c r="A193" s="48" t="s">
        <v>300</v>
      </c>
      <c r="B193" s="30" t="s">
        <v>479</v>
      </c>
      <c r="C193" s="3" t="s">
        <v>479</v>
      </c>
      <c r="D193" s="31" t="s">
        <v>480</v>
      </c>
      <c r="E193" s="9" t="s">
        <v>31</v>
      </c>
      <c r="F193" s="5">
        <v>362</v>
      </c>
      <c r="G193" s="9">
        <v>465</v>
      </c>
      <c r="H193" s="32" t="s">
        <v>290</v>
      </c>
      <c r="I193" s="32" t="s">
        <v>481</v>
      </c>
      <c r="J193" s="33" t="s">
        <v>292</v>
      </c>
      <c r="K193" s="33" t="s">
        <v>293</v>
      </c>
      <c r="L193" s="49" t="s">
        <v>294</v>
      </c>
      <c r="M193" s="50" t="str">
        <f>Tabla16[[#This Row],[ABR_02]]</f>
        <v>JY</v>
      </c>
      <c r="N193" t="s">
        <v>295</v>
      </c>
      <c r="O193" s="51" t="s">
        <v>309</v>
      </c>
      <c r="P193" t="s">
        <v>625</v>
      </c>
      <c r="Q193" t="s">
        <v>626</v>
      </c>
      <c r="R193" s="52" t="str">
        <f>_xlfn.CONCAT(Tabla16[[#This Row],[ABR_01]],"00",Tabla16[[#This Row],[ABR_02]],Tabla16[[#This Row],[ZONA2]],,"0",Tabla16[[#This Row],[PARADA2]])</f>
        <v>AR00JY1001</v>
      </c>
      <c r="S193" s="52" t="s">
        <v>627</v>
      </c>
      <c r="T193" s="34" t="s">
        <v>299</v>
      </c>
      <c r="U193" s="45" t="s">
        <v>299</v>
      </c>
      <c r="V193" t="s">
        <v>805</v>
      </c>
    </row>
    <row r="194" spans="1:22" x14ac:dyDescent="0.25">
      <c r="A194" s="48" t="s">
        <v>300</v>
      </c>
      <c r="B194" s="30" t="s">
        <v>482</v>
      </c>
      <c r="C194" s="3" t="s">
        <v>483</v>
      </c>
      <c r="D194" s="31" t="s">
        <v>480</v>
      </c>
      <c r="E194" s="9" t="s">
        <v>31</v>
      </c>
      <c r="F194" s="5">
        <v>362</v>
      </c>
      <c r="G194" s="9">
        <v>450</v>
      </c>
      <c r="H194" s="32" t="s">
        <v>290</v>
      </c>
      <c r="I194" s="32" t="s">
        <v>481</v>
      </c>
      <c r="J194" s="33" t="s">
        <v>292</v>
      </c>
      <c r="K194" s="33" t="s">
        <v>306</v>
      </c>
      <c r="L194" s="49" t="s">
        <v>294</v>
      </c>
      <c r="M194" s="50" t="str">
        <f>Tabla16[[#This Row],[ABR_02]]</f>
        <v>JY</v>
      </c>
      <c r="N194" t="s">
        <v>295</v>
      </c>
      <c r="O194" s="51" t="s">
        <v>309</v>
      </c>
      <c r="P194" t="s">
        <v>625</v>
      </c>
      <c r="Q194" t="s">
        <v>626</v>
      </c>
      <c r="R194" s="52" t="str">
        <f>_xlfn.CONCAT(Tabla16[[#This Row],[ABR_01]],"00",Tabla16[[#This Row],[ABR_02]],Tabla16[[#This Row],[ZONA2]],,"0",Tabla16[[#This Row],[PARADA2]])</f>
        <v>AR00JY1002</v>
      </c>
      <c r="S194" s="52" t="s">
        <v>627</v>
      </c>
      <c r="T194" s="34" t="s">
        <v>299</v>
      </c>
      <c r="U194" s="45" t="s">
        <v>299</v>
      </c>
      <c r="V194" t="s">
        <v>805</v>
      </c>
    </row>
    <row r="195" spans="1:22" x14ac:dyDescent="0.25">
      <c r="A195" s="48" t="s">
        <v>300</v>
      </c>
      <c r="B195" s="30" t="s">
        <v>484</v>
      </c>
      <c r="C195" s="36" t="s">
        <v>485</v>
      </c>
      <c r="D195" s="31" t="s">
        <v>480</v>
      </c>
      <c r="E195" s="9" t="s">
        <v>31</v>
      </c>
      <c r="F195" s="5">
        <v>362</v>
      </c>
      <c r="G195" s="9">
        <v>381</v>
      </c>
      <c r="H195" s="32" t="s">
        <v>290</v>
      </c>
      <c r="I195" s="32" t="s">
        <v>481</v>
      </c>
      <c r="J195" s="33" t="s">
        <v>292</v>
      </c>
      <c r="K195" s="33" t="s">
        <v>307</v>
      </c>
      <c r="L195" s="49" t="s">
        <v>294</v>
      </c>
      <c r="M195" s="50" t="str">
        <f>Tabla16[[#This Row],[ABR_02]]</f>
        <v>JY</v>
      </c>
      <c r="N195" t="s">
        <v>295</v>
      </c>
      <c r="O195" s="51" t="s">
        <v>309</v>
      </c>
      <c r="P195" t="s">
        <v>625</v>
      </c>
      <c r="Q195" t="s">
        <v>626</v>
      </c>
      <c r="R195" s="52" t="str">
        <f>_xlfn.CONCAT(Tabla16[[#This Row],[ABR_01]],"00",Tabla16[[#This Row],[ABR_02]],Tabla16[[#This Row],[ZONA2]],,"0",Tabla16[[#This Row],[PARADA2]])</f>
        <v>AR00JY1003</v>
      </c>
      <c r="S195" s="52" t="s">
        <v>627</v>
      </c>
      <c r="T195" s="34" t="s">
        <v>299</v>
      </c>
      <c r="U195" s="45" t="s">
        <v>299</v>
      </c>
      <c r="V195" t="s">
        <v>805</v>
      </c>
    </row>
    <row r="196" spans="1:22" x14ac:dyDescent="0.25">
      <c r="A196" s="48" t="s">
        <v>300</v>
      </c>
      <c r="B196" s="30" t="s">
        <v>486</v>
      </c>
      <c r="C196" s="3" t="s">
        <v>486</v>
      </c>
      <c r="D196" s="31" t="s">
        <v>480</v>
      </c>
      <c r="E196" s="9" t="s">
        <v>31</v>
      </c>
      <c r="F196" s="5">
        <v>362</v>
      </c>
      <c r="G196" s="9">
        <v>445</v>
      </c>
      <c r="H196" s="32" t="s">
        <v>290</v>
      </c>
      <c r="I196" s="32" t="s">
        <v>481</v>
      </c>
      <c r="J196" s="33" t="s">
        <v>292</v>
      </c>
      <c r="K196" s="33" t="s">
        <v>309</v>
      </c>
      <c r="L196" s="49" t="s">
        <v>294</v>
      </c>
      <c r="M196" s="50" t="str">
        <f>Tabla16[[#This Row],[ABR_02]]</f>
        <v>JY</v>
      </c>
      <c r="N196" t="s">
        <v>295</v>
      </c>
      <c r="O196" s="51" t="s">
        <v>309</v>
      </c>
      <c r="P196" t="s">
        <v>625</v>
      </c>
      <c r="Q196" t="s">
        <v>626</v>
      </c>
      <c r="R196" s="52" t="str">
        <f>_xlfn.CONCAT(Tabla16[[#This Row],[ABR_01]],"00",Tabla16[[#This Row],[ABR_02]],Tabla16[[#This Row],[ZONA2]],,"0",Tabla16[[#This Row],[PARADA2]])</f>
        <v>AR00JY1004</v>
      </c>
      <c r="S196" s="52" t="s">
        <v>627</v>
      </c>
      <c r="T196" s="34" t="s">
        <v>299</v>
      </c>
      <c r="U196" s="45" t="s">
        <v>299</v>
      </c>
      <c r="V196" t="s">
        <v>805</v>
      </c>
    </row>
    <row r="197" spans="1:22" x14ac:dyDescent="0.25">
      <c r="A197" s="48" t="s">
        <v>300</v>
      </c>
      <c r="B197" s="30" t="s">
        <v>128</v>
      </c>
      <c r="C197" s="3" t="s">
        <v>128</v>
      </c>
      <c r="D197" s="31" t="s">
        <v>480</v>
      </c>
      <c r="E197" s="9" t="s">
        <v>31</v>
      </c>
      <c r="F197" s="5">
        <v>362</v>
      </c>
      <c r="G197" s="9">
        <v>460</v>
      </c>
      <c r="H197" s="32" t="s">
        <v>290</v>
      </c>
      <c r="I197" s="32" t="s">
        <v>481</v>
      </c>
      <c r="J197" s="33" t="s">
        <v>292</v>
      </c>
      <c r="K197" s="33" t="s">
        <v>319</v>
      </c>
      <c r="L197" s="49" t="s">
        <v>294</v>
      </c>
      <c r="M197" s="50" t="str">
        <f>Tabla16[[#This Row],[ABR_02]]</f>
        <v>JY</v>
      </c>
      <c r="N197" t="s">
        <v>295</v>
      </c>
      <c r="O197" s="51" t="s">
        <v>309</v>
      </c>
      <c r="P197" t="s">
        <v>625</v>
      </c>
      <c r="Q197" t="s">
        <v>626</v>
      </c>
      <c r="R197" s="52" t="str">
        <f>_xlfn.CONCAT(Tabla16[[#This Row],[ABR_01]],"00",Tabla16[[#This Row],[ABR_02]],Tabla16[[#This Row],[ZONA2]],,"0",Tabla16[[#This Row],[PARADA2]])</f>
        <v>AR00JY1005</v>
      </c>
      <c r="S197" s="52" t="s">
        <v>627</v>
      </c>
      <c r="T197" s="34" t="s">
        <v>299</v>
      </c>
      <c r="U197" s="45" t="s">
        <v>299</v>
      </c>
      <c r="V197" t="s">
        <v>805</v>
      </c>
    </row>
    <row r="198" spans="1:22" x14ac:dyDescent="0.25">
      <c r="A198" s="48" t="s">
        <v>300</v>
      </c>
      <c r="B198" s="30" t="s">
        <v>474</v>
      </c>
      <c r="C198" s="36" t="s">
        <v>60</v>
      </c>
      <c r="D198" s="31" t="s">
        <v>475</v>
      </c>
      <c r="E198" s="9" t="s">
        <v>58</v>
      </c>
      <c r="F198" s="5">
        <v>295</v>
      </c>
      <c r="G198" s="9">
        <v>820</v>
      </c>
      <c r="H198" s="32" t="s">
        <v>290</v>
      </c>
      <c r="I198" s="32" t="s">
        <v>476</v>
      </c>
      <c r="J198" s="33" t="s">
        <v>292</v>
      </c>
      <c r="K198" s="33" t="s">
        <v>293</v>
      </c>
      <c r="L198" s="49" t="s">
        <v>294</v>
      </c>
      <c r="M198" s="50" t="str">
        <f>Tabla16[[#This Row],[ABR_02]]</f>
        <v>LP</v>
      </c>
      <c r="N198" t="s">
        <v>295</v>
      </c>
      <c r="O198" s="51" t="s">
        <v>293</v>
      </c>
      <c r="P198" t="s">
        <v>296</v>
      </c>
      <c r="Q198" t="s">
        <v>353</v>
      </c>
      <c r="R198" s="52" t="str">
        <f>_xlfn.CONCAT(Tabla16[[#This Row],[ABR_01]],"00",Tabla16[[#This Row],[ABR_02]],Tabla16[[#This Row],[ZONA2]],,"0",Tabla16[[#This Row],[PARADA2]])</f>
        <v>AR00LP1001</v>
      </c>
      <c r="S198" s="52" t="s">
        <v>354</v>
      </c>
      <c r="T198" s="34" t="s">
        <v>299</v>
      </c>
      <c r="U198" s="34" t="s">
        <v>299</v>
      </c>
      <c r="V198" t="s">
        <v>804</v>
      </c>
    </row>
    <row r="199" spans="1:22" x14ac:dyDescent="0.25">
      <c r="A199" s="48" t="s">
        <v>300</v>
      </c>
      <c r="B199" s="30" t="s">
        <v>477</v>
      </c>
      <c r="C199" s="3" t="s">
        <v>477</v>
      </c>
      <c r="D199" s="31" t="s">
        <v>475</v>
      </c>
      <c r="E199" s="9" t="s">
        <v>58</v>
      </c>
      <c r="F199" s="5">
        <v>295</v>
      </c>
      <c r="G199" s="9">
        <v>806</v>
      </c>
      <c r="H199" s="32" t="s">
        <v>290</v>
      </c>
      <c r="I199" s="32" t="s">
        <v>476</v>
      </c>
      <c r="J199" s="33" t="s">
        <v>292</v>
      </c>
      <c r="K199" s="33" t="s">
        <v>306</v>
      </c>
      <c r="L199" s="49" t="s">
        <v>294</v>
      </c>
      <c r="M199" s="50" t="str">
        <f>Tabla16[[#This Row],[ABR_02]]</f>
        <v>LP</v>
      </c>
      <c r="N199" t="s">
        <v>295</v>
      </c>
      <c r="O199" s="51" t="s">
        <v>293</v>
      </c>
      <c r="P199" t="s">
        <v>296</v>
      </c>
      <c r="Q199" t="s">
        <v>353</v>
      </c>
      <c r="R199" s="52" t="str">
        <f>_xlfn.CONCAT(Tabla16[[#This Row],[ABR_01]],"00",Tabla16[[#This Row],[ABR_02]],Tabla16[[#This Row],[ZONA2]],,"0",Tabla16[[#This Row],[PARADA2]])</f>
        <v>AR00LP1002</v>
      </c>
      <c r="S199" s="52" t="s">
        <v>354</v>
      </c>
      <c r="T199" s="34" t="s">
        <v>299</v>
      </c>
      <c r="U199" s="34" t="s">
        <v>299</v>
      </c>
      <c r="V199" t="s">
        <v>804</v>
      </c>
    </row>
    <row r="200" spans="1:22" x14ac:dyDescent="0.25">
      <c r="A200" s="48" t="s">
        <v>300</v>
      </c>
      <c r="B200" s="30" t="s">
        <v>59</v>
      </c>
      <c r="C200" s="3" t="s">
        <v>59</v>
      </c>
      <c r="D200" s="31" t="s">
        <v>475</v>
      </c>
      <c r="E200" s="9" t="s">
        <v>58</v>
      </c>
      <c r="F200" s="5">
        <v>295</v>
      </c>
      <c r="G200" s="9">
        <v>295</v>
      </c>
      <c r="H200" s="32" t="s">
        <v>290</v>
      </c>
      <c r="I200" s="32" t="s">
        <v>476</v>
      </c>
      <c r="J200" s="33" t="s">
        <v>292</v>
      </c>
      <c r="K200" s="33" t="s">
        <v>307</v>
      </c>
      <c r="L200" s="49" t="s">
        <v>294</v>
      </c>
      <c r="M200" s="50" t="str">
        <f>Tabla16[[#This Row],[ABR_02]]</f>
        <v>LP</v>
      </c>
      <c r="N200" t="s">
        <v>295</v>
      </c>
      <c r="O200" s="51" t="s">
        <v>293</v>
      </c>
      <c r="P200" t="s">
        <v>296</v>
      </c>
      <c r="Q200" t="s">
        <v>353</v>
      </c>
      <c r="R200" s="52" t="str">
        <f>_xlfn.CONCAT(Tabla16[[#This Row],[ABR_01]],"00",Tabla16[[#This Row],[ABR_02]],Tabla16[[#This Row],[ZONA2]],,"0",Tabla16[[#This Row],[PARADA2]])</f>
        <v>AR00LP1003</v>
      </c>
      <c r="S200" s="52" t="s">
        <v>354</v>
      </c>
      <c r="T200" s="34" t="s">
        <v>299</v>
      </c>
      <c r="U200" s="34" t="s">
        <v>299</v>
      </c>
      <c r="V200" t="s">
        <v>804</v>
      </c>
    </row>
    <row r="201" spans="1:22" x14ac:dyDescent="0.25">
      <c r="A201" s="48" t="s">
        <v>300</v>
      </c>
      <c r="B201" s="30" t="s">
        <v>478</v>
      </c>
      <c r="C201" s="36" t="s">
        <v>228</v>
      </c>
      <c r="D201" s="31" t="s">
        <v>475</v>
      </c>
      <c r="E201" s="9" t="s">
        <v>58</v>
      </c>
      <c r="F201" s="5">
        <v>295</v>
      </c>
      <c r="G201" s="9">
        <v>815</v>
      </c>
      <c r="H201" s="32" t="s">
        <v>290</v>
      </c>
      <c r="I201" s="32" t="s">
        <v>476</v>
      </c>
      <c r="J201" s="33" t="s">
        <v>292</v>
      </c>
      <c r="K201" s="33" t="s">
        <v>309</v>
      </c>
      <c r="L201" s="49" t="s">
        <v>294</v>
      </c>
      <c r="M201" s="50" t="str">
        <f>Tabla16[[#This Row],[ABR_02]]</f>
        <v>LP</v>
      </c>
      <c r="N201" t="s">
        <v>295</v>
      </c>
      <c r="O201" s="51" t="s">
        <v>293</v>
      </c>
      <c r="P201" t="s">
        <v>296</v>
      </c>
      <c r="Q201" t="s">
        <v>353</v>
      </c>
      <c r="R201" s="52" t="str">
        <f>_xlfn.CONCAT(Tabla16[[#This Row],[ABR_01]],"00",Tabla16[[#This Row],[ABR_02]],Tabla16[[#This Row],[ZONA2]],,"0",Tabla16[[#This Row],[PARADA2]])</f>
        <v>AR00LP1004</v>
      </c>
      <c r="S201" s="52" t="s">
        <v>354</v>
      </c>
      <c r="T201" s="34" t="s">
        <v>299</v>
      </c>
      <c r="U201" s="34" t="s">
        <v>299</v>
      </c>
      <c r="V201" t="s">
        <v>804</v>
      </c>
    </row>
    <row r="202" spans="1:22" x14ac:dyDescent="0.25">
      <c r="A202" s="48" t="s">
        <v>300</v>
      </c>
      <c r="B202" s="30" t="s">
        <v>474</v>
      </c>
      <c r="C202" s="36" t="s">
        <v>60</v>
      </c>
      <c r="D202" s="31" t="s">
        <v>475</v>
      </c>
      <c r="E202" s="9" t="s">
        <v>58</v>
      </c>
      <c r="F202" s="5">
        <v>295</v>
      </c>
      <c r="G202" s="9">
        <v>820</v>
      </c>
      <c r="H202" s="32" t="s">
        <v>290</v>
      </c>
      <c r="I202" s="32" t="s">
        <v>476</v>
      </c>
      <c r="J202" s="33" t="s">
        <v>292</v>
      </c>
      <c r="K202" s="33" t="s">
        <v>293</v>
      </c>
      <c r="L202" s="49" t="s">
        <v>294</v>
      </c>
      <c r="M202" s="50" t="str">
        <f>Tabla16[[#This Row],[ABR_02]]</f>
        <v>LP</v>
      </c>
      <c r="N202" t="s">
        <v>295</v>
      </c>
      <c r="O202" s="51" t="s">
        <v>309</v>
      </c>
      <c r="P202" t="s">
        <v>625</v>
      </c>
      <c r="Q202" t="s">
        <v>295</v>
      </c>
      <c r="R202" s="52" t="str">
        <f>_xlfn.CONCAT(Tabla16[[#This Row],[ABR_01]],"00",Tabla16[[#This Row],[ABR_02]],Tabla16[[#This Row],[ZONA2]],,"0",Tabla16[[#This Row],[PARADA2]])</f>
        <v>AR00LP1001</v>
      </c>
      <c r="S202" s="52" t="s">
        <v>555</v>
      </c>
      <c r="T202" s="34" t="s">
        <v>299</v>
      </c>
      <c r="U202" s="45" t="s">
        <v>299</v>
      </c>
      <c r="V202" t="s">
        <v>805</v>
      </c>
    </row>
    <row r="203" spans="1:22" x14ac:dyDescent="0.25">
      <c r="A203" s="48" t="s">
        <v>300</v>
      </c>
      <c r="B203" s="30" t="s">
        <v>477</v>
      </c>
      <c r="C203" s="3" t="s">
        <v>477</v>
      </c>
      <c r="D203" s="31" t="s">
        <v>475</v>
      </c>
      <c r="E203" s="9" t="s">
        <v>58</v>
      </c>
      <c r="F203" s="5">
        <v>295</v>
      </c>
      <c r="G203" s="9">
        <v>806</v>
      </c>
      <c r="H203" s="32" t="s">
        <v>290</v>
      </c>
      <c r="I203" s="32" t="s">
        <v>476</v>
      </c>
      <c r="J203" s="33" t="s">
        <v>292</v>
      </c>
      <c r="K203" s="33" t="s">
        <v>306</v>
      </c>
      <c r="L203" s="49" t="s">
        <v>294</v>
      </c>
      <c r="M203" s="50" t="str">
        <f>Tabla16[[#This Row],[ABR_02]]</f>
        <v>LP</v>
      </c>
      <c r="N203" t="s">
        <v>295</v>
      </c>
      <c r="O203" s="51" t="s">
        <v>309</v>
      </c>
      <c r="P203" t="s">
        <v>625</v>
      </c>
      <c r="Q203" t="s">
        <v>295</v>
      </c>
      <c r="R203" s="52" t="str">
        <f>_xlfn.CONCAT(Tabla16[[#This Row],[ABR_01]],"00",Tabla16[[#This Row],[ABR_02]],Tabla16[[#This Row],[ZONA2]],,"0",Tabla16[[#This Row],[PARADA2]])</f>
        <v>AR00LP1002</v>
      </c>
      <c r="S203" s="52" t="s">
        <v>555</v>
      </c>
      <c r="T203" s="34" t="s">
        <v>299</v>
      </c>
      <c r="U203" s="45" t="s">
        <v>299</v>
      </c>
      <c r="V203" t="s">
        <v>805</v>
      </c>
    </row>
    <row r="204" spans="1:22" x14ac:dyDescent="0.25">
      <c r="A204" s="48" t="s">
        <v>300</v>
      </c>
      <c r="B204" s="30" t="s">
        <v>59</v>
      </c>
      <c r="C204" s="3" t="s">
        <v>59</v>
      </c>
      <c r="D204" s="101" t="s">
        <v>475</v>
      </c>
      <c r="E204" s="102" t="s">
        <v>58</v>
      </c>
      <c r="F204" s="103">
        <v>295</v>
      </c>
      <c r="G204" s="9">
        <v>295</v>
      </c>
      <c r="H204" s="32" t="s">
        <v>290</v>
      </c>
      <c r="I204" s="32" t="s">
        <v>476</v>
      </c>
      <c r="J204" s="33" t="s">
        <v>292</v>
      </c>
      <c r="K204" s="33" t="s">
        <v>307</v>
      </c>
      <c r="L204" s="49" t="s">
        <v>294</v>
      </c>
      <c r="M204" s="54" t="str">
        <f>Tabla16[[#This Row],[ABR_02]]</f>
        <v>LP</v>
      </c>
      <c r="N204" t="s">
        <v>295</v>
      </c>
      <c r="O204" s="51" t="s">
        <v>309</v>
      </c>
      <c r="P204" t="s">
        <v>625</v>
      </c>
      <c r="Q204" t="s">
        <v>295</v>
      </c>
      <c r="R204" s="52" t="str">
        <f>_xlfn.CONCAT(Tabla16[[#This Row],[ABR_01]],"00",Tabla16[[#This Row],[ABR_02]],Tabla16[[#This Row],[ZONA2]],,"0",Tabla16[[#This Row],[PARADA2]])</f>
        <v>AR00LP1003</v>
      </c>
      <c r="S204" s="52" t="s">
        <v>555</v>
      </c>
      <c r="T204" s="34" t="s">
        <v>299</v>
      </c>
      <c r="U204" s="45" t="s">
        <v>299</v>
      </c>
      <c r="V204" t="s">
        <v>805</v>
      </c>
    </row>
    <row r="205" spans="1:22" x14ac:dyDescent="0.25">
      <c r="A205" s="48" t="s">
        <v>300</v>
      </c>
      <c r="B205" s="30" t="s">
        <v>478</v>
      </c>
      <c r="C205" s="36" t="s">
        <v>228</v>
      </c>
      <c r="D205" s="101" t="s">
        <v>475</v>
      </c>
      <c r="E205" s="102" t="s">
        <v>58</v>
      </c>
      <c r="F205" s="103">
        <v>295</v>
      </c>
      <c r="G205" s="9">
        <v>815</v>
      </c>
      <c r="H205" s="32" t="s">
        <v>290</v>
      </c>
      <c r="I205" s="32" t="s">
        <v>476</v>
      </c>
      <c r="J205" s="33" t="s">
        <v>292</v>
      </c>
      <c r="K205" s="33" t="s">
        <v>309</v>
      </c>
      <c r="L205" s="49" t="s">
        <v>294</v>
      </c>
      <c r="M205" s="54" t="str">
        <f>Tabla16[[#This Row],[ABR_02]]</f>
        <v>LP</v>
      </c>
      <c r="N205" t="s">
        <v>295</v>
      </c>
      <c r="O205" s="51" t="s">
        <v>309</v>
      </c>
      <c r="P205" t="s">
        <v>625</v>
      </c>
      <c r="Q205" t="s">
        <v>295</v>
      </c>
      <c r="R205" s="52" t="str">
        <f>_xlfn.CONCAT(Tabla16[[#This Row],[ABR_01]],"00",Tabla16[[#This Row],[ABR_02]],Tabla16[[#This Row],[ZONA2]],,"0",Tabla16[[#This Row],[PARADA2]])</f>
        <v>AR00LP1004</v>
      </c>
      <c r="S205" s="52" t="s">
        <v>555</v>
      </c>
      <c r="T205" s="34" t="s">
        <v>299</v>
      </c>
      <c r="U205" s="45" t="s">
        <v>299</v>
      </c>
      <c r="V205" t="s">
        <v>805</v>
      </c>
    </row>
    <row r="206" spans="1:22" x14ac:dyDescent="0.25">
      <c r="A206" s="48" t="s">
        <v>300</v>
      </c>
      <c r="B206" s="30" t="s">
        <v>469</v>
      </c>
      <c r="C206" s="36" t="s">
        <v>470</v>
      </c>
      <c r="D206" s="31" t="s">
        <v>471</v>
      </c>
      <c r="E206" s="9" t="s">
        <v>44</v>
      </c>
      <c r="F206" s="5">
        <v>358</v>
      </c>
      <c r="G206" s="9">
        <v>476</v>
      </c>
      <c r="H206" s="32" t="s">
        <v>290</v>
      </c>
      <c r="I206" s="32" t="s">
        <v>472</v>
      </c>
      <c r="J206" s="33" t="s">
        <v>292</v>
      </c>
      <c r="K206" s="33" t="s">
        <v>293</v>
      </c>
      <c r="L206" s="49" t="s">
        <v>294</v>
      </c>
      <c r="M206" s="50" t="str">
        <f>Tabla16[[#This Row],[ABR_02]]</f>
        <v>LR</v>
      </c>
      <c r="N206" t="s">
        <v>295</v>
      </c>
      <c r="O206" s="51" t="s">
        <v>293</v>
      </c>
      <c r="P206" t="s">
        <v>296</v>
      </c>
      <c r="Q206" t="s">
        <v>303</v>
      </c>
      <c r="R206" s="52" t="str">
        <f>_xlfn.CONCAT(Tabla16[[#This Row],[ABR_01]],"00",Tabla16[[#This Row],[ABR_02]],Tabla16[[#This Row],[ZONA2]],,"0",Tabla16[[#This Row],[PARADA2]])</f>
        <v>AR00LR1001</v>
      </c>
      <c r="S206" s="52" t="s">
        <v>304</v>
      </c>
      <c r="T206" s="34" t="s">
        <v>299</v>
      </c>
      <c r="U206" s="34" t="s">
        <v>299</v>
      </c>
      <c r="V206" t="s">
        <v>804</v>
      </c>
    </row>
    <row r="207" spans="1:22" x14ac:dyDescent="0.25">
      <c r="A207" s="48" t="s">
        <v>300</v>
      </c>
      <c r="B207" s="30" t="s">
        <v>473</v>
      </c>
      <c r="C207" s="36" t="s">
        <v>69</v>
      </c>
      <c r="D207" s="31" t="s">
        <v>471</v>
      </c>
      <c r="E207" s="9" t="s">
        <v>44</v>
      </c>
      <c r="F207" s="5">
        <v>358</v>
      </c>
      <c r="G207" s="9">
        <v>475</v>
      </c>
      <c r="H207" s="32" t="s">
        <v>290</v>
      </c>
      <c r="I207" s="32" t="s">
        <v>472</v>
      </c>
      <c r="J207" s="33" t="s">
        <v>292</v>
      </c>
      <c r="K207" s="33" t="s">
        <v>306</v>
      </c>
      <c r="L207" s="49" t="s">
        <v>294</v>
      </c>
      <c r="M207" s="50" t="str">
        <f>Tabla16[[#This Row],[ABR_02]]</f>
        <v>LR</v>
      </c>
      <c r="N207" t="s">
        <v>295</v>
      </c>
      <c r="O207" s="51" t="s">
        <v>293</v>
      </c>
      <c r="P207" t="s">
        <v>296</v>
      </c>
      <c r="Q207" t="s">
        <v>303</v>
      </c>
      <c r="R207" s="52" t="str">
        <f>_xlfn.CONCAT(Tabla16[[#This Row],[ABR_01]],"00",Tabla16[[#This Row],[ABR_02]],Tabla16[[#This Row],[ZONA2]],,"0",Tabla16[[#This Row],[PARADA2]])</f>
        <v>AR00LR1002</v>
      </c>
      <c r="S207" s="52" t="s">
        <v>304</v>
      </c>
      <c r="T207" s="34" t="s">
        <v>299</v>
      </c>
      <c r="U207" s="34" t="s">
        <v>299</v>
      </c>
      <c r="V207" t="s">
        <v>804</v>
      </c>
    </row>
    <row r="208" spans="1:22" x14ac:dyDescent="0.25">
      <c r="A208" s="48" t="s">
        <v>300</v>
      </c>
      <c r="B208" s="30" t="s">
        <v>469</v>
      </c>
      <c r="C208" s="36" t="s">
        <v>470</v>
      </c>
      <c r="D208" s="31" t="s">
        <v>471</v>
      </c>
      <c r="E208" s="9" t="s">
        <v>44</v>
      </c>
      <c r="F208" s="5">
        <v>358</v>
      </c>
      <c r="G208" s="9">
        <v>476</v>
      </c>
      <c r="H208" s="32" t="s">
        <v>290</v>
      </c>
      <c r="I208" s="32" t="s">
        <v>472</v>
      </c>
      <c r="J208" s="33" t="s">
        <v>292</v>
      </c>
      <c r="K208" s="33" t="s">
        <v>293</v>
      </c>
      <c r="L208" s="49" t="s">
        <v>294</v>
      </c>
      <c r="M208" s="50" t="str">
        <f>Tabla16[[#This Row],[ABR_02]]</f>
        <v>LR</v>
      </c>
      <c r="N208" t="s">
        <v>295</v>
      </c>
      <c r="O208" s="51" t="s">
        <v>309</v>
      </c>
      <c r="P208" t="s">
        <v>625</v>
      </c>
      <c r="Q208" t="s">
        <v>295</v>
      </c>
      <c r="R208" s="52" t="str">
        <f>_xlfn.CONCAT(Tabla16[[#This Row],[ABR_01]],"00",Tabla16[[#This Row],[ABR_02]],Tabla16[[#This Row],[ZONA2]],,"0",Tabla16[[#This Row],[PARADA2]])</f>
        <v>AR00LR1001</v>
      </c>
      <c r="S208" s="52" t="s">
        <v>555</v>
      </c>
      <c r="T208" s="34" t="s">
        <v>299</v>
      </c>
      <c r="U208" s="45" t="s">
        <v>299</v>
      </c>
      <c r="V208" t="s">
        <v>805</v>
      </c>
    </row>
    <row r="209" spans="1:22" x14ac:dyDescent="0.25">
      <c r="A209" s="48" t="s">
        <v>300</v>
      </c>
      <c r="B209" s="30" t="s">
        <v>473</v>
      </c>
      <c r="C209" s="36" t="s">
        <v>69</v>
      </c>
      <c r="D209" s="31" t="s">
        <v>471</v>
      </c>
      <c r="E209" s="9" t="s">
        <v>44</v>
      </c>
      <c r="F209" s="5">
        <v>358</v>
      </c>
      <c r="G209" s="9">
        <v>475</v>
      </c>
      <c r="H209" s="32" t="s">
        <v>290</v>
      </c>
      <c r="I209" s="32" t="s">
        <v>472</v>
      </c>
      <c r="J209" s="33" t="s">
        <v>292</v>
      </c>
      <c r="K209" s="33" t="s">
        <v>306</v>
      </c>
      <c r="L209" s="49" t="s">
        <v>294</v>
      </c>
      <c r="M209" s="50" t="str">
        <f>Tabla16[[#This Row],[ABR_02]]</f>
        <v>LR</v>
      </c>
      <c r="N209" t="s">
        <v>295</v>
      </c>
      <c r="O209" s="51" t="s">
        <v>309</v>
      </c>
      <c r="P209" t="s">
        <v>625</v>
      </c>
      <c r="Q209" t="s">
        <v>295</v>
      </c>
      <c r="R209" s="52" t="str">
        <f>_xlfn.CONCAT(Tabla16[[#This Row],[ABR_01]],"00",Tabla16[[#This Row],[ABR_02]],Tabla16[[#This Row],[ZONA2]],,"0",Tabla16[[#This Row],[PARADA2]])</f>
        <v>AR00LR1002</v>
      </c>
      <c r="S209" s="52" t="s">
        <v>555</v>
      </c>
      <c r="T209" s="34" t="s">
        <v>299</v>
      </c>
      <c r="U209" s="45" t="s">
        <v>299</v>
      </c>
      <c r="V209" t="s">
        <v>805</v>
      </c>
    </row>
    <row r="210" spans="1:22" x14ac:dyDescent="0.25">
      <c r="A210" s="48" t="s">
        <v>300</v>
      </c>
      <c r="B210" s="30" t="s">
        <v>453</v>
      </c>
      <c r="C210" s="3" t="s">
        <v>454</v>
      </c>
      <c r="D210" s="31" t="s">
        <v>455</v>
      </c>
      <c r="E210" s="9" t="s">
        <v>73</v>
      </c>
      <c r="F210" s="5">
        <v>261</v>
      </c>
      <c r="G210" s="9">
        <v>530</v>
      </c>
      <c r="H210" s="32" t="s">
        <v>290</v>
      </c>
      <c r="I210" s="32" t="s">
        <v>456</v>
      </c>
      <c r="J210" s="33" t="s">
        <v>292</v>
      </c>
      <c r="K210" s="33" t="s">
        <v>293</v>
      </c>
      <c r="L210" s="49" t="s">
        <v>294</v>
      </c>
      <c r="M210" s="50" t="str">
        <f>Tabla16[[#This Row],[ABR_02]]</f>
        <v>MZ</v>
      </c>
      <c r="N210" t="s">
        <v>295</v>
      </c>
      <c r="O210" s="51" t="s">
        <v>293</v>
      </c>
      <c r="P210" t="s">
        <v>296</v>
      </c>
      <c r="Q210" t="s">
        <v>303</v>
      </c>
      <c r="R210" s="52" t="str">
        <f>_xlfn.CONCAT(Tabla16[[#This Row],[ABR_01]],"00",Tabla16[[#This Row],[ABR_02]],Tabla16[[#This Row],[ZONA2]],,"0",Tabla16[[#This Row],[PARADA2]])</f>
        <v>AR00MZ1001</v>
      </c>
      <c r="S210" s="52" t="s">
        <v>304</v>
      </c>
      <c r="T210" s="34" t="s">
        <v>299</v>
      </c>
      <c r="U210" s="34" t="s">
        <v>299</v>
      </c>
      <c r="V210" t="s">
        <v>804</v>
      </c>
    </row>
    <row r="211" spans="1:22" x14ac:dyDescent="0.25">
      <c r="A211" s="48" t="s">
        <v>300</v>
      </c>
      <c r="B211" s="30" t="s">
        <v>457</v>
      </c>
      <c r="C211" s="36" t="s">
        <v>206</v>
      </c>
      <c r="D211" s="31" t="s">
        <v>455</v>
      </c>
      <c r="E211" s="9" t="s">
        <v>73</v>
      </c>
      <c r="F211" s="5">
        <v>261</v>
      </c>
      <c r="G211" s="9">
        <v>520</v>
      </c>
      <c r="H211" s="32" t="s">
        <v>290</v>
      </c>
      <c r="I211" s="32" t="s">
        <v>456</v>
      </c>
      <c r="J211" s="33" t="s">
        <v>292</v>
      </c>
      <c r="K211" s="33" t="s">
        <v>306</v>
      </c>
      <c r="L211" s="49" t="s">
        <v>294</v>
      </c>
      <c r="M211" s="50" t="str">
        <f>Tabla16[[#This Row],[ABR_02]]</f>
        <v>MZ</v>
      </c>
      <c r="N211" t="s">
        <v>295</v>
      </c>
      <c r="O211" s="51" t="s">
        <v>293</v>
      </c>
      <c r="P211" t="s">
        <v>296</v>
      </c>
      <c r="Q211" t="s">
        <v>303</v>
      </c>
      <c r="R211" s="52" t="str">
        <f>_xlfn.CONCAT(Tabla16[[#This Row],[ABR_01]],"00",Tabla16[[#This Row],[ABR_02]],Tabla16[[#This Row],[ZONA2]],,"0",Tabla16[[#This Row],[PARADA2]])</f>
        <v>AR00MZ1002</v>
      </c>
      <c r="S211" s="52" t="s">
        <v>304</v>
      </c>
      <c r="T211" s="34" t="s">
        <v>299</v>
      </c>
      <c r="U211" s="34" t="s">
        <v>299</v>
      </c>
      <c r="V211" t="s">
        <v>804</v>
      </c>
    </row>
    <row r="212" spans="1:22" x14ac:dyDescent="0.25">
      <c r="A212" s="48" t="s">
        <v>300</v>
      </c>
      <c r="B212" s="30" t="s">
        <v>458</v>
      </c>
      <c r="C212" s="3" t="s">
        <v>459</v>
      </c>
      <c r="D212" s="31" t="s">
        <v>455</v>
      </c>
      <c r="E212" s="9" t="s">
        <v>73</v>
      </c>
      <c r="F212" s="5">
        <v>261</v>
      </c>
      <c r="G212" s="9">
        <v>555</v>
      </c>
      <c r="H212" s="32" t="s">
        <v>290</v>
      </c>
      <c r="I212" s="32" t="s">
        <v>456</v>
      </c>
      <c r="J212" s="33" t="s">
        <v>292</v>
      </c>
      <c r="K212" s="33" t="s">
        <v>307</v>
      </c>
      <c r="L212" s="49" t="s">
        <v>294</v>
      </c>
      <c r="M212" s="50" t="str">
        <f>Tabla16[[#This Row],[ABR_02]]</f>
        <v>MZ</v>
      </c>
      <c r="N212" t="s">
        <v>295</v>
      </c>
      <c r="O212" s="51" t="s">
        <v>293</v>
      </c>
      <c r="P212" t="s">
        <v>296</v>
      </c>
      <c r="Q212" t="s">
        <v>303</v>
      </c>
      <c r="R212" s="52" t="str">
        <f>_xlfn.CONCAT(Tabla16[[#This Row],[ABR_01]],"00",Tabla16[[#This Row],[ABR_02]],Tabla16[[#This Row],[ZONA2]],,"0",Tabla16[[#This Row],[PARADA2]])</f>
        <v>AR00MZ1003</v>
      </c>
      <c r="S212" s="52" t="s">
        <v>304</v>
      </c>
      <c r="T212" s="34" t="s">
        <v>299</v>
      </c>
      <c r="U212" s="34" t="s">
        <v>299</v>
      </c>
      <c r="V212" t="s">
        <v>804</v>
      </c>
    </row>
    <row r="213" spans="1:22" x14ac:dyDescent="0.25">
      <c r="A213" s="48" t="s">
        <v>300</v>
      </c>
      <c r="B213" s="30" t="s">
        <v>208</v>
      </c>
      <c r="C213" s="3" t="s">
        <v>208</v>
      </c>
      <c r="D213" s="31" t="s">
        <v>455</v>
      </c>
      <c r="E213" s="9" t="s">
        <v>73</v>
      </c>
      <c r="F213" s="5">
        <v>261</v>
      </c>
      <c r="G213" s="9">
        <v>522</v>
      </c>
      <c r="H213" s="32" t="s">
        <v>290</v>
      </c>
      <c r="I213" s="32" t="s">
        <v>456</v>
      </c>
      <c r="J213" s="33" t="s">
        <v>292</v>
      </c>
      <c r="K213" s="33" t="s">
        <v>309</v>
      </c>
      <c r="L213" s="49" t="s">
        <v>294</v>
      </c>
      <c r="M213" s="50" t="str">
        <f>Tabla16[[#This Row],[ABR_02]]</f>
        <v>MZ</v>
      </c>
      <c r="N213" t="s">
        <v>295</v>
      </c>
      <c r="O213" s="51" t="s">
        <v>293</v>
      </c>
      <c r="P213" t="s">
        <v>296</v>
      </c>
      <c r="Q213" t="s">
        <v>303</v>
      </c>
      <c r="R213" s="52" t="str">
        <f>_xlfn.CONCAT(Tabla16[[#This Row],[ABR_01]],"00",Tabla16[[#This Row],[ABR_02]],Tabla16[[#This Row],[ZONA2]],,"0",Tabla16[[#This Row],[PARADA2]])</f>
        <v>AR00MZ1004</v>
      </c>
      <c r="S213" s="52" t="s">
        <v>304</v>
      </c>
      <c r="T213" s="34" t="s">
        <v>299</v>
      </c>
      <c r="U213" s="34" t="s">
        <v>299</v>
      </c>
      <c r="V213" t="s">
        <v>804</v>
      </c>
    </row>
    <row r="214" spans="1:22" x14ac:dyDescent="0.25">
      <c r="A214" s="48" t="s">
        <v>300</v>
      </c>
      <c r="B214" s="30" t="s">
        <v>460</v>
      </c>
      <c r="C214" s="36" t="s">
        <v>210</v>
      </c>
      <c r="D214" s="31" t="s">
        <v>455</v>
      </c>
      <c r="E214" s="9" t="s">
        <v>73</v>
      </c>
      <c r="F214" s="5">
        <v>261</v>
      </c>
      <c r="G214" s="9">
        <v>540</v>
      </c>
      <c r="H214" s="32" t="s">
        <v>290</v>
      </c>
      <c r="I214" s="32" t="s">
        <v>456</v>
      </c>
      <c r="J214" s="33" t="s">
        <v>292</v>
      </c>
      <c r="K214" s="33" t="s">
        <v>319</v>
      </c>
      <c r="L214" s="49" t="s">
        <v>294</v>
      </c>
      <c r="M214" s="50" t="str">
        <f>Tabla16[[#This Row],[ABR_02]]</f>
        <v>MZ</v>
      </c>
      <c r="N214" t="s">
        <v>295</v>
      </c>
      <c r="O214" s="51" t="s">
        <v>293</v>
      </c>
      <c r="P214" t="s">
        <v>296</v>
      </c>
      <c r="Q214" t="s">
        <v>303</v>
      </c>
      <c r="R214" s="52" t="str">
        <f>_xlfn.CONCAT(Tabla16[[#This Row],[ABR_01]],"00",Tabla16[[#This Row],[ABR_02]],Tabla16[[#This Row],[ZONA2]],,"0",Tabla16[[#This Row],[PARADA2]])</f>
        <v>AR00MZ1005</v>
      </c>
      <c r="S214" s="52" t="s">
        <v>304</v>
      </c>
      <c r="T214" s="34" t="s">
        <v>299</v>
      </c>
      <c r="U214" s="34" t="s">
        <v>299</v>
      </c>
      <c r="V214" t="s">
        <v>804</v>
      </c>
    </row>
    <row r="215" spans="1:22" x14ac:dyDescent="0.25">
      <c r="A215" s="48" t="s">
        <v>300</v>
      </c>
      <c r="B215" s="30" t="s">
        <v>461</v>
      </c>
      <c r="C215" s="3" t="s">
        <v>212</v>
      </c>
      <c r="D215" s="31" t="s">
        <v>455</v>
      </c>
      <c r="E215" s="9" t="s">
        <v>73</v>
      </c>
      <c r="F215" s="5">
        <v>261</v>
      </c>
      <c r="G215" s="9">
        <v>525</v>
      </c>
      <c r="H215" s="32" t="s">
        <v>290</v>
      </c>
      <c r="I215" s="32" t="s">
        <v>456</v>
      </c>
      <c r="J215" s="33" t="s">
        <v>292</v>
      </c>
      <c r="K215" s="33" t="s">
        <v>320</v>
      </c>
      <c r="L215" s="49" t="s">
        <v>294</v>
      </c>
      <c r="M215" s="50" t="str">
        <f>Tabla16[[#This Row],[ABR_02]]</f>
        <v>MZ</v>
      </c>
      <c r="N215" t="s">
        <v>295</v>
      </c>
      <c r="O215" s="51" t="s">
        <v>293</v>
      </c>
      <c r="P215" t="s">
        <v>296</v>
      </c>
      <c r="Q215" t="s">
        <v>303</v>
      </c>
      <c r="R215" s="52" t="str">
        <f>_xlfn.CONCAT(Tabla16[[#This Row],[ABR_01]],"00",Tabla16[[#This Row],[ABR_02]],Tabla16[[#This Row],[ZONA2]],,"0",Tabla16[[#This Row],[PARADA2]])</f>
        <v>AR00MZ1006</v>
      </c>
      <c r="S215" s="52" t="s">
        <v>304</v>
      </c>
      <c r="T215" s="34" t="s">
        <v>299</v>
      </c>
      <c r="U215" s="34" t="s">
        <v>299</v>
      </c>
      <c r="V215" t="s">
        <v>804</v>
      </c>
    </row>
    <row r="216" spans="1:22" x14ac:dyDescent="0.25">
      <c r="A216" s="48" t="s">
        <v>300</v>
      </c>
      <c r="B216" s="30" t="s">
        <v>462</v>
      </c>
      <c r="C216" s="36" t="s">
        <v>74</v>
      </c>
      <c r="D216" s="31" t="s">
        <v>455</v>
      </c>
      <c r="E216" s="9" t="s">
        <v>73</v>
      </c>
      <c r="F216" s="5">
        <v>261</v>
      </c>
      <c r="G216" s="9">
        <v>515</v>
      </c>
      <c r="H216" s="32" t="s">
        <v>290</v>
      </c>
      <c r="I216" s="32" t="s">
        <v>456</v>
      </c>
      <c r="J216" s="33" t="s">
        <v>292</v>
      </c>
      <c r="K216" s="33" t="s">
        <v>322</v>
      </c>
      <c r="L216" s="49" t="s">
        <v>294</v>
      </c>
      <c r="M216" s="50" t="str">
        <f>Tabla16[[#This Row],[ABR_02]]</f>
        <v>MZ</v>
      </c>
      <c r="N216" t="s">
        <v>295</v>
      </c>
      <c r="O216" s="51" t="s">
        <v>293</v>
      </c>
      <c r="P216" t="s">
        <v>296</v>
      </c>
      <c r="Q216" t="s">
        <v>303</v>
      </c>
      <c r="R216" s="52" t="str">
        <f>_xlfn.CONCAT(Tabla16[[#This Row],[ABR_01]],"00",Tabla16[[#This Row],[ABR_02]],Tabla16[[#This Row],[ZONA2]],,"0",Tabla16[[#This Row],[PARADA2]])</f>
        <v>AR00MZ1007</v>
      </c>
      <c r="S216" s="52" t="s">
        <v>304</v>
      </c>
      <c r="T216" s="34" t="s">
        <v>299</v>
      </c>
      <c r="U216" s="34" t="s">
        <v>299</v>
      </c>
      <c r="V216" t="s">
        <v>804</v>
      </c>
    </row>
    <row r="217" spans="1:22" x14ac:dyDescent="0.25">
      <c r="A217" s="48" t="s">
        <v>300</v>
      </c>
      <c r="B217" s="30" t="s">
        <v>463</v>
      </c>
      <c r="C217" s="3" t="s">
        <v>464</v>
      </c>
      <c r="D217" s="31" t="s">
        <v>455</v>
      </c>
      <c r="E217" s="9" t="s">
        <v>73</v>
      </c>
      <c r="F217" s="5">
        <v>261</v>
      </c>
      <c r="G217" s="9">
        <v>501</v>
      </c>
      <c r="H217" s="32" t="s">
        <v>290</v>
      </c>
      <c r="I217" s="32" t="s">
        <v>456</v>
      </c>
      <c r="J217" s="33" t="s">
        <v>292</v>
      </c>
      <c r="K217" s="33" t="s">
        <v>324</v>
      </c>
      <c r="L217" s="49" t="s">
        <v>294</v>
      </c>
      <c r="M217" s="50" t="str">
        <f>Tabla16[[#This Row],[ABR_02]]</f>
        <v>MZ</v>
      </c>
      <c r="N217" t="s">
        <v>295</v>
      </c>
      <c r="O217" s="51" t="s">
        <v>293</v>
      </c>
      <c r="P217" t="s">
        <v>296</v>
      </c>
      <c r="Q217" t="s">
        <v>303</v>
      </c>
      <c r="R217" s="52" t="str">
        <f>_xlfn.CONCAT(Tabla16[[#This Row],[ABR_01]],"00",Tabla16[[#This Row],[ABR_02]],Tabla16[[#This Row],[ZONA2]],,"0",Tabla16[[#This Row],[PARADA2]])</f>
        <v>AR00MZ1008</v>
      </c>
      <c r="S217" s="52" t="s">
        <v>304</v>
      </c>
      <c r="T217" s="34" t="s">
        <v>299</v>
      </c>
      <c r="U217" s="34" t="s">
        <v>299</v>
      </c>
      <c r="V217" t="s">
        <v>804</v>
      </c>
    </row>
    <row r="218" spans="1:22" x14ac:dyDescent="0.25">
      <c r="A218" s="48" t="s">
        <v>300</v>
      </c>
      <c r="B218" s="30" t="s">
        <v>214</v>
      </c>
      <c r="C218" s="3" t="s">
        <v>214</v>
      </c>
      <c r="D218" s="31" t="s">
        <v>455</v>
      </c>
      <c r="E218" s="9" t="s">
        <v>73</v>
      </c>
      <c r="F218" s="5">
        <v>261</v>
      </c>
      <c r="G218" s="9">
        <v>523</v>
      </c>
      <c r="H218" s="32" t="s">
        <v>290</v>
      </c>
      <c r="I218" s="32" t="s">
        <v>456</v>
      </c>
      <c r="J218" s="33" t="s">
        <v>292</v>
      </c>
      <c r="K218" s="33" t="s">
        <v>368</v>
      </c>
      <c r="L218" s="49" t="s">
        <v>294</v>
      </c>
      <c r="M218" s="50" t="str">
        <f>Tabla16[[#This Row],[ABR_02]]</f>
        <v>MZ</v>
      </c>
      <c r="N218" t="s">
        <v>295</v>
      </c>
      <c r="O218" s="51" t="s">
        <v>293</v>
      </c>
      <c r="P218" t="s">
        <v>296</v>
      </c>
      <c r="Q218" t="s">
        <v>303</v>
      </c>
      <c r="R218" s="52" t="str">
        <f>_xlfn.CONCAT(Tabla16[[#This Row],[ABR_01]],"00",Tabla16[[#This Row],[ABR_02]],Tabla16[[#This Row],[ZONA2]],,"0",Tabla16[[#This Row],[PARADA2]])</f>
        <v>AR00MZ1009</v>
      </c>
      <c r="S218" s="52" t="s">
        <v>304</v>
      </c>
      <c r="T218" s="34" t="s">
        <v>299</v>
      </c>
      <c r="U218" s="34" t="s">
        <v>299</v>
      </c>
      <c r="V218" t="s">
        <v>804</v>
      </c>
    </row>
    <row r="219" spans="1:22" x14ac:dyDescent="0.25">
      <c r="A219" s="48" t="s">
        <v>300</v>
      </c>
      <c r="B219" s="30" t="s">
        <v>465</v>
      </c>
      <c r="C219" s="36" t="s">
        <v>466</v>
      </c>
      <c r="D219" s="31" t="s">
        <v>455</v>
      </c>
      <c r="E219" s="9" t="s">
        <v>73</v>
      </c>
      <c r="F219" s="5">
        <v>261</v>
      </c>
      <c r="G219" s="9">
        <v>261</v>
      </c>
      <c r="H219" s="32" t="s">
        <v>290</v>
      </c>
      <c r="I219" s="32" t="s">
        <v>456</v>
      </c>
      <c r="J219" s="33" t="s">
        <v>292</v>
      </c>
      <c r="K219" s="33" t="s">
        <v>370</v>
      </c>
      <c r="L219" s="49" t="s">
        <v>294</v>
      </c>
      <c r="M219" s="50" t="str">
        <f>Tabla16[[#This Row],[ABR_02]]</f>
        <v>MZ</v>
      </c>
      <c r="N219" t="s">
        <v>295</v>
      </c>
      <c r="O219" s="51" t="s">
        <v>293</v>
      </c>
      <c r="P219" t="s">
        <v>296</v>
      </c>
      <c r="Q219" t="s">
        <v>303</v>
      </c>
      <c r="R219" s="52" t="str">
        <f>_xlfn.CONCAT(Tabla16[[#This Row],[ABR_01]],"00",Tabla16[[#This Row],[ABR_02]],Tabla16[[#This Row],[ZONA2]],,"0",Tabla16[[#This Row],[PARADA2]])</f>
        <v>AR00MZ1010</v>
      </c>
      <c r="S219" s="52" t="s">
        <v>304</v>
      </c>
      <c r="T219" s="34" t="s">
        <v>299</v>
      </c>
      <c r="U219" s="34" t="s">
        <v>299</v>
      </c>
      <c r="V219" t="s">
        <v>804</v>
      </c>
    </row>
    <row r="220" spans="1:22" x14ac:dyDescent="0.25">
      <c r="A220" s="48" t="s">
        <v>300</v>
      </c>
      <c r="B220" s="30" t="s">
        <v>467</v>
      </c>
      <c r="C220" s="36" t="s">
        <v>450</v>
      </c>
      <c r="D220" s="31" t="s">
        <v>455</v>
      </c>
      <c r="E220" s="9" t="s">
        <v>73</v>
      </c>
      <c r="F220" s="5">
        <v>261</v>
      </c>
      <c r="G220" s="9">
        <v>550</v>
      </c>
      <c r="H220" s="32" t="s">
        <v>290</v>
      </c>
      <c r="I220" s="32" t="s">
        <v>456</v>
      </c>
      <c r="J220" s="33" t="s">
        <v>292</v>
      </c>
      <c r="K220" s="33" t="s">
        <v>372</v>
      </c>
      <c r="L220" s="49" t="s">
        <v>294</v>
      </c>
      <c r="M220" s="50" t="str">
        <f>Tabla16[[#This Row],[ABR_02]]</f>
        <v>MZ</v>
      </c>
      <c r="N220" t="s">
        <v>295</v>
      </c>
      <c r="O220" s="51" t="s">
        <v>293</v>
      </c>
      <c r="P220" t="s">
        <v>296</v>
      </c>
      <c r="Q220" t="s">
        <v>303</v>
      </c>
      <c r="R220" s="52" t="str">
        <f>_xlfn.CONCAT(Tabla16[[#This Row],[ABR_01]],"00",Tabla16[[#This Row],[ABR_02]],Tabla16[[#This Row],[ZONA2]],,"0",Tabla16[[#This Row],[PARADA2]])</f>
        <v>AR00MZ1011</v>
      </c>
      <c r="S220" s="52" t="s">
        <v>304</v>
      </c>
      <c r="T220" s="34" t="s">
        <v>299</v>
      </c>
      <c r="U220" s="34" t="s">
        <v>299</v>
      </c>
      <c r="V220" t="s">
        <v>804</v>
      </c>
    </row>
    <row r="221" spans="1:22" x14ac:dyDescent="0.25">
      <c r="A221" s="48" t="s">
        <v>300</v>
      </c>
      <c r="B221" s="30" t="s">
        <v>468</v>
      </c>
      <c r="C221" s="3" t="s">
        <v>468</v>
      </c>
      <c r="D221" s="31" t="s">
        <v>455</v>
      </c>
      <c r="E221" s="9" t="s">
        <v>73</v>
      </c>
      <c r="F221" s="5">
        <v>261</v>
      </c>
      <c r="G221" s="9">
        <v>535</v>
      </c>
      <c r="H221" s="32" t="s">
        <v>290</v>
      </c>
      <c r="I221" s="32" t="s">
        <v>456</v>
      </c>
      <c r="J221" s="33" t="s">
        <v>292</v>
      </c>
      <c r="K221" s="33" t="s">
        <v>374</v>
      </c>
      <c r="L221" s="49" t="s">
        <v>294</v>
      </c>
      <c r="M221" s="50" t="str">
        <f>Tabla16[[#This Row],[ABR_02]]</f>
        <v>MZ</v>
      </c>
      <c r="N221" t="s">
        <v>295</v>
      </c>
      <c r="O221" s="51" t="s">
        <v>293</v>
      </c>
      <c r="P221" t="s">
        <v>296</v>
      </c>
      <c r="Q221" t="s">
        <v>303</v>
      </c>
      <c r="R221" s="52" t="str">
        <f>_xlfn.CONCAT(Tabla16[[#This Row],[ABR_01]],"00",Tabla16[[#This Row],[ABR_02]],Tabla16[[#This Row],[ZONA2]],,"0",Tabla16[[#This Row],[PARADA2]])</f>
        <v>AR00MZ1012</v>
      </c>
      <c r="S221" s="52" t="s">
        <v>304</v>
      </c>
      <c r="T221" s="34" t="s">
        <v>299</v>
      </c>
      <c r="U221" s="34" t="s">
        <v>299</v>
      </c>
      <c r="V221" t="s">
        <v>804</v>
      </c>
    </row>
    <row r="222" spans="1:22" x14ac:dyDescent="0.25">
      <c r="A222" s="48" t="s">
        <v>300</v>
      </c>
      <c r="B222" s="30" t="s">
        <v>453</v>
      </c>
      <c r="C222" s="3" t="s">
        <v>454</v>
      </c>
      <c r="D222" s="31" t="s">
        <v>455</v>
      </c>
      <c r="E222" s="9" t="s">
        <v>73</v>
      </c>
      <c r="F222" s="5">
        <v>261</v>
      </c>
      <c r="G222" s="9">
        <v>530</v>
      </c>
      <c r="H222" s="32" t="s">
        <v>290</v>
      </c>
      <c r="I222" s="32" t="s">
        <v>456</v>
      </c>
      <c r="J222" s="33" t="s">
        <v>292</v>
      </c>
      <c r="K222" s="33" t="s">
        <v>293</v>
      </c>
      <c r="L222" s="49" t="s">
        <v>294</v>
      </c>
      <c r="M222" s="50" t="str">
        <f>Tabla16[[#This Row],[ABR_02]]</f>
        <v>MZ</v>
      </c>
      <c r="N222" t="s">
        <v>295</v>
      </c>
      <c r="O222" s="51" t="s">
        <v>309</v>
      </c>
      <c r="P222" t="s">
        <v>625</v>
      </c>
      <c r="Q222" t="s">
        <v>626</v>
      </c>
      <c r="R222" s="52" t="str">
        <f>_xlfn.CONCAT(Tabla16[[#This Row],[ABR_01]],"00",Tabla16[[#This Row],[ABR_02]],Tabla16[[#This Row],[ZONA2]],,"0",Tabla16[[#This Row],[PARADA2]])</f>
        <v>AR00MZ1001</v>
      </c>
      <c r="S222" s="52" t="s">
        <v>627</v>
      </c>
      <c r="T222" s="34" t="s">
        <v>299</v>
      </c>
      <c r="U222" s="45" t="s">
        <v>299</v>
      </c>
      <c r="V222" t="s">
        <v>805</v>
      </c>
    </row>
    <row r="223" spans="1:22" x14ac:dyDescent="0.25">
      <c r="A223" s="48" t="s">
        <v>300</v>
      </c>
      <c r="B223" s="30" t="s">
        <v>457</v>
      </c>
      <c r="C223" s="36" t="s">
        <v>206</v>
      </c>
      <c r="D223" s="31" t="s">
        <v>455</v>
      </c>
      <c r="E223" s="9" t="s">
        <v>73</v>
      </c>
      <c r="F223" s="5">
        <v>261</v>
      </c>
      <c r="G223" s="9">
        <v>520</v>
      </c>
      <c r="H223" s="32" t="s">
        <v>290</v>
      </c>
      <c r="I223" s="32" t="s">
        <v>456</v>
      </c>
      <c r="J223" s="33" t="s">
        <v>292</v>
      </c>
      <c r="K223" s="33" t="s">
        <v>306</v>
      </c>
      <c r="L223" s="49" t="s">
        <v>294</v>
      </c>
      <c r="M223" s="50" t="str">
        <f>Tabla16[[#This Row],[ABR_02]]</f>
        <v>MZ</v>
      </c>
      <c r="N223" t="s">
        <v>295</v>
      </c>
      <c r="O223" s="51" t="s">
        <v>309</v>
      </c>
      <c r="P223" t="s">
        <v>625</v>
      </c>
      <c r="Q223" t="s">
        <v>626</v>
      </c>
      <c r="R223" s="52" t="str">
        <f>_xlfn.CONCAT(Tabla16[[#This Row],[ABR_01]],"00",Tabla16[[#This Row],[ABR_02]],Tabla16[[#This Row],[ZONA2]],,"0",Tabla16[[#This Row],[PARADA2]])</f>
        <v>AR00MZ1002</v>
      </c>
      <c r="S223" s="52" t="s">
        <v>627</v>
      </c>
      <c r="T223" s="34" t="s">
        <v>299</v>
      </c>
      <c r="U223" s="45" t="s">
        <v>299</v>
      </c>
      <c r="V223" t="s">
        <v>805</v>
      </c>
    </row>
    <row r="224" spans="1:22" x14ac:dyDescent="0.25">
      <c r="A224" s="48" t="s">
        <v>300</v>
      </c>
      <c r="B224" s="30" t="s">
        <v>458</v>
      </c>
      <c r="C224" s="3" t="s">
        <v>459</v>
      </c>
      <c r="D224" s="31" t="s">
        <v>455</v>
      </c>
      <c r="E224" s="9" t="s">
        <v>73</v>
      </c>
      <c r="F224" s="5">
        <v>261</v>
      </c>
      <c r="G224" s="9">
        <v>555</v>
      </c>
      <c r="H224" s="32" t="s">
        <v>290</v>
      </c>
      <c r="I224" s="32" t="s">
        <v>456</v>
      </c>
      <c r="J224" s="33" t="s">
        <v>292</v>
      </c>
      <c r="K224" s="33" t="s">
        <v>307</v>
      </c>
      <c r="L224" s="49" t="s">
        <v>294</v>
      </c>
      <c r="M224" s="50" t="str">
        <f>Tabla16[[#This Row],[ABR_02]]</f>
        <v>MZ</v>
      </c>
      <c r="N224" t="s">
        <v>295</v>
      </c>
      <c r="O224" s="51" t="s">
        <v>309</v>
      </c>
      <c r="P224" t="s">
        <v>625</v>
      </c>
      <c r="Q224" t="s">
        <v>626</v>
      </c>
      <c r="R224" s="52" t="str">
        <f>_xlfn.CONCAT(Tabla16[[#This Row],[ABR_01]],"00",Tabla16[[#This Row],[ABR_02]],Tabla16[[#This Row],[ZONA2]],,"0",Tabla16[[#This Row],[PARADA2]])</f>
        <v>AR00MZ1003</v>
      </c>
      <c r="S224" s="52" t="s">
        <v>627</v>
      </c>
      <c r="T224" s="34" t="s">
        <v>299</v>
      </c>
      <c r="U224" s="45" t="s">
        <v>299</v>
      </c>
      <c r="V224" t="s">
        <v>805</v>
      </c>
    </row>
    <row r="225" spans="1:22" x14ac:dyDescent="0.25">
      <c r="A225" s="48" t="s">
        <v>300</v>
      </c>
      <c r="B225" s="30" t="s">
        <v>208</v>
      </c>
      <c r="C225" s="3" t="s">
        <v>208</v>
      </c>
      <c r="D225" s="31" t="s">
        <v>455</v>
      </c>
      <c r="E225" s="9" t="s">
        <v>73</v>
      </c>
      <c r="F225" s="5">
        <v>261</v>
      </c>
      <c r="G225" s="9">
        <v>522</v>
      </c>
      <c r="H225" s="32" t="s">
        <v>290</v>
      </c>
      <c r="I225" s="32" t="s">
        <v>456</v>
      </c>
      <c r="J225" s="33" t="s">
        <v>292</v>
      </c>
      <c r="K225" s="33" t="s">
        <v>309</v>
      </c>
      <c r="L225" s="49" t="s">
        <v>294</v>
      </c>
      <c r="M225" s="50" t="str">
        <f>Tabla16[[#This Row],[ABR_02]]</f>
        <v>MZ</v>
      </c>
      <c r="N225" t="s">
        <v>295</v>
      </c>
      <c r="O225" s="51" t="s">
        <v>309</v>
      </c>
      <c r="P225" t="s">
        <v>625</v>
      </c>
      <c r="Q225" t="s">
        <v>626</v>
      </c>
      <c r="R225" s="52" t="str">
        <f>_xlfn.CONCAT(Tabla16[[#This Row],[ABR_01]],"00",Tabla16[[#This Row],[ABR_02]],Tabla16[[#This Row],[ZONA2]],,"0",Tabla16[[#This Row],[PARADA2]])</f>
        <v>AR00MZ1004</v>
      </c>
      <c r="S225" s="52" t="s">
        <v>627</v>
      </c>
      <c r="T225" s="34" t="s">
        <v>299</v>
      </c>
      <c r="U225" s="45" t="s">
        <v>299</v>
      </c>
      <c r="V225" t="s">
        <v>805</v>
      </c>
    </row>
    <row r="226" spans="1:22" x14ac:dyDescent="0.25">
      <c r="A226" s="48" t="s">
        <v>300</v>
      </c>
      <c r="B226" s="30" t="s">
        <v>460</v>
      </c>
      <c r="C226" s="36" t="s">
        <v>210</v>
      </c>
      <c r="D226" s="31" t="s">
        <v>455</v>
      </c>
      <c r="E226" s="9" t="s">
        <v>73</v>
      </c>
      <c r="F226" s="5">
        <v>261</v>
      </c>
      <c r="G226" s="9">
        <v>540</v>
      </c>
      <c r="H226" s="32" t="s">
        <v>290</v>
      </c>
      <c r="I226" s="32" t="s">
        <v>456</v>
      </c>
      <c r="J226" s="33" t="s">
        <v>292</v>
      </c>
      <c r="K226" s="33" t="s">
        <v>319</v>
      </c>
      <c r="L226" s="49" t="s">
        <v>294</v>
      </c>
      <c r="M226" s="50" t="str">
        <f>Tabla16[[#This Row],[ABR_02]]</f>
        <v>MZ</v>
      </c>
      <c r="N226" t="s">
        <v>295</v>
      </c>
      <c r="O226" s="51" t="s">
        <v>309</v>
      </c>
      <c r="P226" t="s">
        <v>625</v>
      </c>
      <c r="Q226" t="s">
        <v>626</v>
      </c>
      <c r="R226" s="52" t="str">
        <f>_xlfn.CONCAT(Tabla16[[#This Row],[ABR_01]],"00",Tabla16[[#This Row],[ABR_02]],Tabla16[[#This Row],[ZONA2]],,"0",Tabla16[[#This Row],[PARADA2]])</f>
        <v>AR00MZ1005</v>
      </c>
      <c r="S226" s="52" t="s">
        <v>627</v>
      </c>
      <c r="T226" s="34" t="s">
        <v>299</v>
      </c>
      <c r="U226" s="45" t="s">
        <v>299</v>
      </c>
      <c r="V226" t="s">
        <v>805</v>
      </c>
    </row>
    <row r="227" spans="1:22" x14ac:dyDescent="0.25">
      <c r="A227" s="48" t="s">
        <v>300</v>
      </c>
      <c r="B227" s="30" t="s">
        <v>461</v>
      </c>
      <c r="C227" s="3" t="s">
        <v>212</v>
      </c>
      <c r="D227" s="31" t="s">
        <v>455</v>
      </c>
      <c r="E227" s="9" t="s">
        <v>73</v>
      </c>
      <c r="F227" s="5">
        <v>261</v>
      </c>
      <c r="G227" s="9">
        <v>525</v>
      </c>
      <c r="H227" s="32" t="s">
        <v>290</v>
      </c>
      <c r="I227" s="32" t="s">
        <v>456</v>
      </c>
      <c r="J227" s="33" t="s">
        <v>292</v>
      </c>
      <c r="K227" s="33" t="s">
        <v>320</v>
      </c>
      <c r="L227" s="49" t="s">
        <v>294</v>
      </c>
      <c r="M227" s="50" t="str">
        <f>Tabla16[[#This Row],[ABR_02]]</f>
        <v>MZ</v>
      </c>
      <c r="N227" t="s">
        <v>295</v>
      </c>
      <c r="O227" s="51" t="s">
        <v>309</v>
      </c>
      <c r="P227" t="s">
        <v>625</v>
      </c>
      <c r="Q227" t="s">
        <v>626</v>
      </c>
      <c r="R227" s="52" t="str">
        <f>_xlfn.CONCAT(Tabla16[[#This Row],[ABR_01]],"00",Tabla16[[#This Row],[ABR_02]],Tabla16[[#This Row],[ZONA2]],,"0",Tabla16[[#This Row],[PARADA2]])</f>
        <v>AR00MZ1006</v>
      </c>
      <c r="S227" s="52" t="s">
        <v>627</v>
      </c>
      <c r="T227" s="34" t="s">
        <v>299</v>
      </c>
      <c r="U227" s="45" t="s">
        <v>299</v>
      </c>
      <c r="V227" t="s">
        <v>805</v>
      </c>
    </row>
    <row r="228" spans="1:22" x14ac:dyDescent="0.25">
      <c r="A228" s="48" t="s">
        <v>300</v>
      </c>
      <c r="B228" s="30" t="s">
        <v>462</v>
      </c>
      <c r="C228" s="36" t="s">
        <v>74</v>
      </c>
      <c r="D228" s="31" t="s">
        <v>455</v>
      </c>
      <c r="E228" s="9" t="s">
        <v>73</v>
      </c>
      <c r="F228" s="5">
        <v>261</v>
      </c>
      <c r="G228" s="9">
        <v>515</v>
      </c>
      <c r="H228" s="32" t="s">
        <v>290</v>
      </c>
      <c r="I228" s="32" t="s">
        <v>456</v>
      </c>
      <c r="J228" s="33" t="s">
        <v>292</v>
      </c>
      <c r="K228" s="33" t="s">
        <v>322</v>
      </c>
      <c r="L228" s="49" t="s">
        <v>294</v>
      </c>
      <c r="M228" s="50" t="str">
        <f>Tabla16[[#This Row],[ABR_02]]</f>
        <v>MZ</v>
      </c>
      <c r="N228" t="s">
        <v>295</v>
      </c>
      <c r="O228" s="51" t="s">
        <v>309</v>
      </c>
      <c r="P228" t="s">
        <v>625</v>
      </c>
      <c r="Q228" t="s">
        <v>626</v>
      </c>
      <c r="R228" s="52" t="str">
        <f>_xlfn.CONCAT(Tabla16[[#This Row],[ABR_01]],"00",Tabla16[[#This Row],[ABR_02]],Tabla16[[#This Row],[ZONA2]],,"0",Tabla16[[#This Row],[PARADA2]])</f>
        <v>AR00MZ1007</v>
      </c>
      <c r="S228" s="52" t="s">
        <v>627</v>
      </c>
      <c r="T228" s="34" t="s">
        <v>299</v>
      </c>
      <c r="U228" s="45" t="s">
        <v>299</v>
      </c>
      <c r="V228" t="s">
        <v>805</v>
      </c>
    </row>
    <row r="229" spans="1:22" x14ac:dyDescent="0.25">
      <c r="A229" s="48" t="s">
        <v>300</v>
      </c>
      <c r="B229" s="30" t="s">
        <v>463</v>
      </c>
      <c r="C229" s="3" t="s">
        <v>464</v>
      </c>
      <c r="D229" s="31" t="s">
        <v>455</v>
      </c>
      <c r="E229" s="9" t="s">
        <v>73</v>
      </c>
      <c r="F229" s="5">
        <v>261</v>
      </c>
      <c r="G229" s="9">
        <v>501</v>
      </c>
      <c r="H229" s="32" t="s">
        <v>290</v>
      </c>
      <c r="I229" s="32" t="s">
        <v>456</v>
      </c>
      <c r="J229" s="33" t="s">
        <v>292</v>
      </c>
      <c r="K229" s="33" t="s">
        <v>324</v>
      </c>
      <c r="L229" s="49" t="s">
        <v>294</v>
      </c>
      <c r="M229" s="50" t="str">
        <f>Tabla16[[#This Row],[ABR_02]]</f>
        <v>MZ</v>
      </c>
      <c r="N229" t="s">
        <v>295</v>
      </c>
      <c r="O229" s="51" t="s">
        <v>309</v>
      </c>
      <c r="P229" t="s">
        <v>625</v>
      </c>
      <c r="Q229" t="s">
        <v>626</v>
      </c>
      <c r="R229" s="52" t="str">
        <f>_xlfn.CONCAT(Tabla16[[#This Row],[ABR_01]],"00",Tabla16[[#This Row],[ABR_02]],Tabla16[[#This Row],[ZONA2]],,"0",Tabla16[[#This Row],[PARADA2]])</f>
        <v>AR00MZ1008</v>
      </c>
      <c r="S229" s="52" t="s">
        <v>627</v>
      </c>
      <c r="T229" s="34" t="s">
        <v>299</v>
      </c>
      <c r="U229" s="45" t="s">
        <v>299</v>
      </c>
      <c r="V229" t="s">
        <v>805</v>
      </c>
    </row>
    <row r="230" spans="1:22" x14ac:dyDescent="0.25">
      <c r="A230" s="48" t="s">
        <v>300</v>
      </c>
      <c r="B230" s="30" t="s">
        <v>214</v>
      </c>
      <c r="C230" s="3" t="s">
        <v>214</v>
      </c>
      <c r="D230" s="31" t="s">
        <v>455</v>
      </c>
      <c r="E230" s="9" t="s">
        <v>73</v>
      </c>
      <c r="F230" s="5">
        <v>261</v>
      </c>
      <c r="G230" s="9">
        <v>523</v>
      </c>
      <c r="H230" s="32" t="s">
        <v>290</v>
      </c>
      <c r="I230" s="32" t="s">
        <v>456</v>
      </c>
      <c r="J230" s="33" t="s">
        <v>292</v>
      </c>
      <c r="K230" s="33" t="s">
        <v>368</v>
      </c>
      <c r="L230" s="49" t="s">
        <v>294</v>
      </c>
      <c r="M230" s="50" t="str">
        <f>Tabla16[[#This Row],[ABR_02]]</f>
        <v>MZ</v>
      </c>
      <c r="N230" t="s">
        <v>295</v>
      </c>
      <c r="O230" s="51" t="s">
        <v>309</v>
      </c>
      <c r="P230" t="s">
        <v>625</v>
      </c>
      <c r="Q230" t="s">
        <v>626</v>
      </c>
      <c r="R230" s="52" t="str">
        <f>_xlfn.CONCAT(Tabla16[[#This Row],[ABR_01]],"00",Tabla16[[#This Row],[ABR_02]],Tabla16[[#This Row],[ZONA2]],,"0",Tabla16[[#This Row],[PARADA2]])</f>
        <v>AR00MZ1009</v>
      </c>
      <c r="S230" s="52" t="s">
        <v>627</v>
      </c>
      <c r="T230" s="34" t="s">
        <v>299</v>
      </c>
      <c r="U230" s="45" t="s">
        <v>299</v>
      </c>
      <c r="V230" t="s">
        <v>805</v>
      </c>
    </row>
    <row r="231" spans="1:22" x14ac:dyDescent="0.25">
      <c r="A231" s="48" t="s">
        <v>300</v>
      </c>
      <c r="B231" s="30" t="s">
        <v>465</v>
      </c>
      <c r="C231" s="36" t="s">
        <v>466</v>
      </c>
      <c r="D231" s="31" t="s">
        <v>455</v>
      </c>
      <c r="E231" s="9" t="s">
        <v>73</v>
      </c>
      <c r="F231" s="5">
        <v>261</v>
      </c>
      <c r="G231" s="9">
        <v>261</v>
      </c>
      <c r="H231" s="32" t="s">
        <v>290</v>
      </c>
      <c r="I231" s="32" t="s">
        <v>456</v>
      </c>
      <c r="J231" s="33" t="s">
        <v>292</v>
      </c>
      <c r="K231" s="33" t="s">
        <v>370</v>
      </c>
      <c r="L231" s="49" t="s">
        <v>294</v>
      </c>
      <c r="M231" s="50" t="str">
        <f>Tabla16[[#This Row],[ABR_02]]</f>
        <v>MZ</v>
      </c>
      <c r="N231" t="s">
        <v>295</v>
      </c>
      <c r="O231" s="51" t="s">
        <v>309</v>
      </c>
      <c r="P231" t="s">
        <v>625</v>
      </c>
      <c r="Q231" t="s">
        <v>626</v>
      </c>
      <c r="R231" s="52" t="str">
        <f>_xlfn.CONCAT(Tabla16[[#This Row],[ABR_01]],"00",Tabla16[[#This Row],[ABR_02]],Tabla16[[#This Row],[ZONA2]],,"0",Tabla16[[#This Row],[PARADA2]])</f>
        <v>AR00MZ1010</v>
      </c>
      <c r="S231" s="52" t="s">
        <v>627</v>
      </c>
      <c r="T231" s="34" t="s">
        <v>299</v>
      </c>
      <c r="U231" s="45" t="s">
        <v>299</v>
      </c>
      <c r="V231" t="s">
        <v>805</v>
      </c>
    </row>
    <row r="232" spans="1:22" x14ac:dyDescent="0.25">
      <c r="A232" s="48" t="s">
        <v>300</v>
      </c>
      <c r="B232" s="30" t="s">
        <v>467</v>
      </c>
      <c r="C232" s="30" t="s">
        <v>125</v>
      </c>
      <c r="D232" s="31" t="s">
        <v>455</v>
      </c>
      <c r="E232" s="9" t="s">
        <v>73</v>
      </c>
      <c r="F232" s="5">
        <v>261</v>
      </c>
      <c r="G232" s="9">
        <v>550</v>
      </c>
      <c r="H232" s="32" t="s">
        <v>290</v>
      </c>
      <c r="I232" s="32" t="s">
        <v>456</v>
      </c>
      <c r="J232" s="33" t="s">
        <v>292</v>
      </c>
      <c r="K232" s="33" t="s">
        <v>372</v>
      </c>
      <c r="L232" s="49" t="s">
        <v>294</v>
      </c>
      <c r="M232" s="50" t="str">
        <f>Tabla16[[#This Row],[ABR_02]]</f>
        <v>MZ</v>
      </c>
      <c r="N232" t="s">
        <v>295</v>
      </c>
      <c r="O232" s="51" t="s">
        <v>309</v>
      </c>
      <c r="P232" t="s">
        <v>625</v>
      </c>
      <c r="Q232" t="s">
        <v>626</v>
      </c>
      <c r="R232" s="52" t="str">
        <f>_xlfn.CONCAT(Tabla16[[#This Row],[ABR_01]],"00",Tabla16[[#This Row],[ABR_02]],Tabla16[[#This Row],[ZONA2]],,"0",Tabla16[[#This Row],[PARADA2]])</f>
        <v>AR00MZ1011</v>
      </c>
      <c r="S232" s="52" t="s">
        <v>627</v>
      </c>
      <c r="T232" s="34" t="s">
        <v>299</v>
      </c>
      <c r="U232" s="45" t="s">
        <v>299</v>
      </c>
      <c r="V232" t="s">
        <v>805</v>
      </c>
    </row>
    <row r="233" spans="1:22" x14ac:dyDescent="0.25">
      <c r="A233" s="48" t="s">
        <v>300</v>
      </c>
      <c r="B233" s="30" t="s">
        <v>468</v>
      </c>
      <c r="C233" s="3" t="s">
        <v>468</v>
      </c>
      <c r="D233" s="31" t="s">
        <v>455</v>
      </c>
      <c r="E233" s="9" t="s">
        <v>73</v>
      </c>
      <c r="F233" s="5">
        <v>261</v>
      </c>
      <c r="G233" s="9">
        <v>535</v>
      </c>
      <c r="H233" s="32" t="s">
        <v>290</v>
      </c>
      <c r="I233" s="32" t="s">
        <v>456</v>
      </c>
      <c r="J233" s="33" t="s">
        <v>292</v>
      </c>
      <c r="K233" s="33" t="s">
        <v>374</v>
      </c>
      <c r="L233" s="49" t="s">
        <v>294</v>
      </c>
      <c r="M233" s="50" t="str">
        <f>Tabla16[[#This Row],[ABR_02]]</f>
        <v>MZ</v>
      </c>
      <c r="N233" t="s">
        <v>295</v>
      </c>
      <c r="O233" s="51" t="s">
        <v>309</v>
      </c>
      <c r="P233" t="s">
        <v>625</v>
      </c>
      <c r="Q233" t="s">
        <v>626</v>
      </c>
      <c r="R233" s="52" t="str">
        <f>_xlfn.CONCAT(Tabla16[[#This Row],[ABR_01]],"00",Tabla16[[#This Row],[ABR_02]],Tabla16[[#This Row],[ZONA2]],,"0",Tabla16[[#This Row],[PARADA2]])</f>
        <v>AR00MZ1012</v>
      </c>
      <c r="S233" s="52" t="s">
        <v>627</v>
      </c>
      <c r="T233" s="34" t="s">
        <v>299</v>
      </c>
      <c r="U233" s="45" t="s">
        <v>299</v>
      </c>
      <c r="V233" t="s">
        <v>805</v>
      </c>
    </row>
    <row r="234" spans="1:22" x14ac:dyDescent="0.25">
      <c r="A234" s="48" t="s">
        <v>300</v>
      </c>
      <c r="B234" s="30" t="s">
        <v>444</v>
      </c>
      <c r="C234" s="36" t="s">
        <v>445</v>
      </c>
      <c r="D234" s="31" t="s">
        <v>446</v>
      </c>
      <c r="E234" s="9" t="s">
        <v>55</v>
      </c>
      <c r="F234" s="5">
        <v>349</v>
      </c>
      <c r="G234" s="9">
        <v>325</v>
      </c>
      <c r="H234" s="32" t="s">
        <v>290</v>
      </c>
      <c r="I234" s="32" t="s">
        <v>447</v>
      </c>
      <c r="J234" s="33" t="s">
        <v>292</v>
      </c>
      <c r="K234" s="33" t="s">
        <v>293</v>
      </c>
      <c r="L234" s="49" t="s">
        <v>294</v>
      </c>
      <c r="M234" s="50" t="str">
        <f>Tabla16[[#This Row],[ABR_02]]</f>
        <v>MI</v>
      </c>
      <c r="N234" t="s">
        <v>295</v>
      </c>
      <c r="O234" s="51" t="s">
        <v>293</v>
      </c>
      <c r="P234" t="s">
        <v>296</v>
      </c>
      <c r="Q234" t="s">
        <v>303</v>
      </c>
      <c r="R234" s="52" t="str">
        <f>_xlfn.CONCAT(Tabla16[[#This Row],[ABR_01]],"00",Tabla16[[#This Row],[ABR_02]],Tabla16[[#This Row],[ZONA2]],,"0",Tabla16[[#This Row],[PARADA2]])</f>
        <v>AR00MI1001</v>
      </c>
      <c r="S234" s="52" t="s">
        <v>304</v>
      </c>
      <c r="T234" s="34" t="s">
        <v>299</v>
      </c>
      <c r="U234" s="34" t="s">
        <v>299</v>
      </c>
      <c r="V234" t="s">
        <v>804</v>
      </c>
    </row>
    <row r="235" spans="1:22" x14ac:dyDescent="0.25">
      <c r="A235" s="48" t="s">
        <v>300</v>
      </c>
      <c r="B235" s="30" t="s">
        <v>448</v>
      </c>
      <c r="C235" s="3" t="s">
        <v>448</v>
      </c>
      <c r="D235" s="31" t="s">
        <v>446</v>
      </c>
      <c r="E235" s="9" t="s">
        <v>55</v>
      </c>
      <c r="F235" s="5">
        <v>349</v>
      </c>
      <c r="G235" s="9">
        <v>310</v>
      </c>
      <c r="H235" s="32" t="s">
        <v>290</v>
      </c>
      <c r="I235" s="32" t="s">
        <v>447</v>
      </c>
      <c r="J235" s="33" t="s">
        <v>292</v>
      </c>
      <c r="K235" s="33" t="s">
        <v>306</v>
      </c>
      <c r="L235" s="49" t="s">
        <v>294</v>
      </c>
      <c r="M235" s="50" t="str">
        <f>Tabla16[[#This Row],[ABR_02]]</f>
        <v>MI</v>
      </c>
      <c r="N235" t="s">
        <v>295</v>
      </c>
      <c r="O235" s="51" t="s">
        <v>293</v>
      </c>
      <c r="P235" t="s">
        <v>296</v>
      </c>
      <c r="Q235" t="s">
        <v>303</v>
      </c>
      <c r="R235" s="52" t="str">
        <f>_xlfn.CONCAT(Tabla16[[#This Row],[ABR_01]],"00",Tabla16[[#This Row],[ABR_02]],Tabla16[[#This Row],[ZONA2]],,"0",Tabla16[[#This Row],[PARADA2]])</f>
        <v>AR00MI1002</v>
      </c>
      <c r="S235" s="52" t="s">
        <v>304</v>
      </c>
      <c r="T235" s="34" t="s">
        <v>299</v>
      </c>
      <c r="U235" s="34" t="s">
        <v>299</v>
      </c>
      <c r="V235" t="s">
        <v>804</v>
      </c>
    </row>
    <row r="236" spans="1:22" x14ac:dyDescent="0.25">
      <c r="A236" s="48" t="s">
        <v>300</v>
      </c>
      <c r="B236" s="30" t="s">
        <v>449</v>
      </c>
      <c r="C236" s="3" t="s">
        <v>449</v>
      </c>
      <c r="D236" s="31" t="s">
        <v>446</v>
      </c>
      <c r="E236" s="9" t="s">
        <v>55</v>
      </c>
      <c r="F236" s="5">
        <v>349</v>
      </c>
      <c r="G236" s="9">
        <v>305</v>
      </c>
      <c r="H236" s="32" t="s">
        <v>290</v>
      </c>
      <c r="I236" s="32" t="s">
        <v>447</v>
      </c>
      <c r="J236" s="33" t="s">
        <v>292</v>
      </c>
      <c r="K236" s="33" t="s">
        <v>307</v>
      </c>
      <c r="L236" s="49" t="s">
        <v>294</v>
      </c>
      <c r="M236" s="50" t="str">
        <f>Tabla16[[#This Row],[ABR_02]]</f>
        <v>MI</v>
      </c>
      <c r="N236" t="s">
        <v>295</v>
      </c>
      <c r="O236" s="51" t="s">
        <v>293</v>
      </c>
      <c r="P236" t="s">
        <v>296</v>
      </c>
      <c r="Q236" t="s">
        <v>303</v>
      </c>
      <c r="R236" s="52" t="str">
        <f>_xlfn.CONCAT(Tabla16[[#This Row],[ABR_01]],"00",Tabla16[[#This Row],[ABR_02]],Tabla16[[#This Row],[ZONA2]],,"0",Tabla16[[#This Row],[PARADA2]])</f>
        <v>AR00MI1003</v>
      </c>
      <c r="S236" s="52" t="s">
        <v>304</v>
      </c>
      <c r="T236" s="34" t="s">
        <v>299</v>
      </c>
      <c r="U236" s="34" t="s">
        <v>299</v>
      </c>
      <c r="V236" t="s">
        <v>804</v>
      </c>
    </row>
    <row r="237" spans="1:22" x14ac:dyDescent="0.25">
      <c r="A237" s="48" t="s">
        <v>300</v>
      </c>
      <c r="B237" s="30" t="s">
        <v>450</v>
      </c>
      <c r="C237" s="3" t="s">
        <v>450</v>
      </c>
      <c r="D237" s="31" t="s">
        <v>446</v>
      </c>
      <c r="E237" s="9" t="s">
        <v>55</v>
      </c>
      <c r="F237" s="5">
        <v>349</v>
      </c>
      <c r="G237" s="9">
        <v>320</v>
      </c>
      <c r="H237" s="32" t="s">
        <v>290</v>
      </c>
      <c r="I237" s="32" t="s">
        <v>447</v>
      </c>
      <c r="J237" s="33" t="s">
        <v>292</v>
      </c>
      <c r="K237" s="33" t="s">
        <v>309</v>
      </c>
      <c r="L237" s="49" t="s">
        <v>294</v>
      </c>
      <c r="M237" s="50" t="str">
        <f>Tabla16[[#This Row],[ABR_02]]</f>
        <v>MI</v>
      </c>
      <c r="N237" t="s">
        <v>295</v>
      </c>
      <c r="O237" s="51" t="s">
        <v>293</v>
      </c>
      <c r="P237" t="s">
        <v>296</v>
      </c>
      <c r="Q237" t="s">
        <v>303</v>
      </c>
      <c r="R237" s="52" t="str">
        <f>_xlfn.CONCAT(Tabla16[[#This Row],[ABR_01]],"00",Tabla16[[#This Row],[ABR_02]],Tabla16[[#This Row],[ZONA2]],,"0",Tabla16[[#This Row],[PARADA2]])</f>
        <v>AR00MI1004</v>
      </c>
      <c r="S237" s="52" t="s">
        <v>304</v>
      </c>
      <c r="T237" s="34" t="s">
        <v>299</v>
      </c>
      <c r="U237" s="34" t="s">
        <v>299</v>
      </c>
      <c r="V237" t="s">
        <v>804</v>
      </c>
    </row>
    <row r="238" spans="1:22" x14ac:dyDescent="0.25">
      <c r="A238" s="48" t="s">
        <v>300</v>
      </c>
      <c r="B238" s="30" t="s">
        <v>451</v>
      </c>
      <c r="C238" s="36" t="s">
        <v>87</v>
      </c>
      <c r="D238" s="31" t="s">
        <v>446</v>
      </c>
      <c r="E238" s="9" t="s">
        <v>55</v>
      </c>
      <c r="F238" s="5">
        <v>349</v>
      </c>
      <c r="G238" s="9">
        <v>300</v>
      </c>
      <c r="H238" s="32" t="s">
        <v>290</v>
      </c>
      <c r="I238" s="32" t="s">
        <v>447</v>
      </c>
      <c r="J238" s="33" t="s">
        <v>292</v>
      </c>
      <c r="K238" s="33" t="s">
        <v>319</v>
      </c>
      <c r="L238" s="49" t="s">
        <v>294</v>
      </c>
      <c r="M238" s="50" t="str">
        <f>Tabla16[[#This Row],[ABR_02]]</f>
        <v>MI</v>
      </c>
      <c r="N238" t="s">
        <v>295</v>
      </c>
      <c r="O238" s="51" t="s">
        <v>293</v>
      </c>
      <c r="P238" t="s">
        <v>296</v>
      </c>
      <c r="Q238" t="s">
        <v>303</v>
      </c>
      <c r="R238" s="52" t="str">
        <f>_xlfn.CONCAT(Tabla16[[#This Row],[ABR_01]],"00",Tabla16[[#This Row],[ABR_02]],Tabla16[[#This Row],[ZONA2]],,"0",Tabla16[[#This Row],[PARADA2]])</f>
        <v>AR00MI1005</v>
      </c>
      <c r="S238" s="52" t="s">
        <v>304</v>
      </c>
      <c r="T238" s="34" t="s">
        <v>299</v>
      </c>
      <c r="U238" s="34" t="s">
        <v>299</v>
      </c>
      <c r="V238" t="s">
        <v>804</v>
      </c>
    </row>
    <row r="239" spans="1:22" x14ac:dyDescent="0.25">
      <c r="A239" s="48" t="s">
        <v>300</v>
      </c>
      <c r="B239" s="30" t="s">
        <v>452</v>
      </c>
      <c r="C239" s="3" t="s">
        <v>452</v>
      </c>
      <c r="D239" s="31" t="s">
        <v>446</v>
      </c>
      <c r="E239" s="9" t="s">
        <v>55</v>
      </c>
      <c r="F239" s="5">
        <v>349</v>
      </c>
      <c r="G239" s="9">
        <v>315</v>
      </c>
      <c r="H239" s="32" t="s">
        <v>290</v>
      </c>
      <c r="I239" s="32" t="s">
        <v>447</v>
      </c>
      <c r="J239" s="33" t="s">
        <v>292</v>
      </c>
      <c r="K239" s="33" t="s">
        <v>320</v>
      </c>
      <c r="L239" s="49" t="s">
        <v>294</v>
      </c>
      <c r="M239" s="50" t="str">
        <f>Tabla16[[#This Row],[ABR_02]]</f>
        <v>MI</v>
      </c>
      <c r="N239" t="s">
        <v>295</v>
      </c>
      <c r="O239" s="51" t="s">
        <v>293</v>
      </c>
      <c r="P239" t="s">
        <v>296</v>
      </c>
      <c r="Q239" t="s">
        <v>303</v>
      </c>
      <c r="R239" s="52" t="str">
        <f>_xlfn.CONCAT(Tabla16[[#This Row],[ABR_01]],"00",Tabla16[[#This Row],[ABR_02]],Tabla16[[#This Row],[ZONA2]],,"0",Tabla16[[#This Row],[PARADA2]])</f>
        <v>AR00MI1006</v>
      </c>
      <c r="S239" s="52" t="s">
        <v>304</v>
      </c>
      <c r="T239" s="34" t="s">
        <v>299</v>
      </c>
      <c r="U239" s="34" t="s">
        <v>299</v>
      </c>
      <c r="V239" t="s">
        <v>804</v>
      </c>
    </row>
    <row r="240" spans="1:22" x14ac:dyDescent="0.25">
      <c r="A240" s="48" t="s">
        <v>300</v>
      </c>
      <c r="B240" s="30" t="s">
        <v>444</v>
      </c>
      <c r="C240" s="36" t="s">
        <v>445</v>
      </c>
      <c r="D240" s="31" t="s">
        <v>446</v>
      </c>
      <c r="E240" s="9" t="s">
        <v>55</v>
      </c>
      <c r="F240" s="5">
        <v>349</v>
      </c>
      <c r="G240" s="9">
        <v>325</v>
      </c>
      <c r="H240" s="32" t="s">
        <v>290</v>
      </c>
      <c r="I240" s="32" t="s">
        <v>447</v>
      </c>
      <c r="J240" s="33" t="s">
        <v>292</v>
      </c>
      <c r="K240" s="33" t="s">
        <v>293</v>
      </c>
      <c r="L240" s="49" t="s">
        <v>294</v>
      </c>
      <c r="M240" s="50" t="str">
        <f>Tabla16[[#This Row],[ABR_02]]</f>
        <v>MI</v>
      </c>
      <c r="N240" t="s">
        <v>295</v>
      </c>
      <c r="O240" s="51" t="s">
        <v>309</v>
      </c>
      <c r="P240" t="s">
        <v>625</v>
      </c>
      <c r="Q240" t="s">
        <v>626</v>
      </c>
      <c r="R240" s="52" t="str">
        <f>_xlfn.CONCAT(Tabla16[[#This Row],[ABR_01]],"00",Tabla16[[#This Row],[ABR_02]],Tabla16[[#This Row],[ZONA2]],,"0",Tabla16[[#This Row],[PARADA2]])</f>
        <v>AR00MI1001</v>
      </c>
      <c r="S240" s="52" t="s">
        <v>627</v>
      </c>
      <c r="T240" s="34" t="s">
        <v>299</v>
      </c>
      <c r="U240" s="45" t="s">
        <v>299</v>
      </c>
      <c r="V240" t="s">
        <v>805</v>
      </c>
    </row>
    <row r="241" spans="1:22" x14ac:dyDescent="0.25">
      <c r="A241" s="48" t="s">
        <v>300</v>
      </c>
      <c r="B241" s="30" t="s">
        <v>448</v>
      </c>
      <c r="C241" s="3" t="s">
        <v>448</v>
      </c>
      <c r="D241" s="31" t="s">
        <v>446</v>
      </c>
      <c r="E241" s="9" t="s">
        <v>55</v>
      </c>
      <c r="F241" s="5">
        <v>349</v>
      </c>
      <c r="G241" s="9">
        <v>310</v>
      </c>
      <c r="H241" s="32" t="s">
        <v>290</v>
      </c>
      <c r="I241" s="32" t="s">
        <v>447</v>
      </c>
      <c r="J241" s="33" t="s">
        <v>292</v>
      </c>
      <c r="K241" s="33" t="s">
        <v>306</v>
      </c>
      <c r="L241" s="49" t="s">
        <v>294</v>
      </c>
      <c r="M241" s="50" t="str">
        <f>Tabla16[[#This Row],[ABR_02]]</f>
        <v>MI</v>
      </c>
      <c r="N241" t="s">
        <v>295</v>
      </c>
      <c r="O241" s="51" t="s">
        <v>309</v>
      </c>
      <c r="P241" t="s">
        <v>625</v>
      </c>
      <c r="Q241" t="s">
        <v>626</v>
      </c>
      <c r="R241" s="52" t="str">
        <f>_xlfn.CONCAT(Tabla16[[#This Row],[ABR_01]],"00",Tabla16[[#This Row],[ABR_02]],Tabla16[[#This Row],[ZONA2]],,"0",Tabla16[[#This Row],[PARADA2]])</f>
        <v>AR00MI1002</v>
      </c>
      <c r="S241" s="52" t="s">
        <v>627</v>
      </c>
      <c r="T241" s="34" t="s">
        <v>299</v>
      </c>
      <c r="U241" s="45" t="s">
        <v>299</v>
      </c>
      <c r="V241" t="s">
        <v>805</v>
      </c>
    </row>
    <row r="242" spans="1:22" x14ac:dyDescent="0.25">
      <c r="A242" s="48" t="s">
        <v>300</v>
      </c>
      <c r="B242" s="30" t="s">
        <v>449</v>
      </c>
      <c r="C242" s="3" t="s">
        <v>449</v>
      </c>
      <c r="D242" s="31" t="s">
        <v>446</v>
      </c>
      <c r="E242" s="9" t="s">
        <v>55</v>
      </c>
      <c r="F242" s="5">
        <v>349</v>
      </c>
      <c r="G242" s="9">
        <v>305</v>
      </c>
      <c r="H242" s="32" t="s">
        <v>290</v>
      </c>
      <c r="I242" s="32" t="s">
        <v>447</v>
      </c>
      <c r="J242" s="33" t="s">
        <v>292</v>
      </c>
      <c r="K242" s="33" t="s">
        <v>307</v>
      </c>
      <c r="L242" s="49" t="s">
        <v>294</v>
      </c>
      <c r="M242" s="50" t="str">
        <f>Tabla16[[#This Row],[ABR_02]]</f>
        <v>MI</v>
      </c>
      <c r="N242" t="s">
        <v>295</v>
      </c>
      <c r="O242" s="51" t="s">
        <v>309</v>
      </c>
      <c r="P242" t="s">
        <v>625</v>
      </c>
      <c r="Q242" t="s">
        <v>626</v>
      </c>
      <c r="R242" s="52" t="str">
        <f>_xlfn.CONCAT(Tabla16[[#This Row],[ABR_01]],"00",Tabla16[[#This Row],[ABR_02]],Tabla16[[#This Row],[ZONA2]],,"0",Tabla16[[#This Row],[PARADA2]])</f>
        <v>AR00MI1003</v>
      </c>
      <c r="S242" s="52" t="s">
        <v>627</v>
      </c>
      <c r="T242" s="34" t="s">
        <v>299</v>
      </c>
      <c r="U242" s="45" t="s">
        <v>299</v>
      </c>
      <c r="V242" t="s">
        <v>805</v>
      </c>
    </row>
    <row r="243" spans="1:22" x14ac:dyDescent="0.25">
      <c r="A243" s="48" t="s">
        <v>300</v>
      </c>
      <c r="B243" s="30" t="s">
        <v>450</v>
      </c>
      <c r="C243" s="3" t="s">
        <v>450</v>
      </c>
      <c r="D243" s="31" t="s">
        <v>446</v>
      </c>
      <c r="E243" s="9" t="s">
        <v>55</v>
      </c>
      <c r="F243" s="5">
        <v>349</v>
      </c>
      <c r="G243" s="9">
        <v>320</v>
      </c>
      <c r="H243" s="32" t="s">
        <v>290</v>
      </c>
      <c r="I243" s="32" t="s">
        <v>447</v>
      </c>
      <c r="J243" s="33" t="s">
        <v>292</v>
      </c>
      <c r="K243" s="33" t="s">
        <v>309</v>
      </c>
      <c r="L243" s="49" t="s">
        <v>294</v>
      </c>
      <c r="M243" s="50" t="str">
        <f>Tabla16[[#This Row],[ABR_02]]</f>
        <v>MI</v>
      </c>
      <c r="N243" t="s">
        <v>295</v>
      </c>
      <c r="O243" s="51" t="s">
        <v>309</v>
      </c>
      <c r="P243" t="s">
        <v>625</v>
      </c>
      <c r="Q243" t="s">
        <v>626</v>
      </c>
      <c r="R243" s="52" t="str">
        <f>_xlfn.CONCAT(Tabla16[[#This Row],[ABR_01]],"00",Tabla16[[#This Row],[ABR_02]],Tabla16[[#This Row],[ZONA2]],,"0",Tabla16[[#This Row],[PARADA2]])</f>
        <v>AR00MI1004</v>
      </c>
      <c r="S243" s="52" t="s">
        <v>627</v>
      </c>
      <c r="T243" s="34" t="s">
        <v>299</v>
      </c>
      <c r="U243" s="45" t="s">
        <v>299</v>
      </c>
      <c r="V243" t="s">
        <v>805</v>
      </c>
    </row>
    <row r="244" spans="1:22" x14ac:dyDescent="0.25">
      <c r="A244" s="48" t="s">
        <v>300</v>
      </c>
      <c r="B244" s="30" t="s">
        <v>451</v>
      </c>
      <c r="C244" s="36" t="s">
        <v>87</v>
      </c>
      <c r="D244" s="31" t="s">
        <v>446</v>
      </c>
      <c r="E244" s="9" t="s">
        <v>55</v>
      </c>
      <c r="F244" s="5">
        <v>349</v>
      </c>
      <c r="G244" s="9">
        <v>300</v>
      </c>
      <c r="H244" s="32" t="s">
        <v>290</v>
      </c>
      <c r="I244" s="32" t="s">
        <v>447</v>
      </c>
      <c r="J244" s="33" t="s">
        <v>292</v>
      </c>
      <c r="K244" s="33" t="s">
        <v>319</v>
      </c>
      <c r="L244" s="49" t="s">
        <v>294</v>
      </c>
      <c r="M244" s="50" t="str">
        <f>Tabla16[[#This Row],[ABR_02]]</f>
        <v>MI</v>
      </c>
      <c r="N244" t="s">
        <v>295</v>
      </c>
      <c r="O244" s="51" t="s">
        <v>309</v>
      </c>
      <c r="P244" t="s">
        <v>625</v>
      </c>
      <c r="Q244" t="s">
        <v>626</v>
      </c>
      <c r="R244" s="52" t="str">
        <f>_xlfn.CONCAT(Tabla16[[#This Row],[ABR_01]],"00",Tabla16[[#This Row],[ABR_02]],Tabla16[[#This Row],[ZONA2]],,"0",Tabla16[[#This Row],[PARADA2]])</f>
        <v>AR00MI1005</v>
      </c>
      <c r="S244" s="52" t="s">
        <v>627</v>
      </c>
      <c r="T244" s="34" t="s">
        <v>299</v>
      </c>
      <c r="U244" s="45" t="s">
        <v>299</v>
      </c>
      <c r="V244" t="s">
        <v>805</v>
      </c>
    </row>
    <row r="245" spans="1:22" x14ac:dyDescent="0.25">
      <c r="A245" s="48" t="s">
        <v>300</v>
      </c>
      <c r="B245" s="30" t="s">
        <v>452</v>
      </c>
      <c r="C245" s="3" t="s">
        <v>452</v>
      </c>
      <c r="D245" s="31" t="s">
        <v>446</v>
      </c>
      <c r="E245" s="9" t="s">
        <v>55</v>
      </c>
      <c r="F245" s="5">
        <v>349</v>
      </c>
      <c r="G245" s="9">
        <v>315</v>
      </c>
      <c r="H245" s="32" t="s">
        <v>290</v>
      </c>
      <c r="I245" s="32" t="s">
        <v>447</v>
      </c>
      <c r="J245" s="33" t="s">
        <v>292</v>
      </c>
      <c r="K245" s="33" t="s">
        <v>320</v>
      </c>
      <c r="L245" s="49" t="s">
        <v>294</v>
      </c>
      <c r="M245" s="50" t="str">
        <f>Tabla16[[#This Row],[ABR_02]]</f>
        <v>MI</v>
      </c>
      <c r="N245" t="s">
        <v>295</v>
      </c>
      <c r="O245" s="51" t="s">
        <v>309</v>
      </c>
      <c r="P245" t="s">
        <v>625</v>
      </c>
      <c r="Q245" t="s">
        <v>626</v>
      </c>
      <c r="R245" s="52" t="str">
        <f>_xlfn.CONCAT(Tabla16[[#This Row],[ABR_01]],"00",Tabla16[[#This Row],[ABR_02]],Tabla16[[#This Row],[ZONA2]],,"0",Tabla16[[#This Row],[PARADA2]])</f>
        <v>AR00MI1006</v>
      </c>
      <c r="S245" s="52" t="s">
        <v>627</v>
      </c>
      <c r="T245" s="34" t="s">
        <v>299</v>
      </c>
      <c r="U245" s="45" t="s">
        <v>299</v>
      </c>
      <c r="V245" t="s">
        <v>805</v>
      </c>
    </row>
    <row r="246" spans="1:22" x14ac:dyDescent="0.25">
      <c r="A246" s="48" t="s">
        <v>300</v>
      </c>
      <c r="B246" s="30" t="s">
        <v>435</v>
      </c>
      <c r="C246" s="3" t="s">
        <v>35</v>
      </c>
      <c r="D246" s="31" t="s">
        <v>436</v>
      </c>
      <c r="E246" s="9" t="s">
        <v>20</v>
      </c>
      <c r="F246" s="37">
        <v>294</v>
      </c>
      <c r="G246" s="9">
        <v>918</v>
      </c>
      <c r="H246" s="32" t="s">
        <v>290</v>
      </c>
      <c r="I246" s="32" t="s">
        <v>437</v>
      </c>
      <c r="J246" s="33" t="s">
        <v>292</v>
      </c>
      <c r="K246" s="33" t="s">
        <v>293</v>
      </c>
      <c r="L246" s="49" t="s">
        <v>294</v>
      </c>
      <c r="M246" s="50" t="str">
        <f>Tabla16[[#This Row],[ABR_02]]</f>
        <v>RN</v>
      </c>
      <c r="N246" t="s">
        <v>295</v>
      </c>
      <c r="O246" s="51" t="s">
        <v>293</v>
      </c>
      <c r="P246" t="s">
        <v>296</v>
      </c>
      <c r="Q246" t="s">
        <v>303</v>
      </c>
      <c r="R246" s="52" t="str">
        <f>_xlfn.CONCAT(Tabla16[[#This Row],[ABR_01]],"00",Tabla16[[#This Row],[ABR_02]],Tabla16[[#This Row],[ZONA2]],,"0",Tabla16[[#This Row],[PARADA2]])</f>
        <v>AR00RN1001</v>
      </c>
      <c r="S246" s="52" t="s">
        <v>304</v>
      </c>
      <c r="T246" s="34" t="s">
        <v>299</v>
      </c>
      <c r="U246" s="34" t="s">
        <v>299</v>
      </c>
      <c r="V246" t="s">
        <v>804</v>
      </c>
    </row>
    <row r="247" spans="1:22" x14ac:dyDescent="0.25">
      <c r="A247" s="48" t="s">
        <v>300</v>
      </c>
      <c r="B247" s="30" t="s">
        <v>438</v>
      </c>
      <c r="C247" s="36" t="s">
        <v>164</v>
      </c>
      <c r="D247" s="31" t="s">
        <v>436</v>
      </c>
      <c r="E247" s="9" t="s">
        <v>20</v>
      </c>
      <c r="F247" s="37">
        <v>294</v>
      </c>
      <c r="G247" s="9">
        <v>908</v>
      </c>
      <c r="H247" s="32" t="s">
        <v>290</v>
      </c>
      <c r="I247" s="32" t="s">
        <v>437</v>
      </c>
      <c r="J247" s="33" t="s">
        <v>292</v>
      </c>
      <c r="K247" s="33" t="s">
        <v>306</v>
      </c>
      <c r="L247" s="49" t="s">
        <v>294</v>
      </c>
      <c r="M247" s="50" t="str">
        <f>Tabla16[[#This Row],[ABR_02]]</f>
        <v>RN</v>
      </c>
      <c r="N247" t="s">
        <v>295</v>
      </c>
      <c r="O247" s="51" t="s">
        <v>293</v>
      </c>
      <c r="P247" t="s">
        <v>296</v>
      </c>
      <c r="Q247" t="s">
        <v>303</v>
      </c>
      <c r="R247" s="52" t="str">
        <f>_xlfn.CONCAT(Tabla16[[#This Row],[ABR_01]],"00",Tabla16[[#This Row],[ABR_02]],Tabla16[[#This Row],[ZONA2]],,"0",Tabla16[[#This Row],[PARADA2]])</f>
        <v>AR00RN1002</v>
      </c>
      <c r="S247" s="52" t="s">
        <v>304</v>
      </c>
      <c r="T247" s="34" t="s">
        <v>299</v>
      </c>
      <c r="U247" s="34" t="s">
        <v>299</v>
      </c>
      <c r="V247" t="s">
        <v>804</v>
      </c>
    </row>
    <row r="248" spans="1:22" x14ac:dyDescent="0.25">
      <c r="A248" s="48" t="s">
        <v>300</v>
      </c>
      <c r="B248" s="30" t="s">
        <v>439</v>
      </c>
      <c r="C248" s="36" t="s">
        <v>49</v>
      </c>
      <c r="D248" s="31" t="s">
        <v>436</v>
      </c>
      <c r="E248" s="9" t="s">
        <v>20</v>
      </c>
      <c r="F248" s="37">
        <v>294</v>
      </c>
      <c r="G248" s="9">
        <v>930</v>
      </c>
      <c r="H248" s="32" t="s">
        <v>290</v>
      </c>
      <c r="I248" s="32" t="s">
        <v>437</v>
      </c>
      <c r="J248" s="33" t="s">
        <v>292</v>
      </c>
      <c r="K248" s="33" t="s">
        <v>307</v>
      </c>
      <c r="L248" s="49" t="s">
        <v>294</v>
      </c>
      <c r="M248" s="50" t="str">
        <f>Tabla16[[#This Row],[ABR_02]]</f>
        <v>RN</v>
      </c>
      <c r="N248" t="s">
        <v>295</v>
      </c>
      <c r="O248" s="51" t="s">
        <v>293</v>
      </c>
      <c r="P248" t="s">
        <v>296</v>
      </c>
      <c r="Q248" t="s">
        <v>303</v>
      </c>
      <c r="R248" s="52" t="str">
        <f>_xlfn.CONCAT(Tabla16[[#This Row],[ABR_01]],"00",Tabla16[[#This Row],[ABR_02]],Tabla16[[#This Row],[ZONA2]],,"0",Tabla16[[#This Row],[PARADA2]])</f>
        <v>AR00RN1003</v>
      </c>
      <c r="S248" s="52" t="s">
        <v>304</v>
      </c>
      <c r="T248" s="34" t="s">
        <v>299</v>
      </c>
      <c r="U248" s="34" t="s">
        <v>299</v>
      </c>
      <c r="V248" t="s">
        <v>804</v>
      </c>
    </row>
    <row r="249" spans="1:22" x14ac:dyDescent="0.25">
      <c r="A249" s="48" t="s">
        <v>300</v>
      </c>
      <c r="B249" s="30" t="s">
        <v>440</v>
      </c>
      <c r="C249" s="36" t="s">
        <v>62</v>
      </c>
      <c r="D249" s="31" t="s">
        <v>436</v>
      </c>
      <c r="E249" s="9" t="s">
        <v>20</v>
      </c>
      <c r="F249" s="37">
        <v>294</v>
      </c>
      <c r="G249" s="9">
        <v>910</v>
      </c>
      <c r="H249" s="32" t="s">
        <v>290</v>
      </c>
      <c r="I249" s="32" t="s">
        <v>437</v>
      </c>
      <c r="J249" s="33" t="s">
        <v>292</v>
      </c>
      <c r="K249" s="33" t="s">
        <v>309</v>
      </c>
      <c r="L249" s="49" t="s">
        <v>294</v>
      </c>
      <c r="M249" s="50" t="str">
        <f>Tabla16[[#This Row],[ABR_02]]</f>
        <v>RN</v>
      </c>
      <c r="N249" t="s">
        <v>295</v>
      </c>
      <c r="O249" s="51" t="s">
        <v>293</v>
      </c>
      <c r="P249" t="s">
        <v>296</v>
      </c>
      <c r="Q249" t="s">
        <v>303</v>
      </c>
      <c r="R249" s="52" t="str">
        <f>_xlfn.CONCAT(Tabla16[[#This Row],[ABR_01]],"00",Tabla16[[#This Row],[ABR_02]],Tabla16[[#This Row],[ZONA2]],,"0",Tabla16[[#This Row],[PARADA2]])</f>
        <v>AR00RN1004</v>
      </c>
      <c r="S249" s="52" t="s">
        <v>304</v>
      </c>
      <c r="T249" s="34" t="s">
        <v>299</v>
      </c>
      <c r="U249" s="34" t="s">
        <v>299</v>
      </c>
      <c r="V249" t="s">
        <v>804</v>
      </c>
    </row>
    <row r="250" spans="1:22" x14ac:dyDescent="0.25">
      <c r="A250" s="48" t="s">
        <v>300</v>
      </c>
      <c r="B250" s="30" t="s">
        <v>441</v>
      </c>
      <c r="C250" s="3" t="s">
        <v>441</v>
      </c>
      <c r="D250" s="31" t="s">
        <v>436</v>
      </c>
      <c r="E250" s="9" t="s">
        <v>20</v>
      </c>
      <c r="F250" s="37">
        <v>294</v>
      </c>
      <c r="G250" s="9">
        <v>283</v>
      </c>
      <c r="H250" s="32" t="s">
        <v>290</v>
      </c>
      <c r="I250" s="32" t="s">
        <v>437</v>
      </c>
      <c r="J250" s="33" t="s">
        <v>292</v>
      </c>
      <c r="K250" s="33" t="s">
        <v>319</v>
      </c>
      <c r="L250" s="49" t="s">
        <v>294</v>
      </c>
      <c r="M250" s="50" t="str">
        <f>Tabla16[[#This Row],[ABR_02]]</f>
        <v>RN</v>
      </c>
      <c r="N250" t="s">
        <v>295</v>
      </c>
      <c r="O250" s="51" t="s">
        <v>293</v>
      </c>
      <c r="P250" t="s">
        <v>296</v>
      </c>
      <c r="Q250" t="s">
        <v>303</v>
      </c>
      <c r="R250" s="52" t="str">
        <f>_xlfn.CONCAT(Tabla16[[#This Row],[ABR_01]],"00",Tabla16[[#This Row],[ABR_02]],Tabla16[[#This Row],[ZONA2]],,"0",Tabla16[[#This Row],[PARADA2]])</f>
        <v>AR00RN1005</v>
      </c>
      <c r="S250" s="52" t="s">
        <v>304</v>
      </c>
      <c r="T250" s="34" t="s">
        <v>299</v>
      </c>
      <c r="U250" s="34" t="s">
        <v>299</v>
      </c>
      <c r="V250" t="s">
        <v>804</v>
      </c>
    </row>
    <row r="251" spans="1:22" x14ac:dyDescent="0.25">
      <c r="A251" s="48" t="s">
        <v>300</v>
      </c>
      <c r="B251" s="30" t="s">
        <v>442</v>
      </c>
      <c r="C251" s="36" t="s">
        <v>113</v>
      </c>
      <c r="D251" s="31" t="s">
        <v>436</v>
      </c>
      <c r="E251" s="9" t="s">
        <v>20</v>
      </c>
      <c r="F251" s="37">
        <v>294</v>
      </c>
      <c r="G251" s="9">
        <v>925</v>
      </c>
      <c r="H251" s="32" t="s">
        <v>290</v>
      </c>
      <c r="I251" s="32" t="s">
        <v>437</v>
      </c>
      <c r="J251" s="33" t="s">
        <v>292</v>
      </c>
      <c r="K251" s="33" t="s">
        <v>320</v>
      </c>
      <c r="L251" s="49" t="s">
        <v>294</v>
      </c>
      <c r="M251" s="50" t="str">
        <f>Tabla16[[#This Row],[ABR_02]]</f>
        <v>RN</v>
      </c>
      <c r="N251" t="s">
        <v>295</v>
      </c>
      <c r="O251" s="51" t="s">
        <v>293</v>
      </c>
      <c r="P251" t="s">
        <v>296</v>
      </c>
      <c r="Q251" t="s">
        <v>303</v>
      </c>
      <c r="R251" s="52" t="str">
        <f>_xlfn.CONCAT(Tabla16[[#This Row],[ABR_01]],"00",Tabla16[[#This Row],[ABR_02]],Tabla16[[#This Row],[ZONA2]],,"0",Tabla16[[#This Row],[PARADA2]])</f>
        <v>AR00RN1006</v>
      </c>
      <c r="S251" s="52" t="s">
        <v>304</v>
      </c>
      <c r="T251" s="34" t="s">
        <v>299</v>
      </c>
      <c r="U251" s="34" t="s">
        <v>299</v>
      </c>
      <c r="V251" t="s">
        <v>804</v>
      </c>
    </row>
    <row r="252" spans="1:22" x14ac:dyDescent="0.25">
      <c r="A252" s="48" t="s">
        <v>300</v>
      </c>
      <c r="B252" s="30" t="s">
        <v>443</v>
      </c>
      <c r="C252" s="36" t="s">
        <v>144</v>
      </c>
      <c r="D252" s="31" t="s">
        <v>436</v>
      </c>
      <c r="E252" s="9" t="s">
        <v>20</v>
      </c>
      <c r="F252" s="37">
        <v>294</v>
      </c>
      <c r="G252" s="9">
        <v>935</v>
      </c>
      <c r="H252" s="32" t="s">
        <v>290</v>
      </c>
      <c r="I252" s="32" t="s">
        <v>437</v>
      </c>
      <c r="J252" s="33" t="s">
        <v>292</v>
      </c>
      <c r="K252" s="33" t="s">
        <v>322</v>
      </c>
      <c r="L252" s="49" t="s">
        <v>294</v>
      </c>
      <c r="M252" s="50" t="str">
        <f>Tabla16[[#This Row],[ABR_02]]</f>
        <v>RN</v>
      </c>
      <c r="N252" t="s">
        <v>295</v>
      </c>
      <c r="O252" s="51" t="s">
        <v>293</v>
      </c>
      <c r="P252" t="s">
        <v>296</v>
      </c>
      <c r="Q252" t="s">
        <v>303</v>
      </c>
      <c r="R252" s="52" t="str">
        <f>_xlfn.CONCAT(Tabla16[[#This Row],[ABR_01]],"00",Tabla16[[#This Row],[ABR_02]],Tabla16[[#This Row],[ZONA2]],,"0",Tabla16[[#This Row],[PARADA2]])</f>
        <v>AR00RN1007</v>
      </c>
      <c r="S252" s="52" t="s">
        <v>304</v>
      </c>
      <c r="T252" s="34" t="s">
        <v>299</v>
      </c>
      <c r="U252" s="34" t="s">
        <v>299</v>
      </c>
      <c r="V252" t="s">
        <v>804</v>
      </c>
    </row>
    <row r="253" spans="1:22" x14ac:dyDescent="0.25">
      <c r="A253" s="48" t="s">
        <v>300</v>
      </c>
      <c r="B253" s="30" t="s">
        <v>150</v>
      </c>
      <c r="C253" s="3" t="s">
        <v>150</v>
      </c>
      <c r="D253" s="31" t="s">
        <v>436</v>
      </c>
      <c r="E253" s="9" t="s">
        <v>20</v>
      </c>
      <c r="F253" s="37">
        <v>294</v>
      </c>
      <c r="G253" s="9">
        <v>912</v>
      </c>
      <c r="H253" s="32" t="s">
        <v>290</v>
      </c>
      <c r="I253" s="32" t="s">
        <v>437</v>
      </c>
      <c r="J253" s="33" t="s">
        <v>292</v>
      </c>
      <c r="K253" s="33" t="s">
        <v>324</v>
      </c>
      <c r="L253" s="49" t="s">
        <v>294</v>
      </c>
      <c r="M253" s="50" t="str">
        <f>Tabla16[[#This Row],[ABR_02]]</f>
        <v>RN</v>
      </c>
      <c r="N253" t="s">
        <v>295</v>
      </c>
      <c r="O253" s="51" t="s">
        <v>293</v>
      </c>
      <c r="P253" t="s">
        <v>296</v>
      </c>
      <c r="Q253" t="s">
        <v>303</v>
      </c>
      <c r="R253" s="52" t="str">
        <f>_xlfn.CONCAT(Tabla16[[#This Row],[ABR_01]],"00",Tabla16[[#This Row],[ABR_02]],Tabla16[[#This Row],[ZONA2]],,"0",Tabla16[[#This Row],[PARADA2]])</f>
        <v>AR00RN1008</v>
      </c>
      <c r="S253" s="52" t="s">
        <v>304</v>
      </c>
      <c r="T253" s="34" t="s">
        <v>299</v>
      </c>
      <c r="U253" s="34" t="s">
        <v>299</v>
      </c>
      <c r="V253" t="s">
        <v>804</v>
      </c>
    </row>
    <row r="254" spans="1:22" x14ac:dyDescent="0.25">
      <c r="A254" s="48" t="s">
        <v>300</v>
      </c>
      <c r="B254" s="30" t="s">
        <v>435</v>
      </c>
      <c r="C254" s="3" t="s">
        <v>35</v>
      </c>
      <c r="D254" s="31" t="s">
        <v>436</v>
      </c>
      <c r="E254" s="9" t="s">
        <v>20</v>
      </c>
      <c r="F254" s="5">
        <v>294</v>
      </c>
      <c r="G254" s="9">
        <v>918</v>
      </c>
      <c r="H254" s="32" t="s">
        <v>290</v>
      </c>
      <c r="I254" s="32" t="s">
        <v>437</v>
      </c>
      <c r="J254" s="33" t="s">
        <v>292</v>
      </c>
      <c r="K254" s="33" t="s">
        <v>293</v>
      </c>
      <c r="L254" s="49" t="s">
        <v>294</v>
      </c>
      <c r="M254" s="50" t="str">
        <f>Tabla16[[#This Row],[ABR_02]]</f>
        <v>RN</v>
      </c>
      <c r="N254" t="s">
        <v>295</v>
      </c>
      <c r="O254" s="51" t="s">
        <v>309</v>
      </c>
      <c r="P254" t="s">
        <v>625</v>
      </c>
      <c r="Q254" t="s">
        <v>295</v>
      </c>
      <c r="R254" s="52" t="str">
        <f>_xlfn.CONCAT(Tabla16[[#This Row],[ABR_01]],"00",Tabla16[[#This Row],[ABR_02]],Tabla16[[#This Row],[ZONA2]],,"0",Tabla16[[#This Row],[PARADA2]])</f>
        <v>AR00RN1001</v>
      </c>
      <c r="S254" s="52" t="s">
        <v>555</v>
      </c>
      <c r="T254" s="34" t="s">
        <v>299</v>
      </c>
      <c r="U254" s="45" t="s">
        <v>299</v>
      </c>
      <c r="V254" t="s">
        <v>805</v>
      </c>
    </row>
    <row r="255" spans="1:22" x14ac:dyDescent="0.25">
      <c r="A255" s="48" t="s">
        <v>300</v>
      </c>
      <c r="B255" s="30" t="s">
        <v>438</v>
      </c>
      <c r="C255" s="36" t="s">
        <v>164</v>
      </c>
      <c r="D255" s="31" t="s">
        <v>436</v>
      </c>
      <c r="E255" s="9" t="s">
        <v>20</v>
      </c>
      <c r="F255" s="5">
        <v>294</v>
      </c>
      <c r="G255" s="9">
        <v>908</v>
      </c>
      <c r="H255" s="32" t="s">
        <v>290</v>
      </c>
      <c r="I255" s="32" t="s">
        <v>437</v>
      </c>
      <c r="J255" s="33" t="s">
        <v>292</v>
      </c>
      <c r="K255" s="33" t="s">
        <v>306</v>
      </c>
      <c r="L255" s="49" t="s">
        <v>294</v>
      </c>
      <c r="M255" s="50" t="str">
        <f>Tabla16[[#This Row],[ABR_02]]</f>
        <v>RN</v>
      </c>
      <c r="N255" t="s">
        <v>295</v>
      </c>
      <c r="O255" s="51" t="s">
        <v>309</v>
      </c>
      <c r="P255" t="s">
        <v>625</v>
      </c>
      <c r="Q255" t="s">
        <v>295</v>
      </c>
      <c r="R255" s="52" t="str">
        <f>_xlfn.CONCAT(Tabla16[[#This Row],[ABR_01]],"00",Tabla16[[#This Row],[ABR_02]],Tabla16[[#This Row],[ZONA2]],,"0",Tabla16[[#This Row],[PARADA2]])</f>
        <v>AR00RN1002</v>
      </c>
      <c r="S255" s="52" t="s">
        <v>555</v>
      </c>
      <c r="T255" s="34" t="s">
        <v>299</v>
      </c>
      <c r="U255" s="45" t="s">
        <v>299</v>
      </c>
      <c r="V255" t="s">
        <v>805</v>
      </c>
    </row>
    <row r="256" spans="1:22" x14ac:dyDescent="0.25">
      <c r="A256" s="48" t="s">
        <v>300</v>
      </c>
      <c r="B256" s="30" t="s">
        <v>439</v>
      </c>
      <c r="C256" s="36" t="s">
        <v>49</v>
      </c>
      <c r="D256" s="31" t="s">
        <v>436</v>
      </c>
      <c r="E256" s="9" t="s">
        <v>20</v>
      </c>
      <c r="F256" s="5">
        <v>294</v>
      </c>
      <c r="G256" s="9">
        <v>930</v>
      </c>
      <c r="H256" s="32" t="s">
        <v>290</v>
      </c>
      <c r="I256" s="32" t="s">
        <v>437</v>
      </c>
      <c r="J256" s="33" t="s">
        <v>292</v>
      </c>
      <c r="K256" s="33" t="s">
        <v>307</v>
      </c>
      <c r="L256" s="49" t="s">
        <v>294</v>
      </c>
      <c r="M256" s="50" t="str">
        <f>Tabla16[[#This Row],[ABR_02]]</f>
        <v>RN</v>
      </c>
      <c r="N256" t="s">
        <v>295</v>
      </c>
      <c r="O256" s="51" t="s">
        <v>309</v>
      </c>
      <c r="P256" t="s">
        <v>625</v>
      </c>
      <c r="Q256" t="s">
        <v>295</v>
      </c>
      <c r="R256" s="52" t="str">
        <f>_xlfn.CONCAT(Tabla16[[#This Row],[ABR_01]],"00",Tabla16[[#This Row],[ABR_02]],Tabla16[[#This Row],[ZONA2]],,"0",Tabla16[[#This Row],[PARADA2]])</f>
        <v>AR00RN1003</v>
      </c>
      <c r="S256" s="52" t="s">
        <v>555</v>
      </c>
      <c r="T256" s="34" t="s">
        <v>299</v>
      </c>
      <c r="U256" s="45" t="s">
        <v>299</v>
      </c>
      <c r="V256" t="s">
        <v>805</v>
      </c>
    </row>
    <row r="257" spans="1:22" x14ac:dyDescent="0.25">
      <c r="A257" s="48" t="s">
        <v>300</v>
      </c>
      <c r="B257" s="30" t="s">
        <v>440</v>
      </c>
      <c r="C257" s="36" t="s">
        <v>62</v>
      </c>
      <c r="D257" s="31" t="s">
        <v>436</v>
      </c>
      <c r="E257" s="9" t="s">
        <v>20</v>
      </c>
      <c r="F257" s="5">
        <v>294</v>
      </c>
      <c r="G257" s="9">
        <v>910</v>
      </c>
      <c r="H257" s="32" t="s">
        <v>290</v>
      </c>
      <c r="I257" s="32" t="s">
        <v>437</v>
      </c>
      <c r="J257" s="33" t="s">
        <v>292</v>
      </c>
      <c r="K257" s="33" t="s">
        <v>309</v>
      </c>
      <c r="L257" s="49" t="s">
        <v>294</v>
      </c>
      <c r="M257" s="50" t="str">
        <f>Tabla16[[#This Row],[ABR_02]]</f>
        <v>RN</v>
      </c>
      <c r="N257" t="s">
        <v>295</v>
      </c>
      <c r="O257" s="51" t="s">
        <v>309</v>
      </c>
      <c r="P257" t="s">
        <v>625</v>
      </c>
      <c r="Q257" t="s">
        <v>295</v>
      </c>
      <c r="R257" s="52" t="str">
        <f>_xlfn.CONCAT(Tabla16[[#This Row],[ABR_01]],"00",Tabla16[[#This Row],[ABR_02]],Tabla16[[#This Row],[ZONA2]],,"0",Tabla16[[#This Row],[PARADA2]])</f>
        <v>AR00RN1004</v>
      </c>
      <c r="S257" s="52" t="s">
        <v>555</v>
      </c>
      <c r="T257" s="34" t="s">
        <v>299</v>
      </c>
      <c r="U257" s="45" t="s">
        <v>299</v>
      </c>
      <c r="V257" t="s">
        <v>805</v>
      </c>
    </row>
    <row r="258" spans="1:22" x14ac:dyDescent="0.25">
      <c r="A258" s="48" t="s">
        <v>300</v>
      </c>
      <c r="B258" s="30" t="s">
        <v>441</v>
      </c>
      <c r="C258" s="3" t="s">
        <v>441</v>
      </c>
      <c r="D258" s="31" t="s">
        <v>436</v>
      </c>
      <c r="E258" s="9" t="s">
        <v>20</v>
      </c>
      <c r="F258" s="5">
        <v>294</v>
      </c>
      <c r="G258" s="9">
        <v>283</v>
      </c>
      <c r="H258" s="32" t="s">
        <v>290</v>
      </c>
      <c r="I258" s="32" t="s">
        <v>437</v>
      </c>
      <c r="J258" s="33" t="s">
        <v>292</v>
      </c>
      <c r="K258" s="33" t="s">
        <v>319</v>
      </c>
      <c r="L258" s="49" t="s">
        <v>294</v>
      </c>
      <c r="M258" s="50" t="str">
        <f>Tabla16[[#This Row],[ABR_02]]</f>
        <v>RN</v>
      </c>
      <c r="N258" t="s">
        <v>295</v>
      </c>
      <c r="O258" s="51" t="s">
        <v>309</v>
      </c>
      <c r="P258" t="s">
        <v>625</v>
      </c>
      <c r="Q258" t="s">
        <v>295</v>
      </c>
      <c r="R258" s="52" t="str">
        <f>_xlfn.CONCAT(Tabla16[[#This Row],[ABR_01]],"00",Tabla16[[#This Row],[ABR_02]],Tabla16[[#This Row],[ZONA2]],,"0",Tabla16[[#This Row],[PARADA2]])</f>
        <v>AR00RN1005</v>
      </c>
      <c r="S258" s="52" t="s">
        <v>555</v>
      </c>
      <c r="T258" s="34" t="s">
        <v>299</v>
      </c>
      <c r="U258" s="45" t="s">
        <v>299</v>
      </c>
      <c r="V258" t="s">
        <v>805</v>
      </c>
    </row>
    <row r="259" spans="1:22" x14ac:dyDescent="0.25">
      <c r="A259" s="48" t="s">
        <v>300</v>
      </c>
      <c r="B259" s="30" t="s">
        <v>442</v>
      </c>
      <c r="C259" s="36" t="s">
        <v>113</v>
      </c>
      <c r="D259" s="31" t="s">
        <v>436</v>
      </c>
      <c r="E259" s="9" t="s">
        <v>20</v>
      </c>
      <c r="F259" s="5">
        <v>294</v>
      </c>
      <c r="G259" s="9">
        <v>925</v>
      </c>
      <c r="H259" s="32" t="s">
        <v>290</v>
      </c>
      <c r="I259" s="32" t="s">
        <v>437</v>
      </c>
      <c r="J259" s="33" t="s">
        <v>292</v>
      </c>
      <c r="K259" s="33" t="s">
        <v>320</v>
      </c>
      <c r="L259" s="49" t="s">
        <v>294</v>
      </c>
      <c r="M259" s="50" t="str">
        <f>Tabla16[[#This Row],[ABR_02]]</f>
        <v>RN</v>
      </c>
      <c r="N259" t="s">
        <v>295</v>
      </c>
      <c r="O259" s="51" t="s">
        <v>309</v>
      </c>
      <c r="P259" t="s">
        <v>625</v>
      </c>
      <c r="Q259" t="s">
        <v>295</v>
      </c>
      <c r="R259" s="52" t="str">
        <f>_xlfn.CONCAT(Tabla16[[#This Row],[ABR_01]],"00",Tabla16[[#This Row],[ABR_02]],Tabla16[[#This Row],[ZONA2]],,"0",Tabla16[[#This Row],[PARADA2]])</f>
        <v>AR00RN1006</v>
      </c>
      <c r="S259" s="52" t="s">
        <v>555</v>
      </c>
      <c r="T259" s="34" t="s">
        <v>299</v>
      </c>
      <c r="U259" s="45" t="s">
        <v>299</v>
      </c>
      <c r="V259" t="s">
        <v>805</v>
      </c>
    </row>
    <row r="260" spans="1:22" x14ac:dyDescent="0.25">
      <c r="A260" s="48" t="s">
        <v>300</v>
      </c>
      <c r="B260" s="30" t="s">
        <v>443</v>
      </c>
      <c r="C260" s="36" t="s">
        <v>144</v>
      </c>
      <c r="D260" s="31" t="s">
        <v>436</v>
      </c>
      <c r="E260" s="9" t="s">
        <v>20</v>
      </c>
      <c r="F260" s="5">
        <v>294</v>
      </c>
      <c r="G260" s="9">
        <v>935</v>
      </c>
      <c r="H260" s="32" t="s">
        <v>290</v>
      </c>
      <c r="I260" s="32" t="s">
        <v>437</v>
      </c>
      <c r="J260" s="33" t="s">
        <v>292</v>
      </c>
      <c r="K260" s="33" t="s">
        <v>322</v>
      </c>
      <c r="L260" s="49" t="s">
        <v>294</v>
      </c>
      <c r="M260" s="50" t="str">
        <f>Tabla16[[#This Row],[ABR_02]]</f>
        <v>RN</v>
      </c>
      <c r="N260" t="s">
        <v>295</v>
      </c>
      <c r="O260" s="51" t="s">
        <v>309</v>
      </c>
      <c r="P260" t="s">
        <v>625</v>
      </c>
      <c r="Q260" t="s">
        <v>295</v>
      </c>
      <c r="R260" s="52" t="str">
        <f>_xlfn.CONCAT(Tabla16[[#This Row],[ABR_01]],"00",Tabla16[[#This Row],[ABR_02]],Tabla16[[#This Row],[ZONA2]],,"0",Tabla16[[#This Row],[PARADA2]])</f>
        <v>AR00RN1007</v>
      </c>
      <c r="S260" s="52" t="s">
        <v>555</v>
      </c>
      <c r="T260" s="34" t="s">
        <v>299</v>
      </c>
      <c r="U260" s="45" t="s">
        <v>299</v>
      </c>
      <c r="V260" t="s">
        <v>805</v>
      </c>
    </row>
    <row r="261" spans="1:22" x14ac:dyDescent="0.25">
      <c r="A261" s="48" t="s">
        <v>300</v>
      </c>
      <c r="B261" s="30" t="s">
        <v>150</v>
      </c>
      <c r="C261" s="3" t="s">
        <v>150</v>
      </c>
      <c r="D261" s="31" t="s">
        <v>436</v>
      </c>
      <c r="E261" s="9" t="s">
        <v>20</v>
      </c>
      <c r="F261" s="5">
        <v>294</v>
      </c>
      <c r="G261" s="9">
        <v>912</v>
      </c>
      <c r="H261" s="32" t="s">
        <v>290</v>
      </c>
      <c r="I261" s="32" t="s">
        <v>437</v>
      </c>
      <c r="J261" s="33" t="s">
        <v>292</v>
      </c>
      <c r="K261" s="33" t="s">
        <v>324</v>
      </c>
      <c r="L261" s="49" t="s">
        <v>294</v>
      </c>
      <c r="M261" s="50" t="str">
        <f>Tabla16[[#This Row],[ABR_02]]</f>
        <v>RN</v>
      </c>
      <c r="N261" t="s">
        <v>295</v>
      </c>
      <c r="O261" s="51" t="s">
        <v>309</v>
      </c>
      <c r="P261" t="s">
        <v>625</v>
      </c>
      <c r="Q261" t="s">
        <v>295</v>
      </c>
      <c r="R261" s="52" t="str">
        <f>_xlfn.CONCAT(Tabla16[[#This Row],[ABR_01]],"00",Tabla16[[#This Row],[ABR_02]],Tabla16[[#This Row],[ZONA2]],,"0",Tabla16[[#This Row],[PARADA2]])</f>
        <v>AR00RN1008</v>
      </c>
      <c r="S261" s="52" t="s">
        <v>555</v>
      </c>
      <c r="T261" s="34" t="s">
        <v>299</v>
      </c>
      <c r="U261" s="45" t="s">
        <v>299</v>
      </c>
      <c r="V261" t="s">
        <v>805</v>
      </c>
    </row>
    <row r="262" spans="1:22" x14ac:dyDescent="0.25">
      <c r="A262" s="48" t="s">
        <v>300</v>
      </c>
      <c r="B262" s="30" t="s">
        <v>429</v>
      </c>
      <c r="C262" s="36" t="s">
        <v>430</v>
      </c>
      <c r="D262" s="31" t="s">
        <v>431</v>
      </c>
      <c r="E262" s="9" t="s">
        <v>31</v>
      </c>
      <c r="F262" s="5">
        <v>352</v>
      </c>
      <c r="G262" s="9">
        <v>411</v>
      </c>
      <c r="H262" s="32" t="s">
        <v>290</v>
      </c>
      <c r="I262" s="32" t="s">
        <v>432</v>
      </c>
      <c r="J262" s="33" t="s">
        <v>292</v>
      </c>
      <c r="K262" s="33" t="s">
        <v>293</v>
      </c>
      <c r="L262" s="49" t="s">
        <v>294</v>
      </c>
      <c r="M262" s="50" t="str">
        <f>Tabla16[[#This Row],[ABR_02]]</f>
        <v>SA</v>
      </c>
      <c r="N262" t="s">
        <v>295</v>
      </c>
      <c r="O262" s="51" t="s">
        <v>293</v>
      </c>
      <c r="P262" t="s">
        <v>296</v>
      </c>
      <c r="Q262" t="s">
        <v>303</v>
      </c>
      <c r="R262" s="52" t="str">
        <f>_xlfn.CONCAT(Tabla16[[#This Row],[ABR_01]],"00",Tabla16[[#This Row],[ABR_02]],Tabla16[[#This Row],[ZONA2]],,"0",Tabla16[[#This Row],[PARADA2]])</f>
        <v>AR00SA1001</v>
      </c>
      <c r="S262" s="52" t="s">
        <v>304</v>
      </c>
      <c r="T262" s="34" t="s">
        <v>299</v>
      </c>
      <c r="U262" s="34" t="s">
        <v>299</v>
      </c>
      <c r="V262" t="s">
        <v>804</v>
      </c>
    </row>
    <row r="263" spans="1:22" x14ac:dyDescent="0.25">
      <c r="A263" s="48" t="s">
        <v>300</v>
      </c>
      <c r="B263" s="30" t="s">
        <v>433</v>
      </c>
      <c r="C263" s="3" t="s">
        <v>433</v>
      </c>
      <c r="D263" s="31" t="s">
        <v>431</v>
      </c>
      <c r="E263" s="9" t="s">
        <v>31</v>
      </c>
      <c r="F263" s="5">
        <v>352</v>
      </c>
      <c r="G263" s="9">
        <v>455</v>
      </c>
      <c r="H263" s="32" t="s">
        <v>290</v>
      </c>
      <c r="I263" s="32" t="s">
        <v>432</v>
      </c>
      <c r="J263" s="33" t="s">
        <v>292</v>
      </c>
      <c r="K263" s="33" t="s">
        <v>306</v>
      </c>
      <c r="L263" s="49" t="s">
        <v>294</v>
      </c>
      <c r="M263" s="50" t="str">
        <f>Tabla16[[#This Row],[ABR_02]]</f>
        <v>SA</v>
      </c>
      <c r="N263" t="s">
        <v>295</v>
      </c>
      <c r="O263" s="51" t="s">
        <v>293</v>
      </c>
      <c r="P263" t="s">
        <v>296</v>
      </c>
      <c r="Q263" t="s">
        <v>303</v>
      </c>
      <c r="R263" s="52" t="str">
        <f>_xlfn.CONCAT(Tabla16[[#This Row],[ABR_01]],"00",Tabla16[[#This Row],[ABR_02]],Tabla16[[#This Row],[ZONA2]],,"0",Tabla16[[#This Row],[PARADA2]])</f>
        <v>AR00SA1002</v>
      </c>
      <c r="S263" s="52" t="s">
        <v>304</v>
      </c>
      <c r="T263" s="34" t="s">
        <v>299</v>
      </c>
      <c r="U263" s="34" t="s">
        <v>299</v>
      </c>
      <c r="V263" t="s">
        <v>804</v>
      </c>
    </row>
    <row r="264" spans="1:22" x14ac:dyDescent="0.25">
      <c r="A264" s="48" t="s">
        <v>300</v>
      </c>
      <c r="B264" s="30" t="s">
        <v>434</v>
      </c>
      <c r="C264" s="36" t="s">
        <v>111</v>
      </c>
      <c r="D264" s="31" t="s">
        <v>431</v>
      </c>
      <c r="E264" s="9" t="s">
        <v>31</v>
      </c>
      <c r="F264" s="5">
        <v>352</v>
      </c>
      <c r="G264" s="9">
        <v>440</v>
      </c>
      <c r="H264" s="32" t="s">
        <v>290</v>
      </c>
      <c r="I264" s="32" t="s">
        <v>432</v>
      </c>
      <c r="J264" s="33" t="s">
        <v>292</v>
      </c>
      <c r="K264" s="33" t="s">
        <v>307</v>
      </c>
      <c r="L264" s="49" t="s">
        <v>294</v>
      </c>
      <c r="M264" s="50" t="str">
        <f>Tabla16[[#This Row],[ABR_02]]</f>
        <v>SA</v>
      </c>
      <c r="N264" t="s">
        <v>295</v>
      </c>
      <c r="O264" s="51" t="s">
        <v>293</v>
      </c>
      <c r="P264" t="s">
        <v>296</v>
      </c>
      <c r="Q264" t="s">
        <v>303</v>
      </c>
      <c r="R264" s="52" t="str">
        <f>_xlfn.CONCAT(Tabla16[[#This Row],[ABR_01]],"00",Tabla16[[#This Row],[ABR_02]],Tabla16[[#This Row],[ZONA2]],,"0",Tabla16[[#This Row],[PARADA2]])</f>
        <v>AR00SA1003</v>
      </c>
      <c r="S264" s="52" t="s">
        <v>304</v>
      </c>
      <c r="T264" s="34" t="s">
        <v>299</v>
      </c>
      <c r="U264" s="34" t="s">
        <v>299</v>
      </c>
      <c r="V264" t="s">
        <v>804</v>
      </c>
    </row>
    <row r="265" spans="1:22" x14ac:dyDescent="0.25">
      <c r="A265" s="48" t="s">
        <v>300</v>
      </c>
      <c r="B265" s="30" t="s">
        <v>429</v>
      </c>
      <c r="C265" s="36" t="s">
        <v>430</v>
      </c>
      <c r="D265" s="31" t="s">
        <v>431</v>
      </c>
      <c r="E265" s="9" t="s">
        <v>31</v>
      </c>
      <c r="F265" s="5">
        <v>352</v>
      </c>
      <c r="G265" s="9">
        <v>411</v>
      </c>
      <c r="H265" s="32" t="s">
        <v>290</v>
      </c>
      <c r="I265" s="32" t="s">
        <v>432</v>
      </c>
      <c r="J265" s="33" t="s">
        <v>292</v>
      </c>
      <c r="K265" s="33" t="s">
        <v>293</v>
      </c>
      <c r="L265" s="49" t="s">
        <v>294</v>
      </c>
      <c r="M265" s="50" t="str">
        <f>Tabla16[[#This Row],[ABR_02]]</f>
        <v>SA</v>
      </c>
      <c r="N265" t="s">
        <v>295</v>
      </c>
      <c r="O265" s="51" t="s">
        <v>309</v>
      </c>
      <c r="P265" t="s">
        <v>625</v>
      </c>
      <c r="Q265" t="s">
        <v>626</v>
      </c>
      <c r="R265" s="52" t="str">
        <f>_xlfn.CONCAT(Tabla16[[#This Row],[ABR_01]],"00",Tabla16[[#This Row],[ABR_02]],Tabla16[[#This Row],[ZONA2]],,"0",Tabla16[[#This Row],[PARADA2]])</f>
        <v>AR00SA1001</v>
      </c>
      <c r="S265" s="52" t="s">
        <v>627</v>
      </c>
      <c r="T265" s="34" t="s">
        <v>299</v>
      </c>
      <c r="U265" s="45" t="s">
        <v>299</v>
      </c>
      <c r="V265" t="s">
        <v>805</v>
      </c>
    </row>
    <row r="266" spans="1:22" x14ac:dyDescent="0.25">
      <c r="A266" s="48" t="s">
        <v>300</v>
      </c>
      <c r="B266" s="30" t="s">
        <v>433</v>
      </c>
      <c r="C266" s="3" t="s">
        <v>433</v>
      </c>
      <c r="D266" s="31" t="s">
        <v>431</v>
      </c>
      <c r="E266" s="9" t="s">
        <v>31</v>
      </c>
      <c r="F266" s="5">
        <v>352</v>
      </c>
      <c r="G266" s="9">
        <v>455</v>
      </c>
      <c r="H266" s="32" t="s">
        <v>290</v>
      </c>
      <c r="I266" s="32" t="s">
        <v>432</v>
      </c>
      <c r="J266" s="33" t="s">
        <v>292</v>
      </c>
      <c r="K266" s="33" t="s">
        <v>306</v>
      </c>
      <c r="L266" s="49" t="s">
        <v>294</v>
      </c>
      <c r="M266" s="50" t="str">
        <f>Tabla16[[#This Row],[ABR_02]]</f>
        <v>SA</v>
      </c>
      <c r="N266" t="s">
        <v>295</v>
      </c>
      <c r="O266" s="51" t="s">
        <v>309</v>
      </c>
      <c r="P266" t="s">
        <v>625</v>
      </c>
      <c r="Q266" t="s">
        <v>626</v>
      </c>
      <c r="R266" s="52" t="str">
        <f>_xlfn.CONCAT(Tabla16[[#This Row],[ABR_01]],"00",Tabla16[[#This Row],[ABR_02]],Tabla16[[#This Row],[ZONA2]],,"0",Tabla16[[#This Row],[PARADA2]])</f>
        <v>AR00SA1002</v>
      </c>
      <c r="S266" s="52" t="s">
        <v>627</v>
      </c>
      <c r="T266" s="34" t="s">
        <v>299</v>
      </c>
      <c r="U266" s="45" t="s">
        <v>299</v>
      </c>
      <c r="V266" t="s">
        <v>805</v>
      </c>
    </row>
    <row r="267" spans="1:22" x14ac:dyDescent="0.25">
      <c r="A267" s="48" t="s">
        <v>300</v>
      </c>
      <c r="B267" s="30" t="s">
        <v>434</v>
      </c>
      <c r="C267" s="36" t="s">
        <v>111</v>
      </c>
      <c r="D267" s="31" t="s">
        <v>431</v>
      </c>
      <c r="E267" s="9" t="s">
        <v>31</v>
      </c>
      <c r="F267" s="5">
        <v>352</v>
      </c>
      <c r="G267" s="9">
        <v>440</v>
      </c>
      <c r="H267" s="32" t="s">
        <v>290</v>
      </c>
      <c r="I267" s="32" t="s">
        <v>432</v>
      </c>
      <c r="J267" s="33" t="s">
        <v>292</v>
      </c>
      <c r="K267" s="33" t="s">
        <v>307</v>
      </c>
      <c r="L267" s="49" t="s">
        <v>294</v>
      </c>
      <c r="M267" s="50" t="str">
        <f>Tabla16[[#This Row],[ABR_02]]</f>
        <v>SA</v>
      </c>
      <c r="N267" t="s">
        <v>295</v>
      </c>
      <c r="O267" s="51" t="s">
        <v>309</v>
      </c>
      <c r="P267" t="s">
        <v>625</v>
      </c>
      <c r="Q267" t="s">
        <v>626</v>
      </c>
      <c r="R267" s="52" t="str">
        <f>_xlfn.CONCAT(Tabla16[[#This Row],[ABR_01]],"00",Tabla16[[#This Row],[ABR_02]],Tabla16[[#This Row],[ZONA2]],,"0",Tabla16[[#This Row],[PARADA2]])</f>
        <v>AR00SA1003</v>
      </c>
      <c r="S267" s="52" t="s">
        <v>627</v>
      </c>
      <c r="T267" s="34" t="s">
        <v>299</v>
      </c>
      <c r="U267" s="45" t="s">
        <v>299</v>
      </c>
      <c r="V267" t="s">
        <v>805</v>
      </c>
    </row>
    <row r="268" spans="1:22" x14ac:dyDescent="0.25">
      <c r="A268" s="48" t="s">
        <v>300</v>
      </c>
      <c r="B268" s="30" t="s">
        <v>424</v>
      </c>
      <c r="C268" s="36" t="s">
        <v>117</v>
      </c>
      <c r="D268" s="31" t="s">
        <v>425</v>
      </c>
      <c r="E268" s="9" t="s">
        <v>73</v>
      </c>
      <c r="F268" s="5">
        <v>264</v>
      </c>
      <c r="G268" s="9">
        <v>500</v>
      </c>
      <c r="H268" s="32" t="s">
        <v>290</v>
      </c>
      <c r="I268" s="32" t="s">
        <v>426</v>
      </c>
      <c r="J268" s="33" t="s">
        <v>292</v>
      </c>
      <c r="K268" s="33" t="s">
        <v>293</v>
      </c>
      <c r="L268" s="49" t="s">
        <v>294</v>
      </c>
      <c r="M268" s="50" t="str">
        <f>Tabla16[[#This Row],[ABR_02]]</f>
        <v>SJ</v>
      </c>
      <c r="N268" t="s">
        <v>295</v>
      </c>
      <c r="O268" s="51" t="s">
        <v>293</v>
      </c>
      <c r="P268" t="s">
        <v>296</v>
      </c>
      <c r="Q268" t="s">
        <v>303</v>
      </c>
      <c r="R268" s="52" t="str">
        <f>_xlfn.CONCAT(Tabla16[[#This Row],[ABR_01]],"00",Tabla16[[#This Row],[ABR_02]],Tabla16[[#This Row],[ZONA2]],,"0",Tabla16[[#This Row],[PARADA2]])</f>
        <v>AR00SJ1001</v>
      </c>
      <c r="S268" s="52" t="s">
        <v>304</v>
      </c>
      <c r="T268" s="34" t="s">
        <v>299</v>
      </c>
      <c r="U268" s="34" t="s">
        <v>299</v>
      </c>
      <c r="V268" t="s">
        <v>804</v>
      </c>
    </row>
    <row r="269" spans="1:22" x14ac:dyDescent="0.25">
      <c r="A269" s="48" t="s">
        <v>300</v>
      </c>
      <c r="B269" s="30" t="s">
        <v>427</v>
      </c>
      <c r="C269" s="36" t="s">
        <v>216</v>
      </c>
      <c r="D269" s="31" t="s">
        <v>425</v>
      </c>
      <c r="E269" s="9" t="s">
        <v>73</v>
      </c>
      <c r="F269" s="5">
        <v>264</v>
      </c>
      <c r="G269" s="9">
        <v>505</v>
      </c>
      <c r="H269" s="32" t="s">
        <v>290</v>
      </c>
      <c r="I269" s="32" t="s">
        <v>426</v>
      </c>
      <c r="J269" s="33" t="s">
        <v>292</v>
      </c>
      <c r="K269" s="33" t="s">
        <v>306</v>
      </c>
      <c r="L269" s="49" t="s">
        <v>294</v>
      </c>
      <c r="M269" s="50" t="str">
        <f>Tabla16[[#This Row],[ABR_02]]</f>
        <v>SJ</v>
      </c>
      <c r="N269" t="s">
        <v>295</v>
      </c>
      <c r="O269" s="51" t="s">
        <v>293</v>
      </c>
      <c r="P269" t="s">
        <v>296</v>
      </c>
      <c r="Q269" t="s">
        <v>303</v>
      </c>
      <c r="R269" s="52" t="str">
        <f>_xlfn.CONCAT(Tabla16[[#This Row],[ABR_01]],"00",Tabla16[[#This Row],[ABR_02]],Tabla16[[#This Row],[ZONA2]],,"0",Tabla16[[#This Row],[PARADA2]])</f>
        <v>AR00SJ1002</v>
      </c>
      <c r="S269" s="52" t="s">
        <v>304</v>
      </c>
      <c r="T269" s="34" t="s">
        <v>299</v>
      </c>
      <c r="U269" s="34" t="s">
        <v>299</v>
      </c>
      <c r="V269" t="s">
        <v>804</v>
      </c>
    </row>
    <row r="270" spans="1:22" x14ac:dyDescent="0.25">
      <c r="A270" s="48" t="s">
        <v>300</v>
      </c>
      <c r="B270" s="30" t="s">
        <v>428</v>
      </c>
      <c r="C270" s="3" t="s">
        <v>428</v>
      </c>
      <c r="D270" s="31" t="s">
        <v>425</v>
      </c>
      <c r="E270" s="9" t="s">
        <v>73</v>
      </c>
      <c r="F270" s="5">
        <v>264</v>
      </c>
      <c r="G270" s="9">
        <v>510</v>
      </c>
      <c r="H270" s="32" t="s">
        <v>290</v>
      </c>
      <c r="I270" s="32" t="s">
        <v>426</v>
      </c>
      <c r="J270" s="33" t="s">
        <v>292</v>
      </c>
      <c r="K270" s="33" t="s">
        <v>307</v>
      </c>
      <c r="L270" s="49" t="s">
        <v>294</v>
      </c>
      <c r="M270" s="50" t="str">
        <f>Tabla16[[#This Row],[ABR_02]]</f>
        <v>SJ</v>
      </c>
      <c r="N270" t="s">
        <v>295</v>
      </c>
      <c r="O270" s="51" t="s">
        <v>293</v>
      </c>
      <c r="P270" t="s">
        <v>296</v>
      </c>
      <c r="Q270" t="s">
        <v>303</v>
      </c>
      <c r="R270" s="52" t="str">
        <f>_xlfn.CONCAT(Tabla16[[#This Row],[ABR_01]],"00",Tabla16[[#This Row],[ABR_02]],Tabla16[[#This Row],[ZONA2]],,"0",Tabla16[[#This Row],[PARADA2]])</f>
        <v>AR00SJ1003</v>
      </c>
      <c r="S270" s="52" t="s">
        <v>304</v>
      </c>
      <c r="T270" s="34" t="s">
        <v>299</v>
      </c>
      <c r="U270" s="34" t="s">
        <v>299</v>
      </c>
      <c r="V270" t="s">
        <v>804</v>
      </c>
    </row>
    <row r="271" spans="1:22" x14ac:dyDescent="0.25">
      <c r="A271" s="48" t="s">
        <v>300</v>
      </c>
      <c r="B271" s="30" t="s">
        <v>424</v>
      </c>
      <c r="C271" s="36" t="s">
        <v>117</v>
      </c>
      <c r="D271" s="31" t="s">
        <v>425</v>
      </c>
      <c r="E271" s="9" t="s">
        <v>73</v>
      </c>
      <c r="F271" s="5">
        <v>264</v>
      </c>
      <c r="G271" s="9">
        <v>500</v>
      </c>
      <c r="H271" s="32" t="s">
        <v>290</v>
      </c>
      <c r="I271" s="32" t="s">
        <v>426</v>
      </c>
      <c r="J271" s="33" t="s">
        <v>292</v>
      </c>
      <c r="K271" s="33" t="s">
        <v>293</v>
      </c>
      <c r="L271" s="49" t="s">
        <v>294</v>
      </c>
      <c r="M271" s="50" t="str">
        <f>Tabla16[[#This Row],[ABR_02]]</f>
        <v>SJ</v>
      </c>
      <c r="N271" t="s">
        <v>295</v>
      </c>
      <c r="O271" s="51" t="s">
        <v>309</v>
      </c>
      <c r="P271" t="s">
        <v>625</v>
      </c>
      <c r="Q271" t="s">
        <v>626</v>
      </c>
      <c r="R271" s="52" t="str">
        <f>_xlfn.CONCAT(Tabla16[[#This Row],[ABR_01]],"00",Tabla16[[#This Row],[ABR_02]],Tabla16[[#This Row],[ZONA2]],,"0",Tabla16[[#This Row],[PARADA2]])</f>
        <v>AR00SJ1001</v>
      </c>
      <c r="S271" s="52" t="s">
        <v>627</v>
      </c>
      <c r="T271" s="34" t="s">
        <v>299</v>
      </c>
      <c r="U271" s="45" t="s">
        <v>299</v>
      </c>
      <c r="V271" t="s">
        <v>805</v>
      </c>
    </row>
    <row r="272" spans="1:22" x14ac:dyDescent="0.25">
      <c r="A272" s="48" t="s">
        <v>300</v>
      </c>
      <c r="B272" s="30" t="s">
        <v>427</v>
      </c>
      <c r="C272" s="36" t="s">
        <v>216</v>
      </c>
      <c r="D272" s="31" t="s">
        <v>425</v>
      </c>
      <c r="E272" s="9" t="s">
        <v>73</v>
      </c>
      <c r="F272" s="5">
        <v>264</v>
      </c>
      <c r="G272" s="9">
        <v>505</v>
      </c>
      <c r="H272" s="32" t="s">
        <v>290</v>
      </c>
      <c r="I272" s="32" t="s">
        <v>426</v>
      </c>
      <c r="J272" s="33" t="s">
        <v>292</v>
      </c>
      <c r="K272" s="33" t="s">
        <v>306</v>
      </c>
      <c r="L272" s="49" t="s">
        <v>294</v>
      </c>
      <c r="M272" s="50" t="str">
        <f>Tabla16[[#This Row],[ABR_02]]</f>
        <v>SJ</v>
      </c>
      <c r="N272" t="s">
        <v>295</v>
      </c>
      <c r="O272" s="51" t="s">
        <v>309</v>
      </c>
      <c r="P272" t="s">
        <v>625</v>
      </c>
      <c r="Q272" t="s">
        <v>626</v>
      </c>
      <c r="R272" s="52" t="str">
        <f>_xlfn.CONCAT(Tabla16[[#This Row],[ABR_01]],"00",Tabla16[[#This Row],[ABR_02]],Tabla16[[#This Row],[ZONA2]],,"0",Tabla16[[#This Row],[PARADA2]])</f>
        <v>AR00SJ1002</v>
      </c>
      <c r="S272" s="52" t="s">
        <v>627</v>
      </c>
      <c r="T272" s="34" t="s">
        <v>299</v>
      </c>
      <c r="U272" s="45" t="s">
        <v>299</v>
      </c>
      <c r="V272" t="s">
        <v>805</v>
      </c>
    </row>
    <row r="273" spans="1:22" x14ac:dyDescent="0.25">
      <c r="A273" s="48" t="s">
        <v>300</v>
      </c>
      <c r="B273" s="30" t="s">
        <v>428</v>
      </c>
      <c r="C273" s="3" t="s">
        <v>428</v>
      </c>
      <c r="D273" s="31" t="s">
        <v>425</v>
      </c>
      <c r="E273" s="9" t="s">
        <v>73</v>
      </c>
      <c r="F273" s="5">
        <v>264</v>
      </c>
      <c r="G273" s="9">
        <v>510</v>
      </c>
      <c r="H273" s="32" t="s">
        <v>290</v>
      </c>
      <c r="I273" s="32" t="s">
        <v>426</v>
      </c>
      <c r="J273" s="33" t="s">
        <v>292</v>
      </c>
      <c r="K273" s="33" t="s">
        <v>307</v>
      </c>
      <c r="L273" s="49" t="s">
        <v>294</v>
      </c>
      <c r="M273" s="50" t="str">
        <f>Tabla16[[#This Row],[ABR_02]]</f>
        <v>SJ</v>
      </c>
      <c r="N273" t="s">
        <v>295</v>
      </c>
      <c r="O273" s="51" t="s">
        <v>309</v>
      </c>
      <c r="P273" t="s">
        <v>625</v>
      </c>
      <c r="Q273" t="s">
        <v>626</v>
      </c>
      <c r="R273" s="52" t="str">
        <f>_xlfn.CONCAT(Tabla16[[#This Row],[ABR_01]],"00",Tabla16[[#This Row],[ABR_02]],Tabla16[[#This Row],[ZONA2]],,"0",Tabla16[[#This Row],[PARADA2]])</f>
        <v>AR00SJ1003</v>
      </c>
      <c r="S273" s="52" t="s">
        <v>627</v>
      </c>
      <c r="T273" s="34" t="s">
        <v>299</v>
      </c>
      <c r="U273" s="45" t="s">
        <v>299</v>
      </c>
      <c r="V273" t="s">
        <v>805</v>
      </c>
    </row>
    <row r="274" spans="1:22" x14ac:dyDescent="0.25">
      <c r="A274" s="48" t="s">
        <v>300</v>
      </c>
      <c r="B274" s="30" t="s">
        <v>420</v>
      </c>
      <c r="C274" s="36" t="s">
        <v>119</v>
      </c>
      <c r="D274" s="31" t="s">
        <v>421</v>
      </c>
      <c r="E274" s="9" t="s">
        <v>73</v>
      </c>
      <c r="F274" s="5">
        <v>265</v>
      </c>
      <c r="G274" s="9">
        <v>565</v>
      </c>
      <c r="H274" s="32" t="s">
        <v>290</v>
      </c>
      <c r="I274" s="32" t="s">
        <v>422</v>
      </c>
      <c r="J274" s="33" t="s">
        <v>292</v>
      </c>
      <c r="K274" s="33" t="s">
        <v>293</v>
      </c>
      <c r="L274" s="49" t="s">
        <v>294</v>
      </c>
      <c r="M274" s="50" t="str">
        <f>Tabla16[[#This Row],[ABR_02]]</f>
        <v>SL</v>
      </c>
      <c r="N274" t="s">
        <v>295</v>
      </c>
      <c r="O274" s="51" t="s">
        <v>293</v>
      </c>
      <c r="P274" t="s">
        <v>296</v>
      </c>
      <c r="Q274" t="s">
        <v>303</v>
      </c>
      <c r="R274" s="52" t="str">
        <f>_xlfn.CONCAT(Tabla16[[#This Row],[ABR_01]],"00",Tabla16[[#This Row],[ABR_02]],Tabla16[[#This Row],[ZONA2]],,"0",Tabla16[[#This Row],[PARADA2]])</f>
        <v>AR00SL1001</v>
      </c>
      <c r="S274" s="52" t="s">
        <v>304</v>
      </c>
      <c r="T274" s="34" t="s">
        <v>299</v>
      </c>
      <c r="U274" s="34" t="s">
        <v>299</v>
      </c>
      <c r="V274" t="s">
        <v>804</v>
      </c>
    </row>
    <row r="275" spans="1:22" x14ac:dyDescent="0.25">
      <c r="A275" s="48" t="s">
        <v>300</v>
      </c>
      <c r="B275" s="30" t="s">
        <v>423</v>
      </c>
      <c r="C275" s="36" t="s">
        <v>148</v>
      </c>
      <c r="D275" s="31" t="s">
        <v>421</v>
      </c>
      <c r="E275" s="9" t="s">
        <v>73</v>
      </c>
      <c r="F275" s="5">
        <v>265</v>
      </c>
      <c r="G275" s="9">
        <v>570</v>
      </c>
      <c r="H275" s="32" t="s">
        <v>290</v>
      </c>
      <c r="I275" s="32" t="s">
        <v>422</v>
      </c>
      <c r="J275" s="33" t="s">
        <v>292</v>
      </c>
      <c r="K275" s="33" t="s">
        <v>306</v>
      </c>
      <c r="L275" s="49" t="s">
        <v>294</v>
      </c>
      <c r="M275" s="50" t="str">
        <f>Tabla16[[#This Row],[ABR_02]]</f>
        <v>SL</v>
      </c>
      <c r="N275" t="s">
        <v>295</v>
      </c>
      <c r="O275" s="51" t="s">
        <v>293</v>
      </c>
      <c r="P275" t="s">
        <v>296</v>
      </c>
      <c r="Q275" t="s">
        <v>303</v>
      </c>
      <c r="R275" s="52" t="str">
        <f>_xlfn.CONCAT(Tabla16[[#This Row],[ABR_01]],"00",Tabla16[[#This Row],[ABR_02]],Tabla16[[#This Row],[ZONA2]],,"0",Tabla16[[#This Row],[PARADA2]])</f>
        <v>AR00SL1002</v>
      </c>
      <c r="S275" s="52" t="s">
        <v>304</v>
      </c>
      <c r="T275" s="34" t="s">
        <v>299</v>
      </c>
      <c r="U275" s="34" t="s">
        <v>299</v>
      </c>
      <c r="V275" t="s">
        <v>804</v>
      </c>
    </row>
    <row r="276" spans="1:22" x14ac:dyDescent="0.25">
      <c r="A276" s="48" t="s">
        <v>300</v>
      </c>
      <c r="B276" s="30" t="s">
        <v>420</v>
      </c>
      <c r="C276" s="36" t="s">
        <v>119</v>
      </c>
      <c r="D276" s="31" t="s">
        <v>421</v>
      </c>
      <c r="E276" s="9" t="s">
        <v>73</v>
      </c>
      <c r="F276" s="5">
        <v>265</v>
      </c>
      <c r="G276" s="9">
        <v>565</v>
      </c>
      <c r="H276" s="32" t="s">
        <v>290</v>
      </c>
      <c r="I276" s="32" t="s">
        <v>422</v>
      </c>
      <c r="J276" s="33" t="s">
        <v>292</v>
      </c>
      <c r="K276" s="33" t="s">
        <v>293</v>
      </c>
      <c r="L276" s="49" t="s">
        <v>294</v>
      </c>
      <c r="M276" s="50" t="str">
        <f>Tabla16[[#This Row],[ABR_02]]</f>
        <v>SL</v>
      </c>
      <c r="N276" t="s">
        <v>295</v>
      </c>
      <c r="O276" s="51" t="s">
        <v>309</v>
      </c>
      <c r="P276" t="s">
        <v>625</v>
      </c>
      <c r="Q276" t="s">
        <v>626</v>
      </c>
      <c r="R276" s="52" t="str">
        <f>_xlfn.CONCAT(Tabla16[[#This Row],[ABR_01]],"00",Tabla16[[#This Row],[ABR_02]],Tabla16[[#This Row],[ZONA2]],,"0",Tabla16[[#This Row],[PARADA2]])</f>
        <v>AR00SL1001</v>
      </c>
      <c r="S276" s="52" t="s">
        <v>627</v>
      </c>
      <c r="T276" s="34" t="s">
        <v>299</v>
      </c>
      <c r="U276" s="45" t="s">
        <v>299</v>
      </c>
      <c r="V276" t="s">
        <v>805</v>
      </c>
    </row>
    <row r="277" spans="1:22" x14ac:dyDescent="0.25">
      <c r="A277" s="48" t="s">
        <v>300</v>
      </c>
      <c r="B277" s="30" t="s">
        <v>423</v>
      </c>
      <c r="C277" s="36" t="s">
        <v>148</v>
      </c>
      <c r="D277" s="31" t="s">
        <v>421</v>
      </c>
      <c r="E277" s="9" t="s">
        <v>73</v>
      </c>
      <c r="F277" s="5">
        <v>265</v>
      </c>
      <c r="G277" s="9">
        <v>570</v>
      </c>
      <c r="H277" s="32" t="s">
        <v>290</v>
      </c>
      <c r="I277" s="32" t="s">
        <v>422</v>
      </c>
      <c r="J277" s="33" t="s">
        <v>292</v>
      </c>
      <c r="K277" s="33" t="s">
        <v>306</v>
      </c>
      <c r="L277" s="49" t="s">
        <v>294</v>
      </c>
      <c r="M277" s="50" t="str">
        <f>Tabla16[[#This Row],[ABR_02]]</f>
        <v>SL</v>
      </c>
      <c r="N277" t="s">
        <v>295</v>
      </c>
      <c r="O277" s="51" t="s">
        <v>309</v>
      </c>
      <c r="P277" t="s">
        <v>625</v>
      </c>
      <c r="Q277" t="s">
        <v>626</v>
      </c>
      <c r="R277" s="52" t="str">
        <f>_xlfn.CONCAT(Tabla16[[#This Row],[ABR_01]],"00",Tabla16[[#This Row],[ABR_02]],Tabla16[[#This Row],[ZONA2]],,"0",Tabla16[[#This Row],[PARADA2]])</f>
        <v>AR00SL1002</v>
      </c>
      <c r="S277" s="52" t="s">
        <v>627</v>
      </c>
      <c r="T277" s="34" t="s">
        <v>299</v>
      </c>
      <c r="U277" s="45" t="s">
        <v>299</v>
      </c>
      <c r="V277" t="s">
        <v>805</v>
      </c>
    </row>
    <row r="278" spans="1:22" x14ac:dyDescent="0.25">
      <c r="A278" s="48" t="s">
        <v>300</v>
      </c>
      <c r="B278" s="30" t="s">
        <v>406</v>
      </c>
      <c r="C278" s="36" t="s">
        <v>25</v>
      </c>
      <c r="D278" s="31" t="s">
        <v>407</v>
      </c>
      <c r="E278" s="9" t="s">
        <v>23</v>
      </c>
      <c r="F278" s="5">
        <v>270</v>
      </c>
      <c r="G278" s="9">
        <v>959</v>
      </c>
      <c r="H278" s="32" t="s">
        <v>290</v>
      </c>
      <c r="I278" s="32" t="s">
        <v>408</v>
      </c>
      <c r="J278" s="33" t="s">
        <v>292</v>
      </c>
      <c r="K278" s="33" t="s">
        <v>293</v>
      </c>
      <c r="L278" s="49" t="s">
        <v>294</v>
      </c>
      <c r="M278" s="50" t="str">
        <f>Tabla16[[#This Row],[ABR_02]]</f>
        <v>SC</v>
      </c>
      <c r="N278" t="s">
        <v>295</v>
      </c>
      <c r="O278" s="51" t="s">
        <v>293</v>
      </c>
      <c r="P278" t="s">
        <v>296</v>
      </c>
      <c r="Q278" t="s">
        <v>313</v>
      </c>
      <c r="R278" s="52" t="str">
        <f>_xlfn.CONCAT(Tabla16[[#This Row],[ABR_01]],"00",Tabla16[[#This Row],[ABR_02]],Tabla16[[#This Row],[ZONA2]],,"0",Tabla16[[#This Row],[PARADA2]])</f>
        <v>AR00SC1001</v>
      </c>
      <c r="S278" s="52" t="s">
        <v>314</v>
      </c>
      <c r="T278" s="34" t="s">
        <v>299</v>
      </c>
      <c r="U278" s="34" t="s">
        <v>299</v>
      </c>
      <c r="V278" t="s">
        <v>804</v>
      </c>
    </row>
    <row r="279" spans="1:22" x14ac:dyDescent="0.25">
      <c r="A279" s="48" t="s">
        <v>300</v>
      </c>
      <c r="B279" s="30" t="s">
        <v>409</v>
      </c>
      <c r="C279" s="36" t="s">
        <v>47</v>
      </c>
      <c r="D279" s="31" t="s">
        <v>407</v>
      </c>
      <c r="E279" s="9" t="s">
        <v>23</v>
      </c>
      <c r="F279" s="5">
        <v>270</v>
      </c>
      <c r="G279" s="9">
        <v>970</v>
      </c>
      <c r="H279" s="32" t="s">
        <v>290</v>
      </c>
      <c r="I279" s="32" t="s">
        <v>408</v>
      </c>
      <c r="J279" s="33" t="s">
        <v>292</v>
      </c>
      <c r="K279" s="33" t="s">
        <v>306</v>
      </c>
      <c r="L279" s="49" t="s">
        <v>294</v>
      </c>
      <c r="M279" s="50" t="str">
        <f>Tabla16[[#This Row],[ABR_02]]</f>
        <v>SC</v>
      </c>
      <c r="N279" t="s">
        <v>295</v>
      </c>
      <c r="O279" s="51" t="s">
        <v>293</v>
      </c>
      <c r="P279" t="s">
        <v>296</v>
      </c>
      <c r="Q279" t="s">
        <v>313</v>
      </c>
      <c r="R279" s="52" t="str">
        <f>_xlfn.CONCAT(Tabla16[[#This Row],[ABR_01]],"00",Tabla16[[#This Row],[ABR_02]],Tabla16[[#This Row],[ZONA2]],,"0",Tabla16[[#This Row],[PARADA2]])</f>
        <v>AR00SC1002</v>
      </c>
      <c r="S279" s="52" t="s">
        <v>314</v>
      </c>
      <c r="T279" s="34" t="s">
        <v>299</v>
      </c>
      <c r="U279" s="34" t="s">
        <v>299</v>
      </c>
      <c r="V279" t="s">
        <v>804</v>
      </c>
    </row>
    <row r="280" spans="1:22" x14ac:dyDescent="0.25">
      <c r="A280" s="48" t="s">
        <v>300</v>
      </c>
      <c r="B280" s="30" t="s">
        <v>410</v>
      </c>
      <c r="C280" s="36" t="s">
        <v>51</v>
      </c>
      <c r="D280" s="31" t="s">
        <v>407</v>
      </c>
      <c r="E280" s="9" t="s">
        <v>23</v>
      </c>
      <c r="F280" s="5">
        <v>270</v>
      </c>
      <c r="G280" s="9">
        <v>980</v>
      </c>
      <c r="H280" s="32" t="s">
        <v>290</v>
      </c>
      <c r="I280" s="32" t="s">
        <v>408</v>
      </c>
      <c r="J280" s="33" t="s">
        <v>292</v>
      </c>
      <c r="K280" s="33" t="s">
        <v>307</v>
      </c>
      <c r="L280" s="49" t="s">
        <v>294</v>
      </c>
      <c r="M280" s="50" t="str">
        <f>Tabla16[[#This Row],[ABR_02]]</f>
        <v>SC</v>
      </c>
      <c r="N280" t="s">
        <v>295</v>
      </c>
      <c r="O280" s="51" t="s">
        <v>293</v>
      </c>
      <c r="P280" t="s">
        <v>296</v>
      </c>
      <c r="Q280" t="s">
        <v>313</v>
      </c>
      <c r="R280" s="52" t="str">
        <f>_xlfn.CONCAT(Tabla16[[#This Row],[ABR_01]],"00",Tabla16[[#This Row],[ABR_02]],Tabla16[[#This Row],[ZONA2]],,"0",Tabla16[[#This Row],[PARADA2]])</f>
        <v>AR00SC1003</v>
      </c>
      <c r="S280" s="52" t="s">
        <v>314</v>
      </c>
      <c r="T280" s="34" t="s">
        <v>299</v>
      </c>
      <c r="U280" s="34" t="s">
        <v>299</v>
      </c>
      <c r="V280" t="s">
        <v>804</v>
      </c>
    </row>
    <row r="281" spans="1:22" x14ac:dyDescent="0.25">
      <c r="A281" s="48" t="s">
        <v>300</v>
      </c>
      <c r="B281" s="30" t="s">
        <v>411</v>
      </c>
      <c r="C281" s="36" t="s">
        <v>168</v>
      </c>
      <c r="D281" s="31" t="s">
        <v>407</v>
      </c>
      <c r="E281" s="9" t="s">
        <v>23</v>
      </c>
      <c r="F281" s="5">
        <v>270</v>
      </c>
      <c r="G281" s="9">
        <v>974</v>
      </c>
      <c r="H281" s="32" t="s">
        <v>290</v>
      </c>
      <c r="I281" s="32" t="s">
        <v>408</v>
      </c>
      <c r="J281" s="33" t="s">
        <v>292</v>
      </c>
      <c r="K281" s="33" t="s">
        <v>309</v>
      </c>
      <c r="L281" s="49" t="s">
        <v>294</v>
      </c>
      <c r="M281" s="50" t="str">
        <f>Tabla16[[#This Row],[ABR_02]]</f>
        <v>SC</v>
      </c>
      <c r="N281" t="s">
        <v>295</v>
      </c>
      <c r="O281" s="51" t="s">
        <v>293</v>
      </c>
      <c r="P281" t="s">
        <v>296</v>
      </c>
      <c r="Q281" t="s">
        <v>313</v>
      </c>
      <c r="R281" s="52" t="str">
        <f>_xlfn.CONCAT(Tabla16[[#This Row],[ABR_01]],"00",Tabla16[[#This Row],[ABR_02]],Tabla16[[#This Row],[ZONA2]],,"0",Tabla16[[#This Row],[PARADA2]])</f>
        <v>AR00SC1004</v>
      </c>
      <c r="S281" s="52" t="s">
        <v>314</v>
      </c>
      <c r="T281" s="34" t="s">
        <v>299</v>
      </c>
      <c r="U281" s="34" t="s">
        <v>299</v>
      </c>
      <c r="V281" t="s">
        <v>804</v>
      </c>
    </row>
    <row r="282" spans="1:22" x14ac:dyDescent="0.25">
      <c r="A282" s="48" t="s">
        <v>300</v>
      </c>
      <c r="B282" s="30" t="s">
        <v>412</v>
      </c>
      <c r="C282" s="3" t="s">
        <v>170</v>
      </c>
      <c r="D282" s="31" t="s">
        <v>407</v>
      </c>
      <c r="E282" s="9" t="s">
        <v>23</v>
      </c>
      <c r="F282" s="5">
        <v>270</v>
      </c>
      <c r="G282" s="9">
        <v>958</v>
      </c>
      <c r="H282" s="32" t="s">
        <v>290</v>
      </c>
      <c r="I282" s="32" t="s">
        <v>408</v>
      </c>
      <c r="J282" s="33" t="s">
        <v>292</v>
      </c>
      <c r="K282" s="33" t="s">
        <v>319</v>
      </c>
      <c r="L282" s="49" t="s">
        <v>294</v>
      </c>
      <c r="M282" s="50" t="str">
        <f>Tabla16[[#This Row],[ABR_02]]</f>
        <v>SC</v>
      </c>
      <c r="N282" t="s">
        <v>295</v>
      </c>
      <c r="O282" s="51" t="s">
        <v>293</v>
      </c>
      <c r="P282" t="s">
        <v>296</v>
      </c>
      <c r="Q282" t="s">
        <v>313</v>
      </c>
      <c r="R282" s="52" t="str">
        <f>_xlfn.CONCAT(Tabla16[[#This Row],[ABR_01]],"00",Tabla16[[#This Row],[ABR_02]],Tabla16[[#This Row],[ZONA2]],,"0",Tabla16[[#This Row],[PARADA2]])</f>
        <v>AR00SC1005</v>
      </c>
      <c r="S282" s="52" t="s">
        <v>314</v>
      </c>
      <c r="T282" s="34" t="s">
        <v>299</v>
      </c>
      <c r="U282" s="34" t="s">
        <v>299</v>
      </c>
      <c r="V282" t="s">
        <v>804</v>
      </c>
    </row>
    <row r="283" spans="1:22" x14ac:dyDescent="0.25">
      <c r="A283" s="48" t="s">
        <v>300</v>
      </c>
      <c r="B283" s="30" t="s">
        <v>413</v>
      </c>
      <c r="C283" s="3" t="s">
        <v>413</v>
      </c>
      <c r="D283" s="31" t="s">
        <v>407</v>
      </c>
      <c r="E283" s="9" t="s">
        <v>23</v>
      </c>
      <c r="F283" s="5">
        <v>270</v>
      </c>
      <c r="G283" s="9">
        <v>296</v>
      </c>
      <c r="H283" s="32" t="s">
        <v>290</v>
      </c>
      <c r="I283" s="32" t="s">
        <v>408</v>
      </c>
      <c r="J283" s="33" t="s">
        <v>292</v>
      </c>
      <c r="K283" s="33" t="s">
        <v>320</v>
      </c>
      <c r="L283" s="49" t="s">
        <v>294</v>
      </c>
      <c r="M283" s="50" t="str">
        <f>Tabla16[[#This Row],[ABR_02]]</f>
        <v>SC</v>
      </c>
      <c r="N283" t="s">
        <v>295</v>
      </c>
      <c r="O283" s="51" t="s">
        <v>293</v>
      </c>
      <c r="P283" t="s">
        <v>296</v>
      </c>
      <c r="Q283" t="s">
        <v>313</v>
      </c>
      <c r="R283" s="52" t="str">
        <f>_xlfn.CONCAT(Tabla16[[#This Row],[ABR_01]],"00",Tabla16[[#This Row],[ABR_02]],Tabla16[[#This Row],[ZONA2]],,"0",Tabla16[[#This Row],[PARADA2]])</f>
        <v>AR00SC1006</v>
      </c>
      <c r="S283" s="52" t="s">
        <v>314</v>
      </c>
      <c r="T283" s="34" t="s">
        <v>299</v>
      </c>
      <c r="U283" s="34" t="s">
        <v>299</v>
      </c>
      <c r="V283" t="s">
        <v>804</v>
      </c>
    </row>
    <row r="284" spans="1:22" x14ac:dyDescent="0.25">
      <c r="A284" s="48" t="s">
        <v>300</v>
      </c>
      <c r="B284" s="30" t="s">
        <v>414</v>
      </c>
      <c r="C284" s="3" t="s">
        <v>82</v>
      </c>
      <c r="D284" s="31" t="s">
        <v>407</v>
      </c>
      <c r="E284" s="9" t="s">
        <v>23</v>
      </c>
      <c r="F284" s="5">
        <v>270</v>
      </c>
      <c r="G284" s="9">
        <v>956</v>
      </c>
      <c r="H284" s="32" t="s">
        <v>290</v>
      </c>
      <c r="I284" s="32" t="s">
        <v>408</v>
      </c>
      <c r="J284" s="33" t="s">
        <v>292</v>
      </c>
      <c r="K284" s="33" t="s">
        <v>322</v>
      </c>
      <c r="L284" s="49" t="s">
        <v>294</v>
      </c>
      <c r="M284" s="50" t="str">
        <f>Tabla16[[#This Row],[ABR_02]]</f>
        <v>SC</v>
      </c>
      <c r="N284" t="s">
        <v>295</v>
      </c>
      <c r="O284" s="51" t="s">
        <v>293</v>
      </c>
      <c r="P284" t="s">
        <v>296</v>
      </c>
      <c r="Q284" t="s">
        <v>313</v>
      </c>
      <c r="R284" s="52" t="str">
        <f>_xlfn.CONCAT(Tabla16[[#This Row],[ABR_01]],"00",Tabla16[[#This Row],[ABR_02]],Tabla16[[#This Row],[ZONA2]],,"0",Tabla16[[#This Row],[PARADA2]])</f>
        <v>AR00SC1007</v>
      </c>
      <c r="S284" s="52" t="s">
        <v>314</v>
      </c>
      <c r="T284" s="34" t="s">
        <v>299</v>
      </c>
      <c r="U284" s="34" t="s">
        <v>299</v>
      </c>
      <c r="V284" t="s">
        <v>804</v>
      </c>
    </row>
    <row r="285" spans="1:22" x14ac:dyDescent="0.25">
      <c r="A285" s="48" t="s">
        <v>300</v>
      </c>
      <c r="B285" s="30" t="s">
        <v>415</v>
      </c>
      <c r="C285" s="36" t="s">
        <v>84</v>
      </c>
      <c r="D285" s="31" t="s">
        <v>407</v>
      </c>
      <c r="E285" s="9" t="s">
        <v>23</v>
      </c>
      <c r="F285" s="5">
        <v>270</v>
      </c>
      <c r="G285" s="9">
        <v>957</v>
      </c>
      <c r="H285" s="32" t="s">
        <v>290</v>
      </c>
      <c r="I285" s="32" t="s">
        <v>408</v>
      </c>
      <c r="J285" s="33" t="s">
        <v>292</v>
      </c>
      <c r="K285" s="33" t="s">
        <v>324</v>
      </c>
      <c r="L285" s="49" t="s">
        <v>294</v>
      </c>
      <c r="M285" s="50" t="str">
        <f>Tabla16[[#This Row],[ABR_02]]</f>
        <v>SC</v>
      </c>
      <c r="N285" t="s">
        <v>295</v>
      </c>
      <c r="O285" s="51" t="s">
        <v>293</v>
      </c>
      <c r="P285" t="s">
        <v>296</v>
      </c>
      <c r="Q285" t="s">
        <v>313</v>
      </c>
      <c r="R285" s="52" t="str">
        <f>_xlfn.CONCAT(Tabla16[[#This Row],[ABR_01]],"00",Tabla16[[#This Row],[ABR_02]],Tabla16[[#This Row],[ZONA2]],,"0",Tabla16[[#This Row],[PARADA2]])</f>
        <v>AR00SC1008</v>
      </c>
      <c r="S285" s="52" t="s">
        <v>314</v>
      </c>
      <c r="T285" s="34" t="s">
        <v>299</v>
      </c>
      <c r="U285" s="34" t="s">
        <v>299</v>
      </c>
      <c r="V285" t="s">
        <v>804</v>
      </c>
    </row>
    <row r="286" spans="1:22" x14ac:dyDescent="0.25">
      <c r="A286" s="48" t="s">
        <v>300</v>
      </c>
      <c r="B286" s="30" t="s">
        <v>89</v>
      </c>
      <c r="C286" s="3" t="s">
        <v>89</v>
      </c>
      <c r="D286" s="31" t="s">
        <v>407</v>
      </c>
      <c r="E286" s="9" t="s">
        <v>23</v>
      </c>
      <c r="F286" s="5">
        <v>270</v>
      </c>
      <c r="G286" s="9">
        <v>978</v>
      </c>
      <c r="H286" s="32" t="s">
        <v>290</v>
      </c>
      <c r="I286" s="32" t="s">
        <v>408</v>
      </c>
      <c r="J286" s="33" t="s">
        <v>292</v>
      </c>
      <c r="K286" s="33" t="s">
        <v>368</v>
      </c>
      <c r="L286" s="49" t="s">
        <v>294</v>
      </c>
      <c r="M286" s="50" t="str">
        <f>Tabla16[[#This Row],[ABR_02]]</f>
        <v>SC</v>
      </c>
      <c r="N286" t="s">
        <v>295</v>
      </c>
      <c r="O286" s="51" t="s">
        <v>293</v>
      </c>
      <c r="P286" t="s">
        <v>296</v>
      </c>
      <c r="Q286" t="s">
        <v>313</v>
      </c>
      <c r="R286" s="52" t="str">
        <f>_xlfn.CONCAT(Tabla16[[#This Row],[ABR_01]],"00",Tabla16[[#This Row],[ABR_02]],Tabla16[[#This Row],[ZONA2]],,"0",Tabla16[[#This Row],[PARADA2]])</f>
        <v>AR00SC1009</v>
      </c>
      <c r="S286" s="52" t="s">
        <v>314</v>
      </c>
      <c r="T286" s="34" t="s">
        <v>299</v>
      </c>
      <c r="U286" s="34" t="s">
        <v>299</v>
      </c>
      <c r="V286" t="s">
        <v>804</v>
      </c>
    </row>
    <row r="287" spans="1:22" x14ac:dyDescent="0.25">
      <c r="A287" s="48" t="s">
        <v>300</v>
      </c>
      <c r="B287" s="30" t="s">
        <v>416</v>
      </c>
      <c r="C287" s="36" t="s">
        <v>176</v>
      </c>
      <c r="D287" s="31" t="s">
        <v>407</v>
      </c>
      <c r="E287" s="9" t="s">
        <v>23</v>
      </c>
      <c r="F287" s="5">
        <v>270</v>
      </c>
      <c r="G287" s="9">
        <v>972</v>
      </c>
      <c r="H287" s="32" t="s">
        <v>290</v>
      </c>
      <c r="I287" s="32" t="s">
        <v>408</v>
      </c>
      <c r="J287" s="33" t="s">
        <v>292</v>
      </c>
      <c r="K287" s="33" t="s">
        <v>370</v>
      </c>
      <c r="L287" s="49" t="s">
        <v>294</v>
      </c>
      <c r="M287" s="50" t="str">
        <f>Tabla16[[#This Row],[ABR_02]]</f>
        <v>SC</v>
      </c>
      <c r="N287" t="s">
        <v>295</v>
      </c>
      <c r="O287" s="51" t="s">
        <v>293</v>
      </c>
      <c r="P287" t="s">
        <v>296</v>
      </c>
      <c r="Q287" t="s">
        <v>313</v>
      </c>
      <c r="R287" s="52" t="str">
        <f>_xlfn.CONCAT(Tabla16[[#This Row],[ABR_01]],"00",Tabla16[[#This Row],[ABR_02]],Tabla16[[#This Row],[ZONA2]],,"0",Tabla16[[#This Row],[PARADA2]])</f>
        <v>AR00SC1010</v>
      </c>
      <c r="S287" s="52" t="s">
        <v>314</v>
      </c>
      <c r="T287" s="34" t="s">
        <v>299</v>
      </c>
      <c r="U287" s="34" t="s">
        <v>299</v>
      </c>
      <c r="V287" t="s">
        <v>804</v>
      </c>
    </row>
    <row r="288" spans="1:22" x14ac:dyDescent="0.25">
      <c r="A288" s="48" t="s">
        <v>300</v>
      </c>
      <c r="B288" s="30" t="s">
        <v>417</v>
      </c>
      <c r="C288" s="36" t="s">
        <v>93</v>
      </c>
      <c r="D288" s="31" t="s">
        <v>407</v>
      </c>
      <c r="E288" s="9" t="s">
        <v>23</v>
      </c>
      <c r="F288" s="5">
        <v>270</v>
      </c>
      <c r="G288" s="9">
        <v>968</v>
      </c>
      <c r="H288" s="32" t="s">
        <v>290</v>
      </c>
      <c r="I288" s="32" t="s">
        <v>408</v>
      </c>
      <c r="J288" s="33" t="s">
        <v>292</v>
      </c>
      <c r="K288" s="33" t="s">
        <v>372</v>
      </c>
      <c r="L288" s="49" t="s">
        <v>294</v>
      </c>
      <c r="M288" s="50" t="str">
        <f>Tabla16[[#This Row],[ABR_02]]</f>
        <v>SC</v>
      </c>
      <c r="N288" t="s">
        <v>295</v>
      </c>
      <c r="O288" s="51" t="s">
        <v>293</v>
      </c>
      <c r="P288" t="s">
        <v>296</v>
      </c>
      <c r="Q288" t="s">
        <v>313</v>
      </c>
      <c r="R288" s="52" t="str">
        <f>_xlfn.CONCAT(Tabla16[[#This Row],[ABR_01]],"00",Tabla16[[#This Row],[ABR_02]],Tabla16[[#This Row],[ZONA2]],,"0",Tabla16[[#This Row],[PARADA2]])</f>
        <v>AR00SC1011</v>
      </c>
      <c r="S288" s="52" t="s">
        <v>314</v>
      </c>
      <c r="T288" s="34" t="s">
        <v>299</v>
      </c>
      <c r="U288" s="34" t="s">
        <v>299</v>
      </c>
      <c r="V288" t="s">
        <v>804</v>
      </c>
    </row>
    <row r="289" spans="1:22" x14ac:dyDescent="0.25">
      <c r="A289" s="48" t="s">
        <v>300</v>
      </c>
      <c r="B289" s="30" t="s">
        <v>418</v>
      </c>
      <c r="C289" s="36" t="s">
        <v>102</v>
      </c>
      <c r="D289" s="31" t="s">
        <v>407</v>
      </c>
      <c r="E289" s="9" t="s">
        <v>23</v>
      </c>
      <c r="F289" s="5">
        <v>270</v>
      </c>
      <c r="G289" s="9">
        <v>976</v>
      </c>
      <c r="H289" s="32" t="s">
        <v>290</v>
      </c>
      <c r="I289" s="32" t="s">
        <v>408</v>
      </c>
      <c r="J289" s="33" t="s">
        <v>292</v>
      </c>
      <c r="K289" s="33" t="s">
        <v>374</v>
      </c>
      <c r="L289" s="49" t="s">
        <v>294</v>
      </c>
      <c r="M289" s="50" t="str">
        <f>Tabla16[[#This Row],[ABR_02]]</f>
        <v>SC</v>
      </c>
      <c r="N289" t="s">
        <v>295</v>
      </c>
      <c r="O289" s="51" t="s">
        <v>293</v>
      </c>
      <c r="P289" t="s">
        <v>296</v>
      </c>
      <c r="Q289" t="s">
        <v>313</v>
      </c>
      <c r="R289" s="52" t="str">
        <f>_xlfn.CONCAT(Tabla16[[#This Row],[ABR_01]],"00",Tabla16[[#This Row],[ABR_02]],Tabla16[[#This Row],[ZONA2]],,"0",Tabla16[[#This Row],[PARADA2]])</f>
        <v>AR00SC1012</v>
      </c>
      <c r="S289" s="52" t="s">
        <v>314</v>
      </c>
      <c r="T289" s="34" t="s">
        <v>299</v>
      </c>
      <c r="U289" s="34" t="s">
        <v>299</v>
      </c>
      <c r="V289" t="s">
        <v>804</v>
      </c>
    </row>
    <row r="290" spans="1:22" x14ac:dyDescent="0.25">
      <c r="A290" s="48" t="s">
        <v>300</v>
      </c>
      <c r="B290" s="30" t="s">
        <v>419</v>
      </c>
      <c r="C290" s="3" t="s">
        <v>107</v>
      </c>
      <c r="D290" s="31" t="s">
        <v>407</v>
      </c>
      <c r="E290" s="9" t="s">
        <v>23</v>
      </c>
      <c r="F290" s="5">
        <v>270</v>
      </c>
      <c r="G290" s="9">
        <v>985</v>
      </c>
      <c r="H290" s="32" t="s">
        <v>290</v>
      </c>
      <c r="I290" s="32" t="s">
        <v>408</v>
      </c>
      <c r="J290" s="33" t="s">
        <v>292</v>
      </c>
      <c r="K290" s="33" t="s">
        <v>376</v>
      </c>
      <c r="L290" s="49" t="s">
        <v>294</v>
      </c>
      <c r="M290" s="50" t="str">
        <f>Tabla16[[#This Row],[ABR_02]]</f>
        <v>SC</v>
      </c>
      <c r="N290" t="s">
        <v>295</v>
      </c>
      <c r="O290" s="51" t="s">
        <v>293</v>
      </c>
      <c r="P290" t="s">
        <v>296</v>
      </c>
      <c r="Q290" t="s">
        <v>313</v>
      </c>
      <c r="R290" s="52" t="str">
        <f>_xlfn.CONCAT(Tabla16[[#This Row],[ABR_01]],"00",Tabla16[[#This Row],[ABR_02]],Tabla16[[#This Row],[ZONA2]],,"0",Tabla16[[#This Row],[PARADA2]])</f>
        <v>AR00SC1013</v>
      </c>
      <c r="S290" s="52" t="s">
        <v>314</v>
      </c>
      <c r="T290" s="34" t="s">
        <v>299</v>
      </c>
      <c r="U290" s="34" t="s">
        <v>299</v>
      </c>
      <c r="V290" t="s">
        <v>804</v>
      </c>
    </row>
    <row r="291" spans="1:22" x14ac:dyDescent="0.25">
      <c r="A291" s="48" t="s">
        <v>300</v>
      </c>
      <c r="B291" s="30" t="s">
        <v>406</v>
      </c>
      <c r="C291" s="36" t="s">
        <v>25</v>
      </c>
      <c r="D291" s="31" t="s">
        <v>407</v>
      </c>
      <c r="E291" s="9" t="s">
        <v>23</v>
      </c>
      <c r="F291" s="5">
        <v>270</v>
      </c>
      <c r="G291" s="9">
        <v>959</v>
      </c>
      <c r="H291" s="32" t="s">
        <v>290</v>
      </c>
      <c r="I291" s="32" t="s">
        <v>408</v>
      </c>
      <c r="J291" s="33" t="s">
        <v>292</v>
      </c>
      <c r="K291" s="33" t="s">
        <v>293</v>
      </c>
      <c r="L291" s="49" t="s">
        <v>294</v>
      </c>
      <c r="M291" s="50" t="str">
        <f>Tabla16[[#This Row],[ABR_02]]</f>
        <v>SC</v>
      </c>
      <c r="N291" t="s">
        <v>295</v>
      </c>
      <c r="O291" s="51" t="s">
        <v>309</v>
      </c>
      <c r="P291" t="s">
        <v>625</v>
      </c>
      <c r="Q291" t="s">
        <v>626</v>
      </c>
      <c r="R291" s="52" t="str">
        <f>_xlfn.CONCAT(Tabla16[[#This Row],[ABR_01]],"00",Tabla16[[#This Row],[ABR_02]],Tabla16[[#This Row],[ZONA2]],,"0",Tabla16[[#This Row],[PARADA2]])</f>
        <v>AR00SC1001</v>
      </c>
      <c r="S291" s="52" t="s">
        <v>627</v>
      </c>
      <c r="T291" s="34" t="s">
        <v>299</v>
      </c>
      <c r="U291" s="45" t="s">
        <v>299</v>
      </c>
      <c r="V291" t="s">
        <v>805</v>
      </c>
    </row>
    <row r="292" spans="1:22" x14ac:dyDescent="0.25">
      <c r="A292" s="48" t="s">
        <v>300</v>
      </c>
      <c r="B292" s="30" t="s">
        <v>409</v>
      </c>
      <c r="C292" s="36" t="s">
        <v>47</v>
      </c>
      <c r="D292" s="31" t="s">
        <v>407</v>
      </c>
      <c r="E292" s="9" t="s">
        <v>23</v>
      </c>
      <c r="F292" s="5">
        <v>270</v>
      </c>
      <c r="G292" s="9">
        <v>970</v>
      </c>
      <c r="H292" s="32" t="s">
        <v>290</v>
      </c>
      <c r="I292" s="32" t="s">
        <v>408</v>
      </c>
      <c r="J292" s="33" t="s">
        <v>292</v>
      </c>
      <c r="K292" s="33" t="s">
        <v>306</v>
      </c>
      <c r="L292" s="49" t="s">
        <v>294</v>
      </c>
      <c r="M292" s="50" t="str">
        <f>Tabla16[[#This Row],[ABR_02]]</f>
        <v>SC</v>
      </c>
      <c r="N292" t="s">
        <v>295</v>
      </c>
      <c r="O292" s="51" t="s">
        <v>309</v>
      </c>
      <c r="P292" t="s">
        <v>625</v>
      </c>
      <c r="Q292" t="s">
        <v>626</v>
      </c>
      <c r="R292" s="52" t="str">
        <f>_xlfn.CONCAT(Tabla16[[#This Row],[ABR_01]],"00",Tabla16[[#This Row],[ABR_02]],Tabla16[[#This Row],[ZONA2]],,"0",Tabla16[[#This Row],[PARADA2]])</f>
        <v>AR00SC1002</v>
      </c>
      <c r="S292" s="52" t="s">
        <v>627</v>
      </c>
      <c r="T292" s="34" t="s">
        <v>299</v>
      </c>
      <c r="U292" s="45" t="s">
        <v>299</v>
      </c>
      <c r="V292" t="s">
        <v>805</v>
      </c>
    </row>
    <row r="293" spans="1:22" x14ac:dyDescent="0.25">
      <c r="A293" s="48" t="s">
        <v>300</v>
      </c>
      <c r="B293" s="30" t="s">
        <v>410</v>
      </c>
      <c r="C293" s="36" t="s">
        <v>51</v>
      </c>
      <c r="D293" s="31" t="s">
        <v>407</v>
      </c>
      <c r="E293" s="9" t="s">
        <v>23</v>
      </c>
      <c r="F293" s="5">
        <v>270</v>
      </c>
      <c r="G293" s="9">
        <v>980</v>
      </c>
      <c r="H293" s="32" t="s">
        <v>290</v>
      </c>
      <c r="I293" s="32" t="s">
        <v>408</v>
      </c>
      <c r="J293" s="33" t="s">
        <v>292</v>
      </c>
      <c r="K293" s="33" t="s">
        <v>307</v>
      </c>
      <c r="L293" s="49" t="s">
        <v>294</v>
      </c>
      <c r="M293" s="50" t="str">
        <f>Tabla16[[#This Row],[ABR_02]]</f>
        <v>SC</v>
      </c>
      <c r="N293" t="s">
        <v>295</v>
      </c>
      <c r="O293" s="51" t="s">
        <v>309</v>
      </c>
      <c r="P293" t="s">
        <v>625</v>
      </c>
      <c r="Q293" t="s">
        <v>626</v>
      </c>
      <c r="R293" s="52" t="str">
        <f>_xlfn.CONCAT(Tabla16[[#This Row],[ABR_01]],"00",Tabla16[[#This Row],[ABR_02]],Tabla16[[#This Row],[ZONA2]],,"0",Tabla16[[#This Row],[PARADA2]])</f>
        <v>AR00SC1003</v>
      </c>
      <c r="S293" s="52" t="s">
        <v>627</v>
      </c>
      <c r="T293" s="34" t="s">
        <v>299</v>
      </c>
      <c r="U293" s="45" t="s">
        <v>299</v>
      </c>
      <c r="V293" t="s">
        <v>805</v>
      </c>
    </row>
    <row r="294" spans="1:22" x14ac:dyDescent="0.25">
      <c r="A294" s="48" t="s">
        <v>300</v>
      </c>
      <c r="B294" s="30" t="s">
        <v>411</v>
      </c>
      <c r="C294" s="36" t="s">
        <v>168</v>
      </c>
      <c r="D294" s="31" t="s">
        <v>407</v>
      </c>
      <c r="E294" s="9" t="s">
        <v>23</v>
      </c>
      <c r="F294" s="5">
        <v>270</v>
      </c>
      <c r="G294" s="9">
        <v>974</v>
      </c>
      <c r="H294" s="32" t="s">
        <v>290</v>
      </c>
      <c r="I294" s="32" t="s">
        <v>408</v>
      </c>
      <c r="J294" s="33" t="s">
        <v>292</v>
      </c>
      <c r="K294" s="33" t="s">
        <v>309</v>
      </c>
      <c r="L294" s="49" t="s">
        <v>294</v>
      </c>
      <c r="M294" s="50" t="str">
        <f>Tabla16[[#This Row],[ABR_02]]</f>
        <v>SC</v>
      </c>
      <c r="N294" t="s">
        <v>295</v>
      </c>
      <c r="O294" s="51" t="s">
        <v>309</v>
      </c>
      <c r="P294" t="s">
        <v>625</v>
      </c>
      <c r="Q294" t="s">
        <v>626</v>
      </c>
      <c r="R294" s="52" t="str">
        <f>_xlfn.CONCAT(Tabla16[[#This Row],[ABR_01]],"00",Tabla16[[#This Row],[ABR_02]],Tabla16[[#This Row],[ZONA2]],,"0",Tabla16[[#This Row],[PARADA2]])</f>
        <v>AR00SC1004</v>
      </c>
      <c r="S294" s="52" t="s">
        <v>627</v>
      </c>
      <c r="T294" s="34" t="s">
        <v>299</v>
      </c>
      <c r="U294" s="45" t="s">
        <v>299</v>
      </c>
      <c r="V294" t="s">
        <v>805</v>
      </c>
    </row>
    <row r="295" spans="1:22" x14ac:dyDescent="0.25">
      <c r="A295" s="48" t="s">
        <v>300</v>
      </c>
      <c r="B295" s="30" t="s">
        <v>412</v>
      </c>
      <c r="C295" s="3" t="s">
        <v>170</v>
      </c>
      <c r="D295" s="31" t="s">
        <v>407</v>
      </c>
      <c r="E295" s="9" t="s">
        <v>23</v>
      </c>
      <c r="F295" s="5">
        <v>270</v>
      </c>
      <c r="G295" s="9">
        <v>958</v>
      </c>
      <c r="H295" s="32" t="s">
        <v>290</v>
      </c>
      <c r="I295" s="32" t="s">
        <v>408</v>
      </c>
      <c r="J295" s="33" t="s">
        <v>292</v>
      </c>
      <c r="K295" s="33" t="s">
        <v>319</v>
      </c>
      <c r="L295" s="49" t="s">
        <v>294</v>
      </c>
      <c r="M295" s="50" t="str">
        <f>Tabla16[[#This Row],[ABR_02]]</f>
        <v>SC</v>
      </c>
      <c r="N295" t="s">
        <v>295</v>
      </c>
      <c r="O295" s="51" t="s">
        <v>309</v>
      </c>
      <c r="P295" t="s">
        <v>625</v>
      </c>
      <c r="Q295" t="s">
        <v>626</v>
      </c>
      <c r="R295" s="52" t="str">
        <f>_xlfn.CONCAT(Tabla16[[#This Row],[ABR_01]],"00",Tabla16[[#This Row],[ABR_02]],Tabla16[[#This Row],[ZONA2]],,"0",Tabla16[[#This Row],[PARADA2]])</f>
        <v>AR00SC1005</v>
      </c>
      <c r="S295" s="52" t="s">
        <v>627</v>
      </c>
      <c r="T295" s="34" t="s">
        <v>299</v>
      </c>
      <c r="U295" s="45" t="s">
        <v>299</v>
      </c>
      <c r="V295" t="s">
        <v>805</v>
      </c>
    </row>
    <row r="296" spans="1:22" x14ac:dyDescent="0.25">
      <c r="A296" s="48" t="s">
        <v>300</v>
      </c>
      <c r="B296" s="30" t="s">
        <v>413</v>
      </c>
      <c r="C296" s="3" t="s">
        <v>413</v>
      </c>
      <c r="D296" s="31" t="s">
        <v>407</v>
      </c>
      <c r="E296" s="9" t="s">
        <v>23</v>
      </c>
      <c r="F296" s="5">
        <v>270</v>
      </c>
      <c r="G296" s="9">
        <v>296</v>
      </c>
      <c r="H296" s="32" t="s">
        <v>290</v>
      </c>
      <c r="I296" s="32" t="s">
        <v>408</v>
      </c>
      <c r="J296" s="33" t="s">
        <v>292</v>
      </c>
      <c r="K296" s="33" t="s">
        <v>320</v>
      </c>
      <c r="L296" s="49" t="s">
        <v>294</v>
      </c>
      <c r="M296" s="50" t="str">
        <f>Tabla16[[#This Row],[ABR_02]]</f>
        <v>SC</v>
      </c>
      <c r="N296" t="s">
        <v>295</v>
      </c>
      <c r="O296" s="51" t="s">
        <v>309</v>
      </c>
      <c r="P296" t="s">
        <v>625</v>
      </c>
      <c r="Q296" t="s">
        <v>626</v>
      </c>
      <c r="R296" s="52" t="str">
        <f>_xlfn.CONCAT(Tabla16[[#This Row],[ABR_01]],"00",Tabla16[[#This Row],[ABR_02]],Tabla16[[#This Row],[ZONA2]],,"0",Tabla16[[#This Row],[PARADA2]])</f>
        <v>AR00SC1006</v>
      </c>
      <c r="S296" s="52" t="s">
        <v>627</v>
      </c>
      <c r="T296" s="34" t="s">
        <v>299</v>
      </c>
      <c r="U296" s="45" t="s">
        <v>299</v>
      </c>
      <c r="V296" t="s">
        <v>805</v>
      </c>
    </row>
    <row r="297" spans="1:22" x14ac:dyDescent="0.25">
      <c r="A297" s="48" t="s">
        <v>300</v>
      </c>
      <c r="B297" s="30" t="s">
        <v>414</v>
      </c>
      <c r="C297" s="3" t="s">
        <v>82</v>
      </c>
      <c r="D297" s="31" t="s">
        <v>407</v>
      </c>
      <c r="E297" s="9" t="s">
        <v>23</v>
      </c>
      <c r="F297" s="5">
        <v>270</v>
      </c>
      <c r="G297" s="9">
        <v>956</v>
      </c>
      <c r="H297" s="32" t="s">
        <v>290</v>
      </c>
      <c r="I297" s="32" t="s">
        <v>408</v>
      </c>
      <c r="J297" s="33" t="s">
        <v>292</v>
      </c>
      <c r="K297" s="33" t="s">
        <v>322</v>
      </c>
      <c r="L297" s="49" t="s">
        <v>294</v>
      </c>
      <c r="M297" s="50" t="str">
        <f>Tabla16[[#This Row],[ABR_02]]</f>
        <v>SC</v>
      </c>
      <c r="N297" t="s">
        <v>295</v>
      </c>
      <c r="O297" s="51" t="s">
        <v>309</v>
      </c>
      <c r="P297" t="s">
        <v>625</v>
      </c>
      <c r="Q297" t="s">
        <v>626</v>
      </c>
      <c r="R297" s="52" t="str">
        <f>_xlfn.CONCAT(Tabla16[[#This Row],[ABR_01]],"00",Tabla16[[#This Row],[ABR_02]],Tabla16[[#This Row],[ZONA2]],,"0",Tabla16[[#This Row],[PARADA2]])</f>
        <v>AR00SC1007</v>
      </c>
      <c r="S297" s="52" t="s">
        <v>627</v>
      </c>
      <c r="T297" s="34" t="s">
        <v>299</v>
      </c>
      <c r="U297" s="45" t="s">
        <v>299</v>
      </c>
      <c r="V297" t="s">
        <v>805</v>
      </c>
    </row>
    <row r="298" spans="1:22" x14ac:dyDescent="0.25">
      <c r="A298" s="48" t="s">
        <v>300</v>
      </c>
      <c r="B298" s="30" t="s">
        <v>415</v>
      </c>
      <c r="C298" s="36" t="s">
        <v>84</v>
      </c>
      <c r="D298" s="31" t="s">
        <v>407</v>
      </c>
      <c r="E298" s="9" t="s">
        <v>23</v>
      </c>
      <c r="F298" s="5">
        <v>270</v>
      </c>
      <c r="G298" s="9">
        <v>957</v>
      </c>
      <c r="H298" s="32" t="s">
        <v>290</v>
      </c>
      <c r="I298" s="32" t="s">
        <v>408</v>
      </c>
      <c r="J298" s="33" t="s">
        <v>292</v>
      </c>
      <c r="K298" s="33" t="s">
        <v>324</v>
      </c>
      <c r="L298" s="49" t="s">
        <v>294</v>
      </c>
      <c r="M298" s="50" t="str">
        <f>Tabla16[[#This Row],[ABR_02]]</f>
        <v>SC</v>
      </c>
      <c r="N298" t="s">
        <v>295</v>
      </c>
      <c r="O298" s="51" t="s">
        <v>309</v>
      </c>
      <c r="P298" t="s">
        <v>625</v>
      </c>
      <c r="Q298" t="s">
        <v>626</v>
      </c>
      <c r="R298" s="52" t="str">
        <f>_xlfn.CONCAT(Tabla16[[#This Row],[ABR_01]],"00",Tabla16[[#This Row],[ABR_02]],Tabla16[[#This Row],[ZONA2]],,"0",Tabla16[[#This Row],[PARADA2]])</f>
        <v>AR00SC1008</v>
      </c>
      <c r="S298" s="52" t="s">
        <v>627</v>
      </c>
      <c r="T298" s="34" t="s">
        <v>299</v>
      </c>
      <c r="U298" s="45" t="s">
        <v>299</v>
      </c>
      <c r="V298" t="s">
        <v>805</v>
      </c>
    </row>
    <row r="299" spans="1:22" x14ac:dyDescent="0.25">
      <c r="A299" s="48" t="s">
        <v>300</v>
      </c>
      <c r="B299" s="30" t="s">
        <v>89</v>
      </c>
      <c r="C299" s="3" t="s">
        <v>89</v>
      </c>
      <c r="D299" s="31" t="s">
        <v>407</v>
      </c>
      <c r="E299" s="9" t="s">
        <v>23</v>
      </c>
      <c r="F299" s="5">
        <v>270</v>
      </c>
      <c r="G299" s="9">
        <v>978</v>
      </c>
      <c r="H299" s="32" t="s">
        <v>290</v>
      </c>
      <c r="I299" s="32" t="s">
        <v>408</v>
      </c>
      <c r="J299" s="33" t="s">
        <v>292</v>
      </c>
      <c r="K299" s="33" t="s">
        <v>368</v>
      </c>
      <c r="L299" s="49" t="s">
        <v>294</v>
      </c>
      <c r="M299" s="50" t="str">
        <f>Tabla16[[#This Row],[ABR_02]]</f>
        <v>SC</v>
      </c>
      <c r="N299" t="s">
        <v>295</v>
      </c>
      <c r="O299" s="51" t="s">
        <v>309</v>
      </c>
      <c r="P299" t="s">
        <v>625</v>
      </c>
      <c r="Q299" t="s">
        <v>626</v>
      </c>
      <c r="R299" s="52" t="str">
        <f>_xlfn.CONCAT(Tabla16[[#This Row],[ABR_01]],"00",Tabla16[[#This Row],[ABR_02]],Tabla16[[#This Row],[ZONA2]],,"0",Tabla16[[#This Row],[PARADA2]])</f>
        <v>AR00SC1009</v>
      </c>
      <c r="S299" s="52" t="s">
        <v>627</v>
      </c>
      <c r="T299" s="34" t="s">
        <v>299</v>
      </c>
      <c r="U299" s="45" t="s">
        <v>299</v>
      </c>
      <c r="V299" t="s">
        <v>805</v>
      </c>
    </row>
    <row r="300" spans="1:22" x14ac:dyDescent="0.25">
      <c r="A300" s="48" t="s">
        <v>300</v>
      </c>
      <c r="B300" s="30" t="s">
        <v>416</v>
      </c>
      <c r="C300" s="36" t="s">
        <v>176</v>
      </c>
      <c r="D300" s="31" t="s">
        <v>407</v>
      </c>
      <c r="E300" s="9" t="s">
        <v>23</v>
      </c>
      <c r="F300" s="5">
        <v>270</v>
      </c>
      <c r="G300" s="9">
        <v>972</v>
      </c>
      <c r="H300" s="32" t="s">
        <v>290</v>
      </c>
      <c r="I300" s="32" t="s">
        <v>408</v>
      </c>
      <c r="J300" s="33" t="s">
        <v>292</v>
      </c>
      <c r="K300" s="33" t="s">
        <v>370</v>
      </c>
      <c r="L300" s="49" t="s">
        <v>294</v>
      </c>
      <c r="M300" s="50" t="str">
        <f>Tabla16[[#This Row],[ABR_02]]</f>
        <v>SC</v>
      </c>
      <c r="N300" t="s">
        <v>295</v>
      </c>
      <c r="O300" s="51" t="s">
        <v>309</v>
      </c>
      <c r="P300" t="s">
        <v>625</v>
      </c>
      <c r="Q300" t="s">
        <v>626</v>
      </c>
      <c r="R300" s="52" t="str">
        <f>_xlfn.CONCAT(Tabla16[[#This Row],[ABR_01]],"00",Tabla16[[#This Row],[ABR_02]],Tabla16[[#This Row],[ZONA2]],,"0",Tabla16[[#This Row],[PARADA2]])</f>
        <v>AR00SC1010</v>
      </c>
      <c r="S300" s="52" t="s">
        <v>627</v>
      </c>
      <c r="T300" s="34" t="s">
        <v>299</v>
      </c>
      <c r="U300" s="45" t="s">
        <v>299</v>
      </c>
      <c r="V300" t="s">
        <v>805</v>
      </c>
    </row>
    <row r="301" spans="1:22" x14ac:dyDescent="0.25">
      <c r="A301" s="48" t="s">
        <v>300</v>
      </c>
      <c r="B301" s="30" t="s">
        <v>417</v>
      </c>
      <c r="C301" s="36" t="s">
        <v>93</v>
      </c>
      <c r="D301" s="31" t="s">
        <v>407</v>
      </c>
      <c r="E301" s="9" t="s">
        <v>23</v>
      </c>
      <c r="F301" s="5">
        <v>270</v>
      </c>
      <c r="G301" s="9">
        <v>968</v>
      </c>
      <c r="H301" s="32" t="s">
        <v>290</v>
      </c>
      <c r="I301" s="32" t="s">
        <v>408</v>
      </c>
      <c r="J301" s="33" t="s">
        <v>292</v>
      </c>
      <c r="K301" s="33" t="s">
        <v>372</v>
      </c>
      <c r="L301" s="49" t="s">
        <v>294</v>
      </c>
      <c r="M301" s="50" t="str">
        <f>Tabla16[[#This Row],[ABR_02]]</f>
        <v>SC</v>
      </c>
      <c r="N301" t="s">
        <v>295</v>
      </c>
      <c r="O301" s="51" t="s">
        <v>309</v>
      </c>
      <c r="P301" t="s">
        <v>625</v>
      </c>
      <c r="Q301" t="s">
        <v>626</v>
      </c>
      <c r="R301" s="52" t="str">
        <f>_xlfn.CONCAT(Tabla16[[#This Row],[ABR_01]],"00",Tabla16[[#This Row],[ABR_02]],Tabla16[[#This Row],[ZONA2]],,"0",Tabla16[[#This Row],[PARADA2]])</f>
        <v>AR00SC1011</v>
      </c>
      <c r="S301" s="52" t="s">
        <v>627</v>
      </c>
      <c r="T301" s="34" t="s">
        <v>299</v>
      </c>
      <c r="U301" s="45" t="s">
        <v>299</v>
      </c>
      <c r="V301" t="s">
        <v>805</v>
      </c>
    </row>
    <row r="302" spans="1:22" x14ac:dyDescent="0.25">
      <c r="A302" s="48" t="s">
        <v>300</v>
      </c>
      <c r="B302" s="30" t="s">
        <v>418</v>
      </c>
      <c r="C302" s="36" t="s">
        <v>102</v>
      </c>
      <c r="D302" s="31" t="s">
        <v>407</v>
      </c>
      <c r="E302" s="9" t="s">
        <v>23</v>
      </c>
      <c r="F302" s="5">
        <v>270</v>
      </c>
      <c r="G302" s="9">
        <v>976</v>
      </c>
      <c r="H302" s="32" t="s">
        <v>290</v>
      </c>
      <c r="I302" s="32" t="s">
        <v>408</v>
      </c>
      <c r="J302" s="33" t="s">
        <v>292</v>
      </c>
      <c r="K302" s="33" t="s">
        <v>374</v>
      </c>
      <c r="L302" s="49" t="s">
        <v>294</v>
      </c>
      <c r="M302" s="50" t="str">
        <f>Tabla16[[#This Row],[ABR_02]]</f>
        <v>SC</v>
      </c>
      <c r="N302" t="s">
        <v>295</v>
      </c>
      <c r="O302" s="51" t="s">
        <v>309</v>
      </c>
      <c r="P302" t="s">
        <v>625</v>
      </c>
      <c r="Q302" t="s">
        <v>626</v>
      </c>
      <c r="R302" s="52" t="str">
        <f>_xlfn.CONCAT(Tabla16[[#This Row],[ABR_01]],"00",Tabla16[[#This Row],[ABR_02]],Tabla16[[#This Row],[ZONA2]],,"0",Tabla16[[#This Row],[PARADA2]])</f>
        <v>AR00SC1012</v>
      </c>
      <c r="S302" s="52" t="s">
        <v>627</v>
      </c>
      <c r="T302" s="34" t="s">
        <v>299</v>
      </c>
      <c r="U302" s="45" t="s">
        <v>299</v>
      </c>
      <c r="V302" t="s">
        <v>805</v>
      </c>
    </row>
    <row r="303" spans="1:22" x14ac:dyDescent="0.25">
      <c r="A303" s="48" t="s">
        <v>300</v>
      </c>
      <c r="B303" s="30" t="s">
        <v>419</v>
      </c>
      <c r="C303" s="3" t="s">
        <v>107</v>
      </c>
      <c r="D303" s="31" t="s">
        <v>407</v>
      </c>
      <c r="E303" s="9" t="s">
        <v>23</v>
      </c>
      <c r="F303" s="5">
        <v>270</v>
      </c>
      <c r="G303" s="9">
        <v>985</v>
      </c>
      <c r="H303" s="32" t="s">
        <v>290</v>
      </c>
      <c r="I303" s="32" t="s">
        <v>408</v>
      </c>
      <c r="J303" s="33" t="s">
        <v>292</v>
      </c>
      <c r="K303" s="33" t="s">
        <v>376</v>
      </c>
      <c r="L303" s="49" t="s">
        <v>294</v>
      </c>
      <c r="M303" s="50" t="str">
        <f>Tabla16[[#This Row],[ABR_02]]</f>
        <v>SC</v>
      </c>
      <c r="N303" t="s">
        <v>295</v>
      </c>
      <c r="O303" s="51" t="s">
        <v>309</v>
      </c>
      <c r="P303" t="s">
        <v>625</v>
      </c>
      <c r="Q303" t="s">
        <v>626</v>
      </c>
      <c r="R303" s="52" t="str">
        <f>_xlfn.CONCAT(Tabla16[[#This Row],[ABR_01]],"00",Tabla16[[#This Row],[ABR_02]],Tabla16[[#This Row],[ZONA2]],,"0",Tabla16[[#This Row],[PARADA2]])</f>
        <v>AR00SC1013</v>
      </c>
      <c r="S303" s="52" t="s">
        <v>627</v>
      </c>
      <c r="T303" s="34" t="s">
        <v>299</v>
      </c>
      <c r="U303" s="45" t="s">
        <v>299</v>
      </c>
      <c r="V303" t="s">
        <v>805</v>
      </c>
    </row>
    <row r="304" spans="1:22" x14ac:dyDescent="0.25">
      <c r="A304" s="48" t="s">
        <v>300</v>
      </c>
      <c r="B304" s="30" t="s">
        <v>350</v>
      </c>
      <c r="C304" s="3" t="s">
        <v>350</v>
      </c>
      <c r="D304" s="31" t="s">
        <v>351</v>
      </c>
      <c r="E304" s="9" t="s">
        <v>27</v>
      </c>
      <c r="F304" s="5">
        <v>337</v>
      </c>
      <c r="G304" s="9">
        <v>799</v>
      </c>
      <c r="H304" s="32" t="s">
        <v>290</v>
      </c>
      <c r="I304" s="32" t="s">
        <v>352</v>
      </c>
      <c r="J304" s="33" t="s">
        <v>292</v>
      </c>
      <c r="K304" s="33" t="s">
        <v>293</v>
      </c>
      <c r="L304" s="49" t="s">
        <v>294</v>
      </c>
      <c r="M304" s="50" t="str">
        <f>Tabla16[[#This Row],[ABR_02]]</f>
        <v>SF</v>
      </c>
      <c r="N304" t="s">
        <v>295</v>
      </c>
      <c r="O304" s="51" t="s">
        <v>293</v>
      </c>
      <c r="P304" t="s">
        <v>296</v>
      </c>
      <c r="Q304" t="s">
        <v>353</v>
      </c>
      <c r="R304" s="52" t="str">
        <f>_xlfn.CONCAT(Tabla16[[#This Row],[ABR_01]],"00",Tabla16[[#This Row],[ABR_02]],Tabla16[[#This Row],[ZONA2]],,"0",Tabla16[[#This Row],[PARADA2]])</f>
        <v>AR00SF1001</v>
      </c>
      <c r="S304" s="52" t="s">
        <v>354</v>
      </c>
      <c r="T304" s="34" t="s">
        <v>299</v>
      </c>
      <c r="U304" s="34" t="s">
        <v>299</v>
      </c>
      <c r="V304" t="s">
        <v>804</v>
      </c>
    </row>
    <row r="305" spans="1:22" x14ac:dyDescent="0.25">
      <c r="A305" s="48" t="s">
        <v>300</v>
      </c>
      <c r="B305" s="30" t="s">
        <v>355</v>
      </c>
      <c r="C305" s="36" t="s">
        <v>356</v>
      </c>
      <c r="D305" s="31" t="s">
        <v>351</v>
      </c>
      <c r="E305" s="9" t="s">
        <v>27</v>
      </c>
      <c r="F305" s="5">
        <v>337</v>
      </c>
      <c r="G305" s="9">
        <v>735</v>
      </c>
      <c r="H305" s="32" t="s">
        <v>290</v>
      </c>
      <c r="I305" s="32" t="s">
        <v>352</v>
      </c>
      <c r="J305" s="33" t="s">
        <v>292</v>
      </c>
      <c r="K305" s="33" t="s">
        <v>306</v>
      </c>
      <c r="L305" s="49" t="s">
        <v>294</v>
      </c>
      <c r="M305" s="50" t="str">
        <f>Tabla16[[#This Row],[ABR_02]]</f>
        <v>SF</v>
      </c>
      <c r="N305" t="s">
        <v>295</v>
      </c>
      <c r="O305" s="51" t="s">
        <v>293</v>
      </c>
      <c r="P305" t="s">
        <v>296</v>
      </c>
      <c r="Q305" t="s">
        <v>353</v>
      </c>
      <c r="R305" s="52" t="str">
        <f>_xlfn.CONCAT(Tabla16[[#This Row],[ABR_01]],"00",Tabla16[[#This Row],[ABR_02]],Tabla16[[#This Row],[ZONA2]],,"0",Tabla16[[#This Row],[PARADA2]])</f>
        <v>AR00SF1002</v>
      </c>
      <c r="S305" s="52" t="s">
        <v>354</v>
      </c>
      <c r="T305" s="34" t="s">
        <v>299</v>
      </c>
      <c r="U305" s="34" t="s">
        <v>299</v>
      </c>
      <c r="V305" t="s">
        <v>804</v>
      </c>
    </row>
    <row r="306" spans="1:22" x14ac:dyDescent="0.25">
      <c r="A306" s="48" t="s">
        <v>300</v>
      </c>
      <c r="B306" s="30" t="s">
        <v>357</v>
      </c>
      <c r="C306" s="36" t="s">
        <v>358</v>
      </c>
      <c r="D306" s="31" t="s">
        <v>351</v>
      </c>
      <c r="E306" s="9" t="s">
        <v>27</v>
      </c>
      <c r="F306" s="5">
        <v>337</v>
      </c>
      <c r="G306" s="9">
        <v>706</v>
      </c>
      <c r="H306" s="32" t="s">
        <v>290</v>
      </c>
      <c r="I306" s="32" t="s">
        <v>352</v>
      </c>
      <c r="J306" s="33" t="s">
        <v>292</v>
      </c>
      <c r="K306" s="33" t="s">
        <v>307</v>
      </c>
      <c r="L306" s="49" t="s">
        <v>294</v>
      </c>
      <c r="M306" s="50" t="str">
        <f>Tabla16[[#This Row],[ABR_02]]</f>
        <v>SF</v>
      </c>
      <c r="N306" t="s">
        <v>295</v>
      </c>
      <c r="O306" s="51" t="s">
        <v>293</v>
      </c>
      <c r="P306" t="s">
        <v>296</v>
      </c>
      <c r="Q306" t="s">
        <v>353</v>
      </c>
      <c r="R306" s="52" t="str">
        <f>_xlfn.CONCAT(Tabla16[[#This Row],[ABR_01]],"00",Tabla16[[#This Row],[ABR_02]],Tabla16[[#This Row],[ZONA2]],,"0",Tabla16[[#This Row],[PARADA2]])</f>
        <v>AR00SF1003</v>
      </c>
      <c r="S306" s="52" t="s">
        <v>354</v>
      </c>
      <c r="T306" s="34" t="s">
        <v>299</v>
      </c>
      <c r="U306" s="34" t="s">
        <v>299</v>
      </c>
      <c r="V306" t="s">
        <v>804</v>
      </c>
    </row>
    <row r="307" spans="1:22" x14ac:dyDescent="0.25">
      <c r="A307" s="48" t="s">
        <v>300</v>
      </c>
      <c r="B307" s="30" t="s">
        <v>359</v>
      </c>
      <c r="C307" s="36" t="s">
        <v>29</v>
      </c>
      <c r="D307" s="31" t="s">
        <v>351</v>
      </c>
      <c r="E307" s="9" t="s">
        <v>27</v>
      </c>
      <c r="F307" s="5">
        <v>337</v>
      </c>
      <c r="G307" s="9">
        <v>708</v>
      </c>
      <c r="H307" s="32" t="s">
        <v>290</v>
      </c>
      <c r="I307" s="32" t="s">
        <v>352</v>
      </c>
      <c r="J307" s="33" t="s">
        <v>292</v>
      </c>
      <c r="K307" s="33" t="s">
        <v>309</v>
      </c>
      <c r="L307" s="49" t="s">
        <v>294</v>
      </c>
      <c r="M307" s="50" t="str">
        <f>Tabla16[[#This Row],[ABR_02]]</f>
        <v>SF</v>
      </c>
      <c r="N307" t="s">
        <v>295</v>
      </c>
      <c r="O307" s="51" t="s">
        <v>293</v>
      </c>
      <c r="P307" t="s">
        <v>296</v>
      </c>
      <c r="Q307" t="s">
        <v>353</v>
      </c>
      <c r="R307" s="52" t="str">
        <f>_xlfn.CONCAT(Tabla16[[#This Row],[ABR_01]],"00",Tabla16[[#This Row],[ABR_02]],Tabla16[[#This Row],[ZONA2]],,"0",Tabla16[[#This Row],[PARADA2]])</f>
        <v>AR00SF1004</v>
      </c>
      <c r="S307" s="52" t="s">
        <v>354</v>
      </c>
      <c r="T307" s="34" t="s">
        <v>299</v>
      </c>
      <c r="U307" s="34" t="s">
        <v>299</v>
      </c>
      <c r="V307" t="s">
        <v>804</v>
      </c>
    </row>
    <row r="308" spans="1:22" x14ac:dyDescent="0.25">
      <c r="A308" s="48" t="s">
        <v>300</v>
      </c>
      <c r="B308" s="30" t="s">
        <v>360</v>
      </c>
      <c r="C308" s="36" t="s">
        <v>361</v>
      </c>
      <c r="D308" s="31" t="s">
        <v>351</v>
      </c>
      <c r="E308" s="9" t="s">
        <v>27</v>
      </c>
      <c r="F308" s="5">
        <v>337</v>
      </c>
      <c r="G308" s="9">
        <v>710</v>
      </c>
      <c r="H308" s="32" t="s">
        <v>290</v>
      </c>
      <c r="I308" s="32" t="s">
        <v>352</v>
      </c>
      <c r="J308" s="33" t="s">
        <v>292</v>
      </c>
      <c r="K308" s="33" t="s">
        <v>319</v>
      </c>
      <c r="L308" s="49" t="s">
        <v>294</v>
      </c>
      <c r="M308" s="50" t="str">
        <f>Tabla16[[#This Row],[ABR_02]]</f>
        <v>SF</v>
      </c>
      <c r="N308" t="s">
        <v>295</v>
      </c>
      <c r="O308" s="51" t="s">
        <v>293</v>
      </c>
      <c r="P308" t="s">
        <v>296</v>
      </c>
      <c r="Q308" t="s">
        <v>353</v>
      </c>
      <c r="R308" s="52" t="str">
        <f>_xlfn.CONCAT(Tabla16[[#This Row],[ABR_01]],"00",Tabla16[[#This Row],[ABR_02]],Tabla16[[#This Row],[ZONA2]],,"0",Tabla16[[#This Row],[PARADA2]])</f>
        <v>AR00SF1005</v>
      </c>
      <c r="S308" s="52" t="s">
        <v>354</v>
      </c>
      <c r="T308" s="34" t="s">
        <v>299</v>
      </c>
      <c r="U308" s="34" t="s">
        <v>299</v>
      </c>
      <c r="V308" t="s">
        <v>804</v>
      </c>
    </row>
    <row r="309" spans="1:22" x14ac:dyDescent="0.25">
      <c r="A309" s="48" t="s">
        <v>300</v>
      </c>
      <c r="B309" s="30" t="s">
        <v>362</v>
      </c>
      <c r="C309" s="36" t="s">
        <v>363</v>
      </c>
      <c r="D309" s="31" t="s">
        <v>351</v>
      </c>
      <c r="E309" s="9" t="s">
        <v>27</v>
      </c>
      <c r="F309" s="5">
        <v>337</v>
      </c>
      <c r="G309" s="9">
        <v>703</v>
      </c>
      <c r="H309" s="32" t="s">
        <v>290</v>
      </c>
      <c r="I309" s="32" t="s">
        <v>352</v>
      </c>
      <c r="J309" s="33" t="s">
        <v>292</v>
      </c>
      <c r="K309" s="33" t="s">
        <v>320</v>
      </c>
      <c r="L309" s="49" t="s">
        <v>294</v>
      </c>
      <c r="M309" s="50" t="str">
        <f>Tabla16[[#This Row],[ABR_02]]</f>
        <v>SF</v>
      </c>
      <c r="N309" t="s">
        <v>295</v>
      </c>
      <c r="O309" s="51" t="s">
        <v>293</v>
      </c>
      <c r="P309" t="s">
        <v>296</v>
      </c>
      <c r="Q309" t="s">
        <v>353</v>
      </c>
      <c r="R309" s="52" t="str">
        <f>_xlfn.CONCAT(Tabla16[[#This Row],[ABR_01]],"00",Tabla16[[#This Row],[ABR_02]],Tabla16[[#This Row],[ZONA2]],,"0",Tabla16[[#This Row],[PARADA2]])</f>
        <v>AR00SF1006</v>
      </c>
      <c r="S309" s="52" t="s">
        <v>354</v>
      </c>
      <c r="T309" s="34" t="s">
        <v>299</v>
      </c>
      <c r="U309" s="34" t="s">
        <v>299</v>
      </c>
      <c r="V309" t="s">
        <v>804</v>
      </c>
    </row>
    <row r="310" spans="1:22" x14ac:dyDescent="0.25">
      <c r="A310" s="48" t="s">
        <v>300</v>
      </c>
      <c r="B310" s="30" t="s">
        <v>364</v>
      </c>
      <c r="C310" s="3" t="s">
        <v>364</v>
      </c>
      <c r="D310" s="31" t="s">
        <v>351</v>
      </c>
      <c r="E310" s="9" t="s">
        <v>27</v>
      </c>
      <c r="F310" s="5">
        <v>337</v>
      </c>
      <c r="G310" s="9">
        <v>780</v>
      </c>
      <c r="H310" s="32" t="s">
        <v>290</v>
      </c>
      <c r="I310" s="32" t="s">
        <v>352</v>
      </c>
      <c r="J310" s="33" t="s">
        <v>292</v>
      </c>
      <c r="K310" s="33" t="s">
        <v>322</v>
      </c>
      <c r="L310" s="49" t="s">
        <v>294</v>
      </c>
      <c r="M310" s="50" t="str">
        <f>Tabla16[[#This Row],[ABR_02]]</f>
        <v>SF</v>
      </c>
      <c r="N310" t="s">
        <v>295</v>
      </c>
      <c r="O310" s="51" t="s">
        <v>293</v>
      </c>
      <c r="P310" t="s">
        <v>296</v>
      </c>
      <c r="Q310" t="s">
        <v>353</v>
      </c>
      <c r="R310" s="52" t="str">
        <f>_xlfn.CONCAT(Tabla16[[#This Row],[ABR_01]],"00",Tabla16[[#This Row],[ABR_02]],Tabla16[[#This Row],[ZONA2]],,"0",Tabla16[[#This Row],[PARADA2]])</f>
        <v>AR00SF1007</v>
      </c>
      <c r="S310" s="52" t="s">
        <v>354</v>
      </c>
      <c r="T310" s="34" t="s">
        <v>299</v>
      </c>
      <c r="U310" s="34" t="s">
        <v>299</v>
      </c>
      <c r="V310" t="s">
        <v>804</v>
      </c>
    </row>
    <row r="311" spans="1:22" x14ac:dyDescent="0.25">
      <c r="A311" s="48" t="s">
        <v>300</v>
      </c>
      <c r="B311" s="30" t="s">
        <v>365</v>
      </c>
      <c r="C311" s="3" t="s">
        <v>365</v>
      </c>
      <c r="D311" s="31" t="s">
        <v>351</v>
      </c>
      <c r="E311" s="9" t="s">
        <v>27</v>
      </c>
      <c r="F311" s="5">
        <v>337</v>
      </c>
      <c r="G311" s="9">
        <v>795</v>
      </c>
      <c r="H311" s="32" t="s">
        <v>290</v>
      </c>
      <c r="I311" s="32" t="s">
        <v>352</v>
      </c>
      <c r="J311" s="33" t="s">
        <v>292</v>
      </c>
      <c r="K311" s="33" t="s">
        <v>324</v>
      </c>
      <c r="L311" s="49" t="s">
        <v>294</v>
      </c>
      <c r="M311" s="50" t="str">
        <f>Tabla16[[#This Row],[ABR_02]]</f>
        <v>SF</v>
      </c>
      <c r="N311" t="s">
        <v>295</v>
      </c>
      <c r="O311" s="51" t="s">
        <v>293</v>
      </c>
      <c r="P311" t="s">
        <v>296</v>
      </c>
      <c r="Q311" t="s">
        <v>353</v>
      </c>
      <c r="R311" s="52" t="str">
        <f>_xlfn.CONCAT(Tabla16[[#This Row],[ABR_01]],"00",Tabla16[[#This Row],[ABR_02]],Tabla16[[#This Row],[ZONA2]],,"0",Tabla16[[#This Row],[PARADA2]])</f>
        <v>AR00SF1008</v>
      </c>
      <c r="S311" s="52" t="s">
        <v>354</v>
      </c>
      <c r="T311" s="34" t="s">
        <v>299</v>
      </c>
      <c r="U311" s="34" t="s">
        <v>299</v>
      </c>
      <c r="V311" t="s">
        <v>804</v>
      </c>
    </row>
    <row r="312" spans="1:22" x14ac:dyDescent="0.25">
      <c r="A312" s="48" t="s">
        <v>300</v>
      </c>
      <c r="B312" s="30" t="s">
        <v>366</v>
      </c>
      <c r="C312" s="36" t="s">
        <v>367</v>
      </c>
      <c r="D312" s="31" t="s">
        <v>351</v>
      </c>
      <c r="E312" s="9" t="s">
        <v>27</v>
      </c>
      <c r="F312" s="5">
        <v>337</v>
      </c>
      <c r="G312" s="9">
        <v>750</v>
      </c>
      <c r="H312" s="32" t="s">
        <v>290</v>
      </c>
      <c r="I312" s="32" t="s">
        <v>352</v>
      </c>
      <c r="J312" s="33" t="s">
        <v>292</v>
      </c>
      <c r="K312" s="33" t="s">
        <v>368</v>
      </c>
      <c r="L312" s="49" t="s">
        <v>294</v>
      </c>
      <c r="M312" s="50" t="str">
        <f>Tabla16[[#This Row],[ABR_02]]</f>
        <v>SF</v>
      </c>
      <c r="N312" t="s">
        <v>295</v>
      </c>
      <c r="O312" s="51" t="s">
        <v>293</v>
      </c>
      <c r="P312" t="s">
        <v>296</v>
      </c>
      <c r="Q312" t="s">
        <v>353</v>
      </c>
      <c r="R312" s="52" t="str">
        <f>_xlfn.CONCAT(Tabla16[[#This Row],[ABR_01]],"00",Tabla16[[#This Row],[ABR_02]],Tabla16[[#This Row],[ZONA2]],,"0",Tabla16[[#This Row],[PARADA2]])</f>
        <v>AR00SF1009</v>
      </c>
      <c r="S312" s="52" t="s">
        <v>354</v>
      </c>
      <c r="T312" s="34" t="s">
        <v>299</v>
      </c>
      <c r="U312" s="34" t="s">
        <v>299</v>
      </c>
      <c r="V312" t="s">
        <v>804</v>
      </c>
    </row>
    <row r="313" spans="1:22" x14ac:dyDescent="0.25">
      <c r="A313" s="48" t="s">
        <v>300</v>
      </c>
      <c r="B313" s="30" t="s">
        <v>369</v>
      </c>
      <c r="C313" s="36" t="s">
        <v>232</v>
      </c>
      <c r="D313" s="31" t="s">
        <v>351</v>
      </c>
      <c r="E313" s="9" t="s">
        <v>27</v>
      </c>
      <c r="F313" s="5">
        <v>337</v>
      </c>
      <c r="G313" s="9">
        <v>705</v>
      </c>
      <c r="H313" s="32" t="s">
        <v>290</v>
      </c>
      <c r="I313" s="32" t="s">
        <v>352</v>
      </c>
      <c r="J313" s="33" t="s">
        <v>292</v>
      </c>
      <c r="K313" s="33" t="s">
        <v>370</v>
      </c>
      <c r="L313" s="49" t="s">
        <v>294</v>
      </c>
      <c r="M313" s="50" t="str">
        <f>Tabla16[[#This Row],[ABR_02]]</f>
        <v>SF</v>
      </c>
      <c r="N313" t="s">
        <v>295</v>
      </c>
      <c r="O313" s="51" t="s">
        <v>293</v>
      </c>
      <c r="P313" t="s">
        <v>296</v>
      </c>
      <c r="Q313" t="s">
        <v>353</v>
      </c>
      <c r="R313" s="52" t="str">
        <f>_xlfn.CONCAT(Tabla16[[#This Row],[ABR_01]],"00",Tabla16[[#This Row],[ABR_02]],Tabla16[[#This Row],[ZONA2]],,"0",Tabla16[[#This Row],[PARADA2]])</f>
        <v>AR00SF1010</v>
      </c>
      <c r="S313" s="52" t="s">
        <v>354</v>
      </c>
      <c r="T313" s="34" t="s">
        <v>299</v>
      </c>
      <c r="U313" s="34" t="s">
        <v>299</v>
      </c>
      <c r="V313" t="s">
        <v>804</v>
      </c>
    </row>
    <row r="314" spans="1:22" x14ac:dyDescent="0.25">
      <c r="A314" s="48" t="s">
        <v>300</v>
      </c>
      <c r="B314" s="30" t="s">
        <v>371</v>
      </c>
      <c r="C314" s="3" t="s">
        <v>371</v>
      </c>
      <c r="D314" s="31" t="s">
        <v>351</v>
      </c>
      <c r="E314" s="9" t="s">
        <v>27</v>
      </c>
      <c r="F314" s="5">
        <v>337</v>
      </c>
      <c r="G314" s="9">
        <v>704</v>
      </c>
      <c r="H314" s="32" t="s">
        <v>290</v>
      </c>
      <c r="I314" s="32" t="s">
        <v>352</v>
      </c>
      <c r="J314" s="33" t="s">
        <v>292</v>
      </c>
      <c r="K314" s="33" t="s">
        <v>372</v>
      </c>
      <c r="L314" s="49" t="s">
        <v>294</v>
      </c>
      <c r="M314" s="50" t="str">
        <f>Tabla16[[#This Row],[ABR_02]]</f>
        <v>SF</v>
      </c>
      <c r="N314" t="s">
        <v>295</v>
      </c>
      <c r="O314" s="51" t="s">
        <v>293</v>
      </c>
      <c r="P314" t="s">
        <v>296</v>
      </c>
      <c r="Q314" t="s">
        <v>353</v>
      </c>
      <c r="R314" s="52" t="str">
        <f>_xlfn.CONCAT(Tabla16[[#This Row],[ABR_01]],"00",Tabla16[[#This Row],[ABR_02]],Tabla16[[#This Row],[ZONA2]],,"0",Tabla16[[#This Row],[PARADA2]])</f>
        <v>AR00SF1011</v>
      </c>
      <c r="S314" s="52" t="s">
        <v>354</v>
      </c>
      <c r="T314" s="34" t="s">
        <v>299</v>
      </c>
      <c r="U314" s="34" t="s">
        <v>299</v>
      </c>
      <c r="V314" t="s">
        <v>804</v>
      </c>
    </row>
    <row r="315" spans="1:22" x14ac:dyDescent="0.25">
      <c r="A315" s="48" t="s">
        <v>300</v>
      </c>
      <c r="B315" s="30" t="s">
        <v>373</v>
      </c>
      <c r="C315" s="3" t="s">
        <v>373</v>
      </c>
      <c r="D315" s="31" t="s">
        <v>351</v>
      </c>
      <c r="E315" s="9" t="s">
        <v>27</v>
      </c>
      <c r="F315" s="5">
        <v>337</v>
      </c>
      <c r="G315" s="9">
        <v>785</v>
      </c>
      <c r="H315" s="32" t="s">
        <v>290</v>
      </c>
      <c r="I315" s="32" t="s">
        <v>352</v>
      </c>
      <c r="J315" s="33" t="s">
        <v>292</v>
      </c>
      <c r="K315" s="33" t="s">
        <v>374</v>
      </c>
      <c r="L315" s="49" t="s">
        <v>294</v>
      </c>
      <c r="M315" s="50" t="str">
        <f>Tabla16[[#This Row],[ABR_02]]</f>
        <v>SF</v>
      </c>
      <c r="N315" t="s">
        <v>295</v>
      </c>
      <c r="O315" s="51" t="s">
        <v>293</v>
      </c>
      <c r="P315" t="s">
        <v>296</v>
      </c>
      <c r="Q315" t="s">
        <v>353</v>
      </c>
      <c r="R315" s="52" t="str">
        <f>_xlfn.CONCAT(Tabla16[[#This Row],[ABR_01]],"00",Tabla16[[#This Row],[ABR_02]],Tabla16[[#This Row],[ZONA2]],,"0",Tabla16[[#This Row],[PARADA2]])</f>
        <v>AR00SF1012</v>
      </c>
      <c r="S315" s="52" t="s">
        <v>354</v>
      </c>
      <c r="T315" s="34" t="s">
        <v>299</v>
      </c>
      <c r="U315" s="34" t="s">
        <v>299</v>
      </c>
      <c r="V315" t="s">
        <v>804</v>
      </c>
    </row>
    <row r="316" spans="1:22" x14ac:dyDescent="0.25">
      <c r="A316" s="48" t="s">
        <v>300</v>
      </c>
      <c r="B316" s="30" t="s">
        <v>375</v>
      </c>
      <c r="C316" s="3" t="s">
        <v>375</v>
      </c>
      <c r="D316" s="31" t="s">
        <v>351</v>
      </c>
      <c r="E316" s="9" t="s">
        <v>27</v>
      </c>
      <c r="F316" s="5">
        <v>337</v>
      </c>
      <c r="G316" s="9">
        <v>745</v>
      </c>
      <c r="H316" s="32" t="s">
        <v>290</v>
      </c>
      <c r="I316" s="32" t="s">
        <v>352</v>
      </c>
      <c r="J316" s="33" t="s">
        <v>292</v>
      </c>
      <c r="K316" s="33" t="s">
        <v>376</v>
      </c>
      <c r="L316" s="49" t="s">
        <v>294</v>
      </c>
      <c r="M316" s="50" t="str">
        <f>Tabla16[[#This Row],[ABR_02]]</f>
        <v>SF</v>
      </c>
      <c r="N316" t="s">
        <v>295</v>
      </c>
      <c r="O316" s="51" t="s">
        <v>293</v>
      </c>
      <c r="P316" t="s">
        <v>296</v>
      </c>
      <c r="Q316" t="s">
        <v>353</v>
      </c>
      <c r="R316" s="52" t="str">
        <f>_xlfn.CONCAT(Tabla16[[#This Row],[ABR_01]],"00",Tabla16[[#This Row],[ABR_02]],Tabla16[[#This Row],[ZONA2]],,"0",Tabla16[[#This Row],[PARADA2]])</f>
        <v>AR00SF1013</v>
      </c>
      <c r="S316" s="52" t="s">
        <v>354</v>
      </c>
      <c r="T316" s="34" t="s">
        <v>299</v>
      </c>
      <c r="U316" s="34" t="s">
        <v>299</v>
      </c>
      <c r="V316" t="s">
        <v>804</v>
      </c>
    </row>
    <row r="317" spans="1:22" x14ac:dyDescent="0.25">
      <c r="A317" s="48" t="s">
        <v>300</v>
      </c>
      <c r="B317" s="30" t="s">
        <v>377</v>
      </c>
      <c r="C317" s="36" t="s">
        <v>378</v>
      </c>
      <c r="D317" s="31" t="s">
        <v>351</v>
      </c>
      <c r="E317" s="9" t="s">
        <v>27</v>
      </c>
      <c r="F317" s="5">
        <v>337</v>
      </c>
      <c r="G317" s="9">
        <v>715</v>
      </c>
      <c r="H317" s="32" t="s">
        <v>290</v>
      </c>
      <c r="I317" s="32" t="s">
        <v>352</v>
      </c>
      <c r="J317" s="33" t="s">
        <v>292</v>
      </c>
      <c r="K317" s="33" t="s">
        <v>379</v>
      </c>
      <c r="L317" s="49" t="s">
        <v>294</v>
      </c>
      <c r="M317" s="50" t="str">
        <f>Tabla16[[#This Row],[ABR_02]]</f>
        <v>SF</v>
      </c>
      <c r="N317" t="s">
        <v>295</v>
      </c>
      <c r="O317" s="51" t="s">
        <v>293</v>
      </c>
      <c r="P317" t="s">
        <v>296</v>
      </c>
      <c r="Q317" t="s">
        <v>353</v>
      </c>
      <c r="R317" s="52" t="str">
        <f>_xlfn.CONCAT(Tabla16[[#This Row],[ABR_01]],"00",Tabla16[[#This Row],[ABR_02]],Tabla16[[#This Row],[ZONA2]],,"0",Tabla16[[#This Row],[PARADA2]])</f>
        <v>AR00SF1014</v>
      </c>
      <c r="S317" s="52" t="s">
        <v>354</v>
      </c>
      <c r="T317" s="34" t="s">
        <v>299</v>
      </c>
      <c r="U317" s="34" t="s">
        <v>299</v>
      </c>
      <c r="V317" t="s">
        <v>804</v>
      </c>
    </row>
    <row r="318" spans="1:22" x14ac:dyDescent="0.25">
      <c r="A318" s="48" t="s">
        <v>300</v>
      </c>
      <c r="B318" s="30" t="s">
        <v>380</v>
      </c>
      <c r="C318" s="36" t="s">
        <v>381</v>
      </c>
      <c r="D318" s="31" t="s">
        <v>351</v>
      </c>
      <c r="E318" s="9" t="s">
        <v>27</v>
      </c>
      <c r="F318" s="5">
        <v>337</v>
      </c>
      <c r="G318" s="9">
        <v>798</v>
      </c>
      <c r="H318" s="32" t="s">
        <v>290</v>
      </c>
      <c r="I318" s="32" t="s">
        <v>352</v>
      </c>
      <c r="J318" s="33" t="s">
        <v>292</v>
      </c>
      <c r="K318" s="33" t="s">
        <v>382</v>
      </c>
      <c r="L318" s="49" t="s">
        <v>294</v>
      </c>
      <c r="M318" s="50" t="str">
        <f>Tabla16[[#This Row],[ABR_02]]</f>
        <v>SF</v>
      </c>
      <c r="N318" t="s">
        <v>295</v>
      </c>
      <c r="O318" s="51" t="s">
        <v>293</v>
      </c>
      <c r="P318" t="s">
        <v>296</v>
      </c>
      <c r="Q318" t="s">
        <v>353</v>
      </c>
      <c r="R318" s="52" t="str">
        <f>_xlfn.CONCAT(Tabla16[[#This Row],[ABR_01]],"00",Tabla16[[#This Row],[ABR_02]],Tabla16[[#This Row],[ZONA2]],,"0",Tabla16[[#This Row],[PARADA2]])</f>
        <v>AR00SF1015</v>
      </c>
      <c r="S318" s="52" t="s">
        <v>354</v>
      </c>
      <c r="T318" s="34" t="s">
        <v>299</v>
      </c>
      <c r="U318" s="34" t="s">
        <v>299</v>
      </c>
      <c r="V318" t="s">
        <v>804</v>
      </c>
    </row>
    <row r="319" spans="1:22" x14ac:dyDescent="0.25">
      <c r="A319" s="48" t="s">
        <v>300</v>
      </c>
      <c r="B319" s="30" t="s">
        <v>383</v>
      </c>
      <c r="C319" s="36" t="s">
        <v>109</v>
      </c>
      <c r="D319" s="31" t="s">
        <v>351</v>
      </c>
      <c r="E319" s="9" t="s">
        <v>27</v>
      </c>
      <c r="F319" s="5">
        <v>337</v>
      </c>
      <c r="G319" s="9">
        <v>700</v>
      </c>
      <c r="H319" s="32" t="s">
        <v>290</v>
      </c>
      <c r="I319" s="32" t="s">
        <v>352</v>
      </c>
      <c r="J319" s="33" t="s">
        <v>292</v>
      </c>
      <c r="K319" s="33" t="s">
        <v>384</v>
      </c>
      <c r="L319" s="49" t="s">
        <v>294</v>
      </c>
      <c r="M319" s="50" t="str">
        <f>Tabla16[[#This Row],[ABR_02]]</f>
        <v>SF</v>
      </c>
      <c r="N319" t="s">
        <v>295</v>
      </c>
      <c r="O319" s="51" t="s">
        <v>293</v>
      </c>
      <c r="P319" t="s">
        <v>296</v>
      </c>
      <c r="Q319" t="s">
        <v>353</v>
      </c>
      <c r="R319" s="52" t="str">
        <f>_xlfn.CONCAT(Tabla16[[#This Row],[ABR_01]],"00",Tabla16[[#This Row],[ABR_02]],Tabla16[[#This Row],[ZONA2]],,"0",Tabla16[[#This Row],[PARADA2]])</f>
        <v>AR00SF1016</v>
      </c>
      <c r="S319" s="52" t="s">
        <v>354</v>
      </c>
      <c r="T319" s="34" t="s">
        <v>299</v>
      </c>
      <c r="U319" s="34" t="s">
        <v>299</v>
      </c>
      <c r="V319" t="s">
        <v>804</v>
      </c>
    </row>
    <row r="320" spans="1:22" x14ac:dyDescent="0.25">
      <c r="A320" s="48" t="s">
        <v>300</v>
      </c>
      <c r="B320" s="30" t="s">
        <v>385</v>
      </c>
      <c r="C320" s="36" t="s">
        <v>386</v>
      </c>
      <c r="D320" s="31" t="s">
        <v>351</v>
      </c>
      <c r="E320" s="9" t="s">
        <v>27</v>
      </c>
      <c r="F320" s="5">
        <v>337</v>
      </c>
      <c r="G320" s="9">
        <v>714</v>
      </c>
      <c r="H320" s="32" t="s">
        <v>290</v>
      </c>
      <c r="I320" s="32" t="s">
        <v>352</v>
      </c>
      <c r="J320" s="33" t="s">
        <v>292</v>
      </c>
      <c r="K320" s="33" t="s">
        <v>387</v>
      </c>
      <c r="L320" s="49" t="s">
        <v>294</v>
      </c>
      <c r="M320" s="50" t="str">
        <f>Tabla16[[#This Row],[ABR_02]]</f>
        <v>SF</v>
      </c>
      <c r="N320" t="s">
        <v>295</v>
      </c>
      <c r="O320" s="51" t="s">
        <v>293</v>
      </c>
      <c r="P320" t="s">
        <v>296</v>
      </c>
      <c r="Q320" t="s">
        <v>353</v>
      </c>
      <c r="R320" s="52" t="str">
        <f>_xlfn.CONCAT(Tabla16[[#This Row],[ABR_01]],"00",Tabla16[[#This Row],[ABR_02]],Tabla16[[#This Row],[ZONA2]],,"0",Tabla16[[#This Row],[PARADA2]])</f>
        <v>AR00SF1017</v>
      </c>
      <c r="S320" s="52" t="s">
        <v>354</v>
      </c>
      <c r="T320" s="34" t="s">
        <v>299</v>
      </c>
      <c r="U320" s="34" t="s">
        <v>299</v>
      </c>
      <c r="V320" t="s">
        <v>804</v>
      </c>
    </row>
    <row r="321" spans="1:22" x14ac:dyDescent="0.25">
      <c r="A321" s="48" t="s">
        <v>300</v>
      </c>
      <c r="B321" s="30" t="s">
        <v>388</v>
      </c>
      <c r="C321" s="3" t="s">
        <v>388</v>
      </c>
      <c r="D321" s="31" t="s">
        <v>351</v>
      </c>
      <c r="E321" s="9" t="s">
        <v>27</v>
      </c>
      <c r="F321" s="5">
        <v>337</v>
      </c>
      <c r="G321" s="9">
        <v>730</v>
      </c>
      <c r="H321" s="32" t="s">
        <v>290</v>
      </c>
      <c r="I321" s="32" t="s">
        <v>352</v>
      </c>
      <c r="J321" s="33" t="s">
        <v>292</v>
      </c>
      <c r="K321" s="33" t="s">
        <v>389</v>
      </c>
      <c r="L321" s="49" t="s">
        <v>294</v>
      </c>
      <c r="M321" s="50" t="str">
        <f>Tabla16[[#This Row],[ABR_02]]</f>
        <v>SF</v>
      </c>
      <c r="N321" t="s">
        <v>295</v>
      </c>
      <c r="O321" s="51" t="s">
        <v>293</v>
      </c>
      <c r="P321" t="s">
        <v>296</v>
      </c>
      <c r="Q321" t="s">
        <v>353</v>
      </c>
      <c r="R321" s="52" t="str">
        <f>_xlfn.CONCAT(Tabla16[[#This Row],[ABR_01]],"00",Tabla16[[#This Row],[ABR_02]],Tabla16[[#This Row],[ZONA2]],,"0",Tabla16[[#This Row],[PARADA2]])</f>
        <v>AR00SF1018</v>
      </c>
      <c r="S321" s="52" t="s">
        <v>354</v>
      </c>
      <c r="T321" s="34" t="s">
        <v>299</v>
      </c>
      <c r="U321" s="34" t="s">
        <v>299</v>
      </c>
      <c r="V321" t="s">
        <v>804</v>
      </c>
    </row>
    <row r="322" spans="1:22" x14ac:dyDescent="0.25">
      <c r="A322" s="48" t="s">
        <v>300</v>
      </c>
      <c r="B322" s="30" t="s">
        <v>390</v>
      </c>
      <c r="C322" s="36" t="s">
        <v>391</v>
      </c>
      <c r="D322" s="31" t="s">
        <v>351</v>
      </c>
      <c r="E322" s="9" t="s">
        <v>27</v>
      </c>
      <c r="F322" s="5">
        <v>337</v>
      </c>
      <c r="G322" s="9">
        <v>790</v>
      </c>
      <c r="H322" s="32" t="s">
        <v>290</v>
      </c>
      <c r="I322" s="32" t="s">
        <v>352</v>
      </c>
      <c r="J322" s="33" t="s">
        <v>292</v>
      </c>
      <c r="K322" s="33" t="s">
        <v>392</v>
      </c>
      <c r="L322" s="49" t="s">
        <v>294</v>
      </c>
      <c r="M322" s="50" t="str">
        <f>Tabla16[[#This Row],[ABR_02]]</f>
        <v>SF</v>
      </c>
      <c r="N322" t="s">
        <v>295</v>
      </c>
      <c r="O322" s="51" t="s">
        <v>293</v>
      </c>
      <c r="P322" t="s">
        <v>296</v>
      </c>
      <c r="Q322" t="s">
        <v>353</v>
      </c>
      <c r="R322" s="52" t="str">
        <f>_xlfn.CONCAT(Tabla16[[#This Row],[ABR_01]],"00",Tabla16[[#This Row],[ABR_02]],Tabla16[[#This Row],[ZONA2]],,"0",Tabla16[[#This Row],[PARADA2]])</f>
        <v>AR00SF1019</v>
      </c>
      <c r="S322" s="52" t="s">
        <v>354</v>
      </c>
      <c r="T322" s="34" t="s">
        <v>299</v>
      </c>
      <c r="U322" s="34" t="s">
        <v>299</v>
      </c>
      <c r="V322" t="s">
        <v>804</v>
      </c>
    </row>
    <row r="323" spans="1:22" x14ac:dyDescent="0.25">
      <c r="A323" s="48" t="s">
        <v>300</v>
      </c>
      <c r="B323" s="30" t="s">
        <v>393</v>
      </c>
      <c r="C323" s="3" t="s">
        <v>393</v>
      </c>
      <c r="D323" s="31" t="s">
        <v>351</v>
      </c>
      <c r="E323" s="9" t="s">
        <v>27</v>
      </c>
      <c r="F323" s="5">
        <v>337</v>
      </c>
      <c r="G323" s="9">
        <v>712</v>
      </c>
      <c r="H323" s="32" t="s">
        <v>290</v>
      </c>
      <c r="I323" s="32" t="s">
        <v>352</v>
      </c>
      <c r="J323" s="33" t="s">
        <v>292</v>
      </c>
      <c r="K323" s="33" t="s">
        <v>394</v>
      </c>
      <c r="L323" s="49" t="s">
        <v>294</v>
      </c>
      <c r="M323" s="50" t="str">
        <f>Tabla16[[#This Row],[ABR_02]]</f>
        <v>SF</v>
      </c>
      <c r="N323" t="s">
        <v>295</v>
      </c>
      <c r="O323" s="51" t="s">
        <v>293</v>
      </c>
      <c r="P323" t="s">
        <v>296</v>
      </c>
      <c r="Q323" t="s">
        <v>353</v>
      </c>
      <c r="R323" s="52" t="str">
        <f>_xlfn.CONCAT(Tabla16[[#This Row],[ABR_01]],"00",Tabla16[[#This Row],[ABR_02]],Tabla16[[#This Row],[ZONA2]],,"0",Tabla16[[#This Row],[PARADA2]])</f>
        <v>AR00SF1020</v>
      </c>
      <c r="S323" s="52" t="s">
        <v>354</v>
      </c>
      <c r="T323" s="34" t="s">
        <v>299</v>
      </c>
      <c r="U323" s="34" t="s">
        <v>299</v>
      </c>
      <c r="V323" t="s">
        <v>804</v>
      </c>
    </row>
    <row r="324" spans="1:22" x14ac:dyDescent="0.25">
      <c r="A324" s="48" t="s">
        <v>300</v>
      </c>
      <c r="B324" s="30" t="s">
        <v>395</v>
      </c>
      <c r="C324" s="36" t="s">
        <v>28</v>
      </c>
      <c r="D324" s="31" t="s">
        <v>351</v>
      </c>
      <c r="E324" s="9" t="s">
        <v>27</v>
      </c>
      <c r="F324" s="5">
        <v>337</v>
      </c>
      <c r="G324" s="9">
        <v>765</v>
      </c>
      <c r="H324" s="32" t="s">
        <v>290</v>
      </c>
      <c r="I324" s="32" t="s">
        <v>352</v>
      </c>
      <c r="J324" s="33" t="s">
        <v>292</v>
      </c>
      <c r="K324" s="33" t="s">
        <v>396</v>
      </c>
      <c r="L324" s="49" t="s">
        <v>294</v>
      </c>
      <c r="M324" s="50" t="str">
        <f>Tabla16[[#This Row],[ABR_02]]</f>
        <v>SF</v>
      </c>
      <c r="N324" t="s">
        <v>295</v>
      </c>
      <c r="O324" s="51" t="s">
        <v>293</v>
      </c>
      <c r="P324" t="s">
        <v>296</v>
      </c>
      <c r="Q324" t="s">
        <v>353</v>
      </c>
      <c r="R324" s="52" t="str">
        <f>_xlfn.CONCAT(Tabla16[[#This Row],[ABR_01]],"00",Tabla16[[#This Row],[ABR_02]],Tabla16[[#This Row],[ZONA2]],,"0",Tabla16[[#This Row],[PARADA2]])</f>
        <v>AR00SF1021</v>
      </c>
      <c r="S324" s="52" t="s">
        <v>354</v>
      </c>
      <c r="T324" s="34" t="s">
        <v>299</v>
      </c>
      <c r="U324" s="34" t="s">
        <v>299</v>
      </c>
      <c r="V324" t="s">
        <v>804</v>
      </c>
    </row>
    <row r="325" spans="1:22" x14ac:dyDescent="0.25">
      <c r="A325" s="48" t="s">
        <v>300</v>
      </c>
      <c r="B325" s="30" t="s">
        <v>397</v>
      </c>
      <c r="C325" s="3" t="s">
        <v>397</v>
      </c>
      <c r="D325" s="31" t="s">
        <v>351</v>
      </c>
      <c r="E325" s="9" t="s">
        <v>27</v>
      </c>
      <c r="F325" s="5">
        <v>337</v>
      </c>
      <c r="G325" s="9">
        <v>337</v>
      </c>
      <c r="H325" s="32" t="s">
        <v>290</v>
      </c>
      <c r="I325" s="32" t="s">
        <v>352</v>
      </c>
      <c r="J325" s="33" t="s">
        <v>292</v>
      </c>
      <c r="K325" s="33" t="s">
        <v>398</v>
      </c>
      <c r="L325" s="49" t="s">
        <v>294</v>
      </c>
      <c r="M325" s="50" t="str">
        <f>Tabla16[[#This Row],[ABR_02]]</f>
        <v>SF</v>
      </c>
      <c r="N325" t="s">
        <v>295</v>
      </c>
      <c r="O325" s="51" t="s">
        <v>293</v>
      </c>
      <c r="P325" t="s">
        <v>296</v>
      </c>
      <c r="Q325" t="s">
        <v>353</v>
      </c>
      <c r="R325" s="52" t="str">
        <f>_xlfn.CONCAT(Tabla16[[#This Row],[ABR_01]],"00",Tabla16[[#This Row],[ABR_02]],Tabla16[[#This Row],[ZONA2]],,"0",Tabla16[[#This Row],[PARADA2]])</f>
        <v>AR00SF1022</v>
      </c>
      <c r="S325" s="52" t="s">
        <v>354</v>
      </c>
      <c r="T325" s="34" t="s">
        <v>299</v>
      </c>
      <c r="U325" s="34" t="s">
        <v>299</v>
      </c>
      <c r="V325" t="s">
        <v>804</v>
      </c>
    </row>
    <row r="326" spans="1:22" x14ac:dyDescent="0.25">
      <c r="A326" s="48" t="s">
        <v>300</v>
      </c>
      <c r="B326" s="30" t="s">
        <v>399</v>
      </c>
      <c r="C326" s="3" t="s">
        <v>400</v>
      </c>
      <c r="D326" s="31" t="s">
        <v>351</v>
      </c>
      <c r="E326" s="9" t="s">
        <v>27</v>
      </c>
      <c r="F326" s="5">
        <v>337</v>
      </c>
      <c r="G326" s="9">
        <v>770</v>
      </c>
      <c r="H326" s="32" t="s">
        <v>290</v>
      </c>
      <c r="I326" s="32" t="s">
        <v>352</v>
      </c>
      <c r="J326" s="33" t="s">
        <v>292</v>
      </c>
      <c r="K326" s="33" t="s">
        <v>401</v>
      </c>
      <c r="L326" s="49" t="s">
        <v>294</v>
      </c>
      <c r="M326" s="50" t="str">
        <f>Tabla16[[#This Row],[ABR_02]]</f>
        <v>SF</v>
      </c>
      <c r="N326" t="s">
        <v>295</v>
      </c>
      <c r="O326" s="51" t="s">
        <v>293</v>
      </c>
      <c r="P326" t="s">
        <v>296</v>
      </c>
      <c r="Q326" t="s">
        <v>353</v>
      </c>
      <c r="R326" s="52" t="str">
        <f>_xlfn.CONCAT(Tabla16[[#This Row],[ABR_01]],"00",Tabla16[[#This Row],[ABR_02]],Tabla16[[#This Row],[ZONA2]],,"0",Tabla16[[#This Row],[PARADA2]])</f>
        <v>AR00SF1023</v>
      </c>
      <c r="S326" s="52" t="s">
        <v>354</v>
      </c>
      <c r="T326" s="34" t="s">
        <v>299</v>
      </c>
      <c r="U326" s="34" t="s">
        <v>299</v>
      </c>
      <c r="V326" t="s">
        <v>804</v>
      </c>
    </row>
    <row r="327" spans="1:22" x14ac:dyDescent="0.25">
      <c r="A327" s="48" t="s">
        <v>300</v>
      </c>
      <c r="B327" s="30" t="s">
        <v>402</v>
      </c>
      <c r="C327" s="36" t="s">
        <v>142</v>
      </c>
      <c r="D327" s="31" t="s">
        <v>351</v>
      </c>
      <c r="E327" s="9" t="s">
        <v>27</v>
      </c>
      <c r="F327" s="5">
        <v>337</v>
      </c>
      <c r="G327" s="9">
        <v>740</v>
      </c>
      <c r="H327" s="32" t="s">
        <v>290</v>
      </c>
      <c r="I327" s="32" t="s">
        <v>352</v>
      </c>
      <c r="J327" s="33" t="s">
        <v>292</v>
      </c>
      <c r="K327" s="33" t="s">
        <v>403</v>
      </c>
      <c r="L327" s="49" t="s">
        <v>294</v>
      </c>
      <c r="M327" s="50" t="str">
        <f>Tabla16[[#This Row],[ABR_02]]</f>
        <v>SF</v>
      </c>
      <c r="N327" t="s">
        <v>295</v>
      </c>
      <c r="O327" s="51" t="s">
        <v>293</v>
      </c>
      <c r="P327" t="s">
        <v>296</v>
      </c>
      <c r="Q327" t="s">
        <v>353</v>
      </c>
      <c r="R327" s="52" t="str">
        <f>_xlfn.CONCAT(Tabla16[[#This Row],[ABR_01]],"00",Tabla16[[#This Row],[ABR_02]],Tabla16[[#This Row],[ZONA2]],,"0",Tabla16[[#This Row],[PARADA2]])</f>
        <v>AR00SF1024</v>
      </c>
      <c r="S327" s="52" t="s">
        <v>354</v>
      </c>
      <c r="T327" s="34" t="s">
        <v>299</v>
      </c>
      <c r="U327" s="34" t="s">
        <v>299</v>
      </c>
      <c r="V327" t="s">
        <v>804</v>
      </c>
    </row>
    <row r="328" spans="1:22" x14ac:dyDescent="0.25">
      <c r="A328" s="48" t="s">
        <v>300</v>
      </c>
      <c r="B328" s="30" t="s">
        <v>404</v>
      </c>
      <c r="C328" s="3" t="s">
        <v>404</v>
      </c>
      <c r="D328" s="31" t="s">
        <v>351</v>
      </c>
      <c r="E328" s="9" t="s">
        <v>27</v>
      </c>
      <c r="F328" s="5">
        <v>337</v>
      </c>
      <c r="G328" s="9">
        <v>702</v>
      </c>
      <c r="H328" s="32" t="s">
        <v>290</v>
      </c>
      <c r="I328" s="32" t="s">
        <v>352</v>
      </c>
      <c r="J328" s="33" t="s">
        <v>292</v>
      </c>
      <c r="K328" s="33" t="s">
        <v>405</v>
      </c>
      <c r="L328" s="49" t="s">
        <v>294</v>
      </c>
      <c r="M328" s="50" t="str">
        <f>Tabla16[[#This Row],[ABR_02]]</f>
        <v>SF</v>
      </c>
      <c r="N328" t="s">
        <v>295</v>
      </c>
      <c r="O328" s="51" t="s">
        <v>293</v>
      </c>
      <c r="P328" t="s">
        <v>296</v>
      </c>
      <c r="Q328" t="s">
        <v>353</v>
      </c>
      <c r="R328" s="52" t="str">
        <f>_xlfn.CONCAT(Tabla16[[#This Row],[ABR_01]],"00",Tabla16[[#This Row],[ABR_02]],Tabla16[[#This Row],[ZONA2]],,"0",Tabla16[[#This Row],[PARADA2]])</f>
        <v>AR00SF1025</v>
      </c>
      <c r="S328" s="52" t="s">
        <v>354</v>
      </c>
      <c r="T328" s="34" t="s">
        <v>299</v>
      </c>
      <c r="U328" s="34" t="s">
        <v>299</v>
      </c>
      <c r="V328" t="s">
        <v>804</v>
      </c>
    </row>
    <row r="329" spans="1:22" x14ac:dyDescent="0.25">
      <c r="A329" s="48" t="s">
        <v>300</v>
      </c>
      <c r="B329" s="30" t="s">
        <v>350</v>
      </c>
      <c r="C329" s="3" t="s">
        <v>350</v>
      </c>
      <c r="D329" s="31" t="s">
        <v>351</v>
      </c>
      <c r="E329" s="9" t="s">
        <v>27</v>
      </c>
      <c r="F329" s="5">
        <v>337</v>
      </c>
      <c r="G329" s="9">
        <v>799</v>
      </c>
      <c r="H329" s="32" t="s">
        <v>290</v>
      </c>
      <c r="I329" s="32" t="s">
        <v>352</v>
      </c>
      <c r="J329" s="33" t="s">
        <v>292</v>
      </c>
      <c r="K329" s="33" t="s">
        <v>293</v>
      </c>
      <c r="L329" s="49" t="s">
        <v>294</v>
      </c>
      <c r="M329" s="50" t="str">
        <f>Tabla16[[#This Row],[ABR_02]]</f>
        <v>SF</v>
      </c>
      <c r="N329" t="s">
        <v>295</v>
      </c>
      <c r="O329" s="51" t="s">
        <v>309</v>
      </c>
      <c r="P329" t="s">
        <v>625</v>
      </c>
      <c r="Q329" t="s">
        <v>295</v>
      </c>
      <c r="R329" s="52" t="str">
        <f>_xlfn.CONCAT(Tabla16[[#This Row],[ABR_01]],"00",Tabla16[[#This Row],[ABR_02]],Tabla16[[#This Row],[ZONA2]],,"0",Tabla16[[#This Row],[PARADA2]])</f>
        <v>AR00SF1001</v>
      </c>
      <c r="S329" s="52" t="s">
        <v>555</v>
      </c>
      <c r="T329" s="34" t="s">
        <v>299</v>
      </c>
      <c r="U329" s="45" t="s">
        <v>299</v>
      </c>
      <c r="V329" t="s">
        <v>805</v>
      </c>
    </row>
    <row r="330" spans="1:22" x14ac:dyDescent="0.25">
      <c r="A330" s="48" t="s">
        <v>300</v>
      </c>
      <c r="B330" s="30" t="s">
        <v>355</v>
      </c>
      <c r="C330" s="36" t="s">
        <v>356</v>
      </c>
      <c r="D330" s="31" t="s">
        <v>351</v>
      </c>
      <c r="E330" s="9" t="s">
        <v>27</v>
      </c>
      <c r="F330" s="5">
        <v>337</v>
      </c>
      <c r="G330" s="9">
        <v>735</v>
      </c>
      <c r="H330" s="32" t="s">
        <v>290</v>
      </c>
      <c r="I330" s="32" t="s">
        <v>352</v>
      </c>
      <c r="J330" s="33" t="s">
        <v>292</v>
      </c>
      <c r="K330" s="33" t="s">
        <v>306</v>
      </c>
      <c r="L330" s="49" t="s">
        <v>294</v>
      </c>
      <c r="M330" s="50" t="str">
        <f>Tabla16[[#This Row],[ABR_02]]</f>
        <v>SF</v>
      </c>
      <c r="N330" t="s">
        <v>295</v>
      </c>
      <c r="O330" s="51" t="s">
        <v>309</v>
      </c>
      <c r="P330" t="s">
        <v>625</v>
      </c>
      <c r="Q330" t="s">
        <v>295</v>
      </c>
      <c r="R330" s="52" t="str">
        <f>_xlfn.CONCAT(Tabla16[[#This Row],[ABR_01]],"00",Tabla16[[#This Row],[ABR_02]],Tabla16[[#This Row],[ZONA2]],,"0",Tabla16[[#This Row],[PARADA2]])</f>
        <v>AR00SF1002</v>
      </c>
      <c r="S330" s="52" t="s">
        <v>555</v>
      </c>
      <c r="T330" s="34" t="s">
        <v>299</v>
      </c>
      <c r="U330" s="45" t="s">
        <v>299</v>
      </c>
      <c r="V330" t="s">
        <v>805</v>
      </c>
    </row>
    <row r="331" spans="1:22" x14ac:dyDescent="0.25">
      <c r="A331" s="48" t="s">
        <v>300</v>
      </c>
      <c r="B331" s="30" t="s">
        <v>357</v>
      </c>
      <c r="C331" s="36" t="s">
        <v>358</v>
      </c>
      <c r="D331" s="31" t="s">
        <v>351</v>
      </c>
      <c r="E331" s="9" t="s">
        <v>27</v>
      </c>
      <c r="F331" s="5">
        <v>337</v>
      </c>
      <c r="G331" s="9">
        <v>706</v>
      </c>
      <c r="H331" s="32" t="s">
        <v>290</v>
      </c>
      <c r="I331" s="32" t="s">
        <v>352</v>
      </c>
      <c r="J331" s="33" t="s">
        <v>292</v>
      </c>
      <c r="K331" s="33" t="s">
        <v>307</v>
      </c>
      <c r="L331" s="49" t="s">
        <v>294</v>
      </c>
      <c r="M331" s="50" t="str">
        <f>Tabla16[[#This Row],[ABR_02]]</f>
        <v>SF</v>
      </c>
      <c r="N331" t="s">
        <v>295</v>
      </c>
      <c r="O331" s="51" t="s">
        <v>309</v>
      </c>
      <c r="P331" t="s">
        <v>625</v>
      </c>
      <c r="Q331" t="s">
        <v>295</v>
      </c>
      <c r="R331" s="52" t="str">
        <f>_xlfn.CONCAT(Tabla16[[#This Row],[ABR_01]],"00",Tabla16[[#This Row],[ABR_02]],Tabla16[[#This Row],[ZONA2]],,"0",Tabla16[[#This Row],[PARADA2]])</f>
        <v>AR00SF1003</v>
      </c>
      <c r="S331" s="52" t="s">
        <v>555</v>
      </c>
      <c r="T331" s="34" t="s">
        <v>299</v>
      </c>
      <c r="U331" s="45" t="s">
        <v>299</v>
      </c>
      <c r="V331" t="s">
        <v>805</v>
      </c>
    </row>
    <row r="332" spans="1:22" x14ac:dyDescent="0.25">
      <c r="A332" s="48" t="s">
        <v>300</v>
      </c>
      <c r="B332" s="30" t="s">
        <v>359</v>
      </c>
      <c r="C332" s="36" t="s">
        <v>29</v>
      </c>
      <c r="D332" s="31" t="s">
        <v>351</v>
      </c>
      <c r="E332" s="9" t="s">
        <v>27</v>
      </c>
      <c r="F332" s="5">
        <v>337</v>
      </c>
      <c r="G332" s="9">
        <v>708</v>
      </c>
      <c r="H332" s="32" t="s">
        <v>290</v>
      </c>
      <c r="I332" s="32" t="s">
        <v>352</v>
      </c>
      <c r="J332" s="33" t="s">
        <v>292</v>
      </c>
      <c r="K332" s="33" t="s">
        <v>309</v>
      </c>
      <c r="L332" s="49" t="s">
        <v>294</v>
      </c>
      <c r="M332" s="50" t="str">
        <f>Tabla16[[#This Row],[ABR_02]]</f>
        <v>SF</v>
      </c>
      <c r="N332" t="s">
        <v>295</v>
      </c>
      <c r="O332" s="51" t="s">
        <v>309</v>
      </c>
      <c r="P332" t="s">
        <v>625</v>
      </c>
      <c r="Q332" t="s">
        <v>295</v>
      </c>
      <c r="R332" s="52" t="str">
        <f>_xlfn.CONCAT(Tabla16[[#This Row],[ABR_01]],"00",Tabla16[[#This Row],[ABR_02]],Tabla16[[#This Row],[ZONA2]],,"0",Tabla16[[#This Row],[PARADA2]])</f>
        <v>AR00SF1004</v>
      </c>
      <c r="S332" s="52" t="s">
        <v>555</v>
      </c>
      <c r="T332" s="34" t="s">
        <v>299</v>
      </c>
      <c r="U332" s="45" t="s">
        <v>299</v>
      </c>
      <c r="V332" t="s">
        <v>805</v>
      </c>
    </row>
    <row r="333" spans="1:22" x14ac:dyDescent="0.25">
      <c r="A333" s="48" t="s">
        <v>300</v>
      </c>
      <c r="B333" s="30" t="s">
        <v>360</v>
      </c>
      <c r="C333" s="36" t="s">
        <v>361</v>
      </c>
      <c r="D333" s="31" t="s">
        <v>351</v>
      </c>
      <c r="E333" s="9" t="s">
        <v>27</v>
      </c>
      <c r="F333" s="5">
        <v>337</v>
      </c>
      <c r="G333" s="9">
        <v>710</v>
      </c>
      <c r="H333" s="32" t="s">
        <v>290</v>
      </c>
      <c r="I333" s="32" t="s">
        <v>352</v>
      </c>
      <c r="J333" s="33" t="s">
        <v>292</v>
      </c>
      <c r="K333" s="33" t="s">
        <v>319</v>
      </c>
      <c r="L333" s="49" t="s">
        <v>294</v>
      </c>
      <c r="M333" s="50" t="str">
        <f>Tabla16[[#This Row],[ABR_02]]</f>
        <v>SF</v>
      </c>
      <c r="N333" t="s">
        <v>295</v>
      </c>
      <c r="O333" s="51" t="s">
        <v>309</v>
      </c>
      <c r="P333" t="s">
        <v>625</v>
      </c>
      <c r="Q333" t="s">
        <v>295</v>
      </c>
      <c r="R333" s="52" t="str">
        <f>_xlfn.CONCAT(Tabla16[[#This Row],[ABR_01]],"00",Tabla16[[#This Row],[ABR_02]],Tabla16[[#This Row],[ZONA2]],,"0",Tabla16[[#This Row],[PARADA2]])</f>
        <v>AR00SF1005</v>
      </c>
      <c r="S333" s="52" t="s">
        <v>555</v>
      </c>
      <c r="T333" s="34" t="s">
        <v>299</v>
      </c>
      <c r="U333" s="45" t="s">
        <v>299</v>
      </c>
      <c r="V333" t="s">
        <v>805</v>
      </c>
    </row>
    <row r="334" spans="1:22" x14ac:dyDescent="0.25">
      <c r="A334" s="48" t="s">
        <v>300</v>
      </c>
      <c r="B334" s="30" t="s">
        <v>362</v>
      </c>
      <c r="C334" s="36" t="s">
        <v>363</v>
      </c>
      <c r="D334" s="31" t="s">
        <v>351</v>
      </c>
      <c r="E334" s="9" t="s">
        <v>27</v>
      </c>
      <c r="F334" s="5">
        <v>337</v>
      </c>
      <c r="G334" s="9">
        <v>703</v>
      </c>
      <c r="H334" s="32" t="s">
        <v>290</v>
      </c>
      <c r="I334" s="32" t="s">
        <v>352</v>
      </c>
      <c r="J334" s="33" t="s">
        <v>292</v>
      </c>
      <c r="K334" s="33" t="s">
        <v>320</v>
      </c>
      <c r="L334" s="49" t="s">
        <v>294</v>
      </c>
      <c r="M334" s="50" t="str">
        <f>Tabla16[[#This Row],[ABR_02]]</f>
        <v>SF</v>
      </c>
      <c r="N334" t="s">
        <v>295</v>
      </c>
      <c r="O334" s="51" t="s">
        <v>309</v>
      </c>
      <c r="P334" t="s">
        <v>625</v>
      </c>
      <c r="Q334" t="s">
        <v>295</v>
      </c>
      <c r="R334" s="52" t="str">
        <f>_xlfn.CONCAT(Tabla16[[#This Row],[ABR_01]],"00",Tabla16[[#This Row],[ABR_02]],Tabla16[[#This Row],[ZONA2]],,"0",Tabla16[[#This Row],[PARADA2]])</f>
        <v>AR00SF1006</v>
      </c>
      <c r="S334" s="52" t="s">
        <v>555</v>
      </c>
      <c r="T334" s="34" t="s">
        <v>299</v>
      </c>
      <c r="U334" s="45" t="s">
        <v>299</v>
      </c>
      <c r="V334" t="s">
        <v>805</v>
      </c>
    </row>
    <row r="335" spans="1:22" x14ac:dyDescent="0.25">
      <c r="A335" s="48" t="s">
        <v>300</v>
      </c>
      <c r="B335" s="30" t="s">
        <v>364</v>
      </c>
      <c r="C335" s="3" t="s">
        <v>364</v>
      </c>
      <c r="D335" s="31" t="s">
        <v>351</v>
      </c>
      <c r="E335" s="9" t="s">
        <v>27</v>
      </c>
      <c r="F335" s="5">
        <v>337</v>
      </c>
      <c r="G335" s="9">
        <v>780</v>
      </c>
      <c r="H335" s="32" t="s">
        <v>290</v>
      </c>
      <c r="I335" s="32" t="s">
        <v>352</v>
      </c>
      <c r="J335" s="33" t="s">
        <v>292</v>
      </c>
      <c r="K335" s="33" t="s">
        <v>322</v>
      </c>
      <c r="L335" s="49" t="s">
        <v>294</v>
      </c>
      <c r="M335" s="50" t="str">
        <f>Tabla16[[#This Row],[ABR_02]]</f>
        <v>SF</v>
      </c>
      <c r="N335" t="s">
        <v>295</v>
      </c>
      <c r="O335" s="51" t="s">
        <v>309</v>
      </c>
      <c r="P335" t="s">
        <v>625</v>
      </c>
      <c r="Q335" t="s">
        <v>295</v>
      </c>
      <c r="R335" s="52" t="str">
        <f>_xlfn.CONCAT(Tabla16[[#This Row],[ABR_01]],"00",Tabla16[[#This Row],[ABR_02]],Tabla16[[#This Row],[ZONA2]],,"0",Tabla16[[#This Row],[PARADA2]])</f>
        <v>AR00SF1007</v>
      </c>
      <c r="S335" s="52" t="s">
        <v>555</v>
      </c>
      <c r="T335" s="34" t="s">
        <v>299</v>
      </c>
      <c r="U335" s="45" t="s">
        <v>299</v>
      </c>
      <c r="V335" t="s">
        <v>805</v>
      </c>
    </row>
    <row r="336" spans="1:22" x14ac:dyDescent="0.25">
      <c r="A336" s="48" t="s">
        <v>300</v>
      </c>
      <c r="B336" s="30" t="s">
        <v>365</v>
      </c>
      <c r="C336" s="3" t="s">
        <v>365</v>
      </c>
      <c r="D336" s="31" t="s">
        <v>351</v>
      </c>
      <c r="E336" s="9" t="s">
        <v>27</v>
      </c>
      <c r="F336" s="5">
        <v>337</v>
      </c>
      <c r="G336" s="9">
        <v>795</v>
      </c>
      <c r="H336" s="32" t="s">
        <v>290</v>
      </c>
      <c r="I336" s="32" t="s">
        <v>352</v>
      </c>
      <c r="J336" s="33" t="s">
        <v>292</v>
      </c>
      <c r="K336" s="33" t="s">
        <v>324</v>
      </c>
      <c r="L336" s="49" t="s">
        <v>294</v>
      </c>
      <c r="M336" s="50" t="str">
        <f>Tabla16[[#This Row],[ABR_02]]</f>
        <v>SF</v>
      </c>
      <c r="N336" t="s">
        <v>295</v>
      </c>
      <c r="O336" s="51" t="s">
        <v>309</v>
      </c>
      <c r="P336" t="s">
        <v>625</v>
      </c>
      <c r="Q336" t="s">
        <v>295</v>
      </c>
      <c r="R336" s="52" t="str">
        <f>_xlfn.CONCAT(Tabla16[[#This Row],[ABR_01]],"00",Tabla16[[#This Row],[ABR_02]],Tabla16[[#This Row],[ZONA2]],,"0",Tabla16[[#This Row],[PARADA2]])</f>
        <v>AR00SF1008</v>
      </c>
      <c r="S336" s="52" t="s">
        <v>555</v>
      </c>
      <c r="T336" s="34" t="s">
        <v>299</v>
      </c>
      <c r="U336" s="45" t="s">
        <v>299</v>
      </c>
      <c r="V336" t="s">
        <v>805</v>
      </c>
    </row>
    <row r="337" spans="1:22" x14ac:dyDescent="0.25">
      <c r="A337" s="48" t="s">
        <v>300</v>
      </c>
      <c r="B337" s="30" t="s">
        <v>366</v>
      </c>
      <c r="C337" s="36" t="s">
        <v>367</v>
      </c>
      <c r="D337" s="31" t="s">
        <v>351</v>
      </c>
      <c r="E337" s="9" t="s">
        <v>27</v>
      </c>
      <c r="F337" s="5">
        <v>337</v>
      </c>
      <c r="G337" s="9">
        <v>750</v>
      </c>
      <c r="H337" s="32" t="s">
        <v>290</v>
      </c>
      <c r="I337" s="32" t="s">
        <v>352</v>
      </c>
      <c r="J337" s="33" t="s">
        <v>292</v>
      </c>
      <c r="K337" s="33" t="s">
        <v>368</v>
      </c>
      <c r="L337" s="49" t="s">
        <v>294</v>
      </c>
      <c r="M337" s="50" t="str">
        <f>Tabla16[[#This Row],[ABR_02]]</f>
        <v>SF</v>
      </c>
      <c r="N337" t="s">
        <v>295</v>
      </c>
      <c r="O337" s="51" t="s">
        <v>309</v>
      </c>
      <c r="P337" t="s">
        <v>625</v>
      </c>
      <c r="Q337" t="s">
        <v>295</v>
      </c>
      <c r="R337" s="52" t="str">
        <f>_xlfn.CONCAT(Tabla16[[#This Row],[ABR_01]],"00",Tabla16[[#This Row],[ABR_02]],Tabla16[[#This Row],[ZONA2]],,"0",Tabla16[[#This Row],[PARADA2]])</f>
        <v>AR00SF1009</v>
      </c>
      <c r="S337" s="52" t="s">
        <v>555</v>
      </c>
      <c r="T337" s="34" t="s">
        <v>299</v>
      </c>
      <c r="U337" s="45" t="s">
        <v>299</v>
      </c>
      <c r="V337" t="s">
        <v>805</v>
      </c>
    </row>
    <row r="338" spans="1:22" x14ac:dyDescent="0.25">
      <c r="A338" s="48" t="s">
        <v>300</v>
      </c>
      <c r="B338" s="30" t="s">
        <v>369</v>
      </c>
      <c r="C338" s="36" t="s">
        <v>232</v>
      </c>
      <c r="D338" s="31" t="s">
        <v>351</v>
      </c>
      <c r="E338" s="9" t="s">
        <v>27</v>
      </c>
      <c r="F338" s="5">
        <v>337</v>
      </c>
      <c r="G338" s="9">
        <v>705</v>
      </c>
      <c r="H338" s="32" t="s">
        <v>290</v>
      </c>
      <c r="I338" s="32" t="s">
        <v>352</v>
      </c>
      <c r="J338" s="33" t="s">
        <v>292</v>
      </c>
      <c r="K338" s="33" t="s">
        <v>370</v>
      </c>
      <c r="L338" s="49" t="s">
        <v>294</v>
      </c>
      <c r="M338" s="50" t="str">
        <f>Tabla16[[#This Row],[ABR_02]]</f>
        <v>SF</v>
      </c>
      <c r="N338" t="s">
        <v>295</v>
      </c>
      <c r="O338" s="51" t="s">
        <v>309</v>
      </c>
      <c r="P338" t="s">
        <v>625</v>
      </c>
      <c r="Q338" t="s">
        <v>295</v>
      </c>
      <c r="R338" s="52" t="str">
        <f>_xlfn.CONCAT(Tabla16[[#This Row],[ABR_01]],"00",Tabla16[[#This Row],[ABR_02]],Tabla16[[#This Row],[ZONA2]],,"0",Tabla16[[#This Row],[PARADA2]])</f>
        <v>AR00SF1010</v>
      </c>
      <c r="S338" s="52" t="s">
        <v>555</v>
      </c>
      <c r="T338" s="34" t="s">
        <v>299</v>
      </c>
      <c r="U338" s="45" t="s">
        <v>299</v>
      </c>
      <c r="V338" t="s">
        <v>805</v>
      </c>
    </row>
    <row r="339" spans="1:22" x14ac:dyDescent="0.25">
      <c r="A339" s="48" t="s">
        <v>300</v>
      </c>
      <c r="B339" s="30" t="s">
        <v>371</v>
      </c>
      <c r="C339" s="3" t="s">
        <v>371</v>
      </c>
      <c r="D339" s="31" t="s">
        <v>351</v>
      </c>
      <c r="E339" s="9" t="s">
        <v>27</v>
      </c>
      <c r="F339" s="5">
        <v>337</v>
      </c>
      <c r="G339" s="9">
        <v>704</v>
      </c>
      <c r="H339" s="32" t="s">
        <v>290</v>
      </c>
      <c r="I339" s="32" t="s">
        <v>352</v>
      </c>
      <c r="J339" s="33" t="s">
        <v>292</v>
      </c>
      <c r="K339" s="33" t="s">
        <v>372</v>
      </c>
      <c r="L339" s="49" t="s">
        <v>294</v>
      </c>
      <c r="M339" s="50" t="str">
        <f>Tabla16[[#This Row],[ABR_02]]</f>
        <v>SF</v>
      </c>
      <c r="N339" t="s">
        <v>295</v>
      </c>
      <c r="O339" s="51" t="s">
        <v>309</v>
      </c>
      <c r="P339" t="s">
        <v>625</v>
      </c>
      <c r="Q339" t="s">
        <v>295</v>
      </c>
      <c r="R339" s="52" t="str">
        <f>_xlfn.CONCAT(Tabla16[[#This Row],[ABR_01]],"00",Tabla16[[#This Row],[ABR_02]],Tabla16[[#This Row],[ZONA2]],,"0",Tabla16[[#This Row],[PARADA2]])</f>
        <v>AR00SF1011</v>
      </c>
      <c r="S339" s="52" t="s">
        <v>555</v>
      </c>
      <c r="T339" s="34" t="s">
        <v>299</v>
      </c>
      <c r="U339" s="45" t="s">
        <v>299</v>
      </c>
      <c r="V339" t="s">
        <v>805</v>
      </c>
    </row>
    <row r="340" spans="1:22" x14ac:dyDescent="0.25">
      <c r="A340" s="48" t="s">
        <v>300</v>
      </c>
      <c r="B340" s="30" t="s">
        <v>373</v>
      </c>
      <c r="C340" s="3" t="s">
        <v>373</v>
      </c>
      <c r="D340" s="31" t="s">
        <v>351</v>
      </c>
      <c r="E340" s="9" t="s">
        <v>27</v>
      </c>
      <c r="F340" s="5">
        <v>337</v>
      </c>
      <c r="G340" s="9">
        <v>785</v>
      </c>
      <c r="H340" s="32" t="s">
        <v>290</v>
      </c>
      <c r="I340" s="32" t="s">
        <v>352</v>
      </c>
      <c r="J340" s="33" t="s">
        <v>292</v>
      </c>
      <c r="K340" s="33" t="s">
        <v>374</v>
      </c>
      <c r="L340" s="49" t="s">
        <v>294</v>
      </c>
      <c r="M340" s="50" t="str">
        <f>Tabla16[[#This Row],[ABR_02]]</f>
        <v>SF</v>
      </c>
      <c r="N340" t="s">
        <v>295</v>
      </c>
      <c r="O340" s="51" t="s">
        <v>309</v>
      </c>
      <c r="P340" t="s">
        <v>625</v>
      </c>
      <c r="Q340" t="s">
        <v>295</v>
      </c>
      <c r="R340" s="52" t="str">
        <f>_xlfn.CONCAT(Tabla16[[#This Row],[ABR_01]],"00",Tabla16[[#This Row],[ABR_02]],Tabla16[[#This Row],[ZONA2]],,"0",Tabla16[[#This Row],[PARADA2]])</f>
        <v>AR00SF1012</v>
      </c>
      <c r="S340" s="52" t="s">
        <v>555</v>
      </c>
      <c r="T340" s="34" t="s">
        <v>299</v>
      </c>
      <c r="U340" s="45" t="s">
        <v>299</v>
      </c>
      <c r="V340" t="s">
        <v>805</v>
      </c>
    </row>
    <row r="341" spans="1:22" x14ac:dyDescent="0.25">
      <c r="A341" s="48" t="s">
        <v>300</v>
      </c>
      <c r="B341" s="30" t="s">
        <v>375</v>
      </c>
      <c r="C341" s="3" t="s">
        <v>375</v>
      </c>
      <c r="D341" s="31" t="s">
        <v>351</v>
      </c>
      <c r="E341" s="9" t="s">
        <v>27</v>
      </c>
      <c r="F341" s="5">
        <v>337</v>
      </c>
      <c r="G341" s="9">
        <v>745</v>
      </c>
      <c r="H341" s="32" t="s">
        <v>290</v>
      </c>
      <c r="I341" s="32" t="s">
        <v>352</v>
      </c>
      <c r="J341" s="33" t="s">
        <v>292</v>
      </c>
      <c r="K341" s="33" t="s">
        <v>376</v>
      </c>
      <c r="L341" s="49" t="s">
        <v>294</v>
      </c>
      <c r="M341" s="50" t="str">
        <f>Tabla16[[#This Row],[ABR_02]]</f>
        <v>SF</v>
      </c>
      <c r="N341" t="s">
        <v>295</v>
      </c>
      <c r="O341" s="51" t="s">
        <v>309</v>
      </c>
      <c r="P341" t="s">
        <v>625</v>
      </c>
      <c r="Q341" t="s">
        <v>295</v>
      </c>
      <c r="R341" s="52" t="str">
        <f>_xlfn.CONCAT(Tabla16[[#This Row],[ABR_01]],"00",Tabla16[[#This Row],[ABR_02]],Tabla16[[#This Row],[ZONA2]],,"0",Tabla16[[#This Row],[PARADA2]])</f>
        <v>AR00SF1013</v>
      </c>
      <c r="S341" s="52" t="s">
        <v>555</v>
      </c>
      <c r="T341" s="34" t="s">
        <v>299</v>
      </c>
      <c r="U341" s="45" t="s">
        <v>299</v>
      </c>
      <c r="V341" t="s">
        <v>805</v>
      </c>
    </row>
    <row r="342" spans="1:22" x14ac:dyDescent="0.25">
      <c r="A342" s="48" t="s">
        <v>300</v>
      </c>
      <c r="B342" s="30" t="s">
        <v>377</v>
      </c>
      <c r="C342" s="36" t="s">
        <v>378</v>
      </c>
      <c r="D342" s="31" t="s">
        <v>351</v>
      </c>
      <c r="E342" s="9" t="s">
        <v>27</v>
      </c>
      <c r="F342" s="5">
        <v>337</v>
      </c>
      <c r="G342" s="9">
        <v>715</v>
      </c>
      <c r="H342" s="32" t="s">
        <v>290</v>
      </c>
      <c r="I342" s="32" t="s">
        <v>352</v>
      </c>
      <c r="J342" s="33" t="s">
        <v>292</v>
      </c>
      <c r="K342" s="33" t="s">
        <v>379</v>
      </c>
      <c r="L342" s="49" t="s">
        <v>294</v>
      </c>
      <c r="M342" s="50" t="str">
        <f>Tabla16[[#This Row],[ABR_02]]</f>
        <v>SF</v>
      </c>
      <c r="N342" t="s">
        <v>295</v>
      </c>
      <c r="O342" s="51" t="s">
        <v>309</v>
      </c>
      <c r="P342" t="s">
        <v>625</v>
      </c>
      <c r="Q342" t="s">
        <v>295</v>
      </c>
      <c r="R342" s="52" t="str">
        <f>_xlfn.CONCAT(Tabla16[[#This Row],[ABR_01]],"00",Tabla16[[#This Row],[ABR_02]],Tabla16[[#This Row],[ZONA2]],,"0",Tabla16[[#This Row],[PARADA2]])</f>
        <v>AR00SF1014</v>
      </c>
      <c r="S342" s="52" t="s">
        <v>555</v>
      </c>
      <c r="T342" s="34" t="s">
        <v>299</v>
      </c>
      <c r="U342" s="45" t="s">
        <v>299</v>
      </c>
      <c r="V342" t="s">
        <v>805</v>
      </c>
    </row>
    <row r="343" spans="1:22" x14ac:dyDescent="0.25">
      <c r="A343" s="48" t="s">
        <v>300</v>
      </c>
      <c r="B343" s="30" t="s">
        <v>380</v>
      </c>
      <c r="C343" s="36" t="s">
        <v>381</v>
      </c>
      <c r="D343" s="31" t="s">
        <v>351</v>
      </c>
      <c r="E343" s="9" t="s">
        <v>27</v>
      </c>
      <c r="F343" s="5">
        <v>337</v>
      </c>
      <c r="G343" s="9">
        <v>798</v>
      </c>
      <c r="H343" s="32" t="s">
        <v>290</v>
      </c>
      <c r="I343" s="32" t="s">
        <v>352</v>
      </c>
      <c r="J343" s="33" t="s">
        <v>292</v>
      </c>
      <c r="K343" s="33" t="s">
        <v>382</v>
      </c>
      <c r="L343" s="49" t="s">
        <v>294</v>
      </c>
      <c r="M343" s="50" t="str">
        <f>Tabla16[[#This Row],[ABR_02]]</f>
        <v>SF</v>
      </c>
      <c r="N343" t="s">
        <v>295</v>
      </c>
      <c r="O343" s="51" t="s">
        <v>309</v>
      </c>
      <c r="P343" t="s">
        <v>625</v>
      </c>
      <c r="Q343" t="s">
        <v>295</v>
      </c>
      <c r="R343" s="52" t="str">
        <f>_xlfn.CONCAT(Tabla16[[#This Row],[ABR_01]],"00",Tabla16[[#This Row],[ABR_02]],Tabla16[[#This Row],[ZONA2]],,"0",Tabla16[[#This Row],[PARADA2]])</f>
        <v>AR00SF1015</v>
      </c>
      <c r="S343" s="52" t="s">
        <v>555</v>
      </c>
      <c r="T343" s="34" t="s">
        <v>299</v>
      </c>
      <c r="U343" s="45" t="s">
        <v>299</v>
      </c>
      <c r="V343" t="s">
        <v>805</v>
      </c>
    </row>
    <row r="344" spans="1:22" x14ac:dyDescent="0.25">
      <c r="A344" s="48" t="s">
        <v>300</v>
      </c>
      <c r="B344" s="30" t="s">
        <v>383</v>
      </c>
      <c r="C344" s="36" t="s">
        <v>109</v>
      </c>
      <c r="D344" s="31" t="s">
        <v>351</v>
      </c>
      <c r="E344" s="9" t="s">
        <v>27</v>
      </c>
      <c r="F344" s="5">
        <v>337</v>
      </c>
      <c r="G344" s="9">
        <v>700</v>
      </c>
      <c r="H344" s="32" t="s">
        <v>290</v>
      </c>
      <c r="I344" s="32" t="s">
        <v>352</v>
      </c>
      <c r="J344" s="33" t="s">
        <v>292</v>
      </c>
      <c r="K344" s="33" t="s">
        <v>384</v>
      </c>
      <c r="L344" s="49" t="s">
        <v>294</v>
      </c>
      <c r="M344" s="50" t="str">
        <f>Tabla16[[#This Row],[ABR_02]]</f>
        <v>SF</v>
      </c>
      <c r="N344" t="s">
        <v>295</v>
      </c>
      <c r="O344" s="51" t="s">
        <v>309</v>
      </c>
      <c r="P344" t="s">
        <v>625</v>
      </c>
      <c r="Q344" t="s">
        <v>295</v>
      </c>
      <c r="R344" s="52" t="str">
        <f>_xlfn.CONCAT(Tabla16[[#This Row],[ABR_01]],"00",Tabla16[[#This Row],[ABR_02]],Tabla16[[#This Row],[ZONA2]],,"0",Tabla16[[#This Row],[PARADA2]])</f>
        <v>AR00SF1016</v>
      </c>
      <c r="S344" s="52" t="s">
        <v>555</v>
      </c>
      <c r="T344" s="34" t="s">
        <v>299</v>
      </c>
      <c r="U344" s="45" t="s">
        <v>299</v>
      </c>
      <c r="V344" t="s">
        <v>805</v>
      </c>
    </row>
    <row r="345" spans="1:22" x14ac:dyDescent="0.25">
      <c r="A345" s="48" t="s">
        <v>300</v>
      </c>
      <c r="B345" s="30" t="s">
        <v>385</v>
      </c>
      <c r="C345" s="36" t="s">
        <v>386</v>
      </c>
      <c r="D345" s="31" t="s">
        <v>351</v>
      </c>
      <c r="E345" s="9" t="s">
        <v>27</v>
      </c>
      <c r="F345" s="5">
        <v>337</v>
      </c>
      <c r="G345" s="9">
        <v>714</v>
      </c>
      <c r="H345" s="32" t="s">
        <v>290</v>
      </c>
      <c r="I345" s="32" t="s">
        <v>352</v>
      </c>
      <c r="J345" s="33" t="s">
        <v>292</v>
      </c>
      <c r="K345" s="33" t="s">
        <v>387</v>
      </c>
      <c r="L345" s="49" t="s">
        <v>294</v>
      </c>
      <c r="M345" s="50" t="str">
        <f>Tabla16[[#This Row],[ABR_02]]</f>
        <v>SF</v>
      </c>
      <c r="N345" t="s">
        <v>295</v>
      </c>
      <c r="O345" s="51" t="s">
        <v>309</v>
      </c>
      <c r="P345" t="s">
        <v>625</v>
      </c>
      <c r="Q345" t="s">
        <v>295</v>
      </c>
      <c r="R345" s="52" t="str">
        <f>_xlfn.CONCAT(Tabla16[[#This Row],[ABR_01]],"00",Tabla16[[#This Row],[ABR_02]],Tabla16[[#This Row],[ZONA2]],,"0",Tabla16[[#This Row],[PARADA2]])</f>
        <v>AR00SF1017</v>
      </c>
      <c r="S345" s="52" t="s">
        <v>555</v>
      </c>
      <c r="T345" s="34" t="s">
        <v>299</v>
      </c>
      <c r="U345" s="45" t="s">
        <v>299</v>
      </c>
      <c r="V345" t="s">
        <v>805</v>
      </c>
    </row>
    <row r="346" spans="1:22" x14ac:dyDescent="0.25">
      <c r="A346" s="48" t="s">
        <v>300</v>
      </c>
      <c r="B346" s="30" t="s">
        <v>388</v>
      </c>
      <c r="C346" s="3" t="s">
        <v>388</v>
      </c>
      <c r="D346" s="31" t="s">
        <v>351</v>
      </c>
      <c r="E346" s="9" t="s">
        <v>27</v>
      </c>
      <c r="F346" s="5">
        <v>337</v>
      </c>
      <c r="G346" s="9">
        <v>730</v>
      </c>
      <c r="H346" s="32" t="s">
        <v>290</v>
      </c>
      <c r="I346" s="32" t="s">
        <v>352</v>
      </c>
      <c r="J346" s="33" t="s">
        <v>292</v>
      </c>
      <c r="K346" s="33" t="s">
        <v>389</v>
      </c>
      <c r="L346" s="49" t="s">
        <v>294</v>
      </c>
      <c r="M346" s="50" t="str">
        <f>Tabla16[[#This Row],[ABR_02]]</f>
        <v>SF</v>
      </c>
      <c r="N346" t="s">
        <v>295</v>
      </c>
      <c r="O346" s="51" t="s">
        <v>309</v>
      </c>
      <c r="P346" t="s">
        <v>625</v>
      </c>
      <c r="Q346" t="s">
        <v>295</v>
      </c>
      <c r="R346" s="52" t="str">
        <f>_xlfn.CONCAT(Tabla16[[#This Row],[ABR_01]],"00",Tabla16[[#This Row],[ABR_02]],Tabla16[[#This Row],[ZONA2]],,"0",Tabla16[[#This Row],[PARADA2]])</f>
        <v>AR00SF1018</v>
      </c>
      <c r="S346" s="52" t="s">
        <v>555</v>
      </c>
      <c r="T346" s="34" t="s">
        <v>299</v>
      </c>
      <c r="U346" s="45" t="s">
        <v>299</v>
      </c>
      <c r="V346" t="s">
        <v>805</v>
      </c>
    </row>
    <row r="347" spans="1:22" x14ac:dyDescent="0.25">
      <c r="A347" s="48" t="s">
        <v>300</v>
      </c>
      <c r="B347" s="30" t="s">
        <v>390</v>
      </c>
      <c r="C347" s="36" t="s">
        <v>391</v>
      </c>
      <c r="D347" s="31" t="s">
        <v>351</v>
      </c>
      <c r="E347" s="9" t="s">
        <v>27</v>
      </c>
      <c r="F347" s="5">
        <v>337</v>
      </c>
      <c r="G347" s="9">
        <v>790</v>
      </c>
      <c r="H347" s="32" t="s">
        <v>290</v>
      </c>
      <c r="I347" s="32" t="s">
        <v>352</v>
      </c>
      <c r="J347" s="33" t="s">
        <v>292</v>
      </c>
      <c r="K347" s="33" t="s">
        <v>392</v>
      </c>
      <c r="L347" s="49" t="s">
        <v>294</v>
      </c>
      <c r="M347" s="50" t="str">
        <f>Tabla16[[#This Row],[ABR_02]]</f>
        <v>SF</v>
      </c>
      <c r="N347" t="s">
        <v>295</v>
      </c>
      <c r="O347" s="51" t="s">
        <v>309</v>
      </c>
      <c r="P347" t="s">
        <v>625</v>
      </c>
      <c r="Q347" t="s">
        <v>295</v>
      </c>
      <c r="R347" s="52" t="str">
        <f>_xlfn.CONCAT(Tabla16[[#This Row],[ABR_01]],"00",Tabla16[[#This Row],[ABR_02]],Tabla16[[#This Row],[ZONA2]],,"0",Tabla16[[#This Row],[PARADA2]])</f>
        <v>AR00SF1019</v>
      </c>
      <c r="S347" s="52" t="s">
        <v>555</v>
      </c>
      <c r="T347" s="34" t="s">
        <v>299</v>
      </c>
      <c r="U347" s="45" t="s">
        <v>299</v>
      </c>
      <c r="V347" t="s">
        <v>805</v>
      </c>
    </row>
    <row r="348" spans="1:22" x14ac:dyDescent="0.25">
      <c r="A348" s="48" t="s">
        <v>300</v>
      </c>
      <c r="B348" s="30" t="s">
        <v>393</v>
      </c>
      <c r="C348" s="3" t="s">
        <v>393</v>
      </c>
      <c r="D348" s="31" t="s">
        <v>351</v>
      </c>
      <c r="E348" s="9" t="s">
        <v>27</v>
      </c>
      <c r="F348" s="5">
        <v>337</v>
      </c>
      <c r="G348" s="9">
        <v>712</v>
      </c>
      <c r="H348" s="32" t="s">
        <v>290</v>
      </c>
      <c r="I348" s="32" t="s">
        <v>352</v>
      </c>
      <c r="J348" s="33" t="s">
        <v>292</v>
      </c>
      <c r="K348" s="33" t="s">
        <v>394</v>
      </c>
      <c r="L348" s="49" t="s">
        <v>294</v>
      </c>
      <c r="M348" s="50" t="str">
        <f>Tabla16[[#This Row],[ABR_02]]</f>
        <v>SF</v>
      </c>
      <c r="N348" t="s">
        <v>295</v>
      </c>
      <c r="O348" s="51" t="s">
        <v>309</v>
      </c>
      <c r="P348" t="s">
        <v>625</v>
      </c>
      <c r="Q348" t="s">
        <v>295</v>
      </c>
      <c r="R348" s="52" t="str">
        <f>_xlfn.CONCAT(Tabla16[[#This Row],[ABR_01]],"00",Tabla16[[#This Row],[ABR_02]],Tabla16[[#This Row],[ZONA2]],,"0",Tabla16[[#This Row],[PARADA2]])</f>
        <v>AR00SF1020</v>
      </c>
      <c r="S348" s="52" t="s">
        <v>555</v>
      </c>
      <c r="T348" s="34" t="s">
        <v>299</v>
      </c>
      <c r="U348" s="45" t="s">
        <v>299</v>
      </c>
      <c r="V348" t="s">
        <v>805</v>
      </c>
    </row>
    <row r="349" spans="1:22" x14ac:dyDescent="0.25">
      <c r="A349" s="48" t="s">
        <v>300</v>
      </c>
      <c r="B349" s="30" t="s">
        <v>395</v>
      </c>
      <c r="C349" s="36" t="s">
        <v>28</v>
      </c>
      <c r="D349" s="31" t="s">
        <v>351</v>
      </c>
      <c r="E349" s="9" t="s">
        <v>27</v>
      </c>
      <c r="F349" s="5">
        <v>337</v>
      </c>
      <c r="G349" s="9">
        <v>765</v>
      </c>
      <c r="H349" s="32" t="s">
        <v>290</v>
      </c>
      <c r="I349" s="32" t="s">
        <v>352</v>
      </c>
      <c r="J349" s="33" t="s">
        <v>292</v>
      </c>
      <c r="K349" s="33" t="s">
        <v>396</v>
      </c>
      <c r="L349" s="49" t="s">
        <v>294</v>
      </c>
      <c r="M349" s="50" t="str">
        <f>Tabla16[[#This Row],[ABR_02]]</f>
        <v>SF</v>
      </c>
      <c r="N349" t="s">
        <v>295</v>
      </c>
      <c r="O349" s="51" t="s">
        <v>309</v>
      </c>
      <c r="P349" t="s">
        <v>625</v>
      </c>
      <c r="Q349" t="s">
        <v>295</v>
      </c>
      <c r="R349" s="52" t="str">
        <f>_xlfn.CONCAT(Tabla16[[#This Row],[ABR_01]],"00",Tabla16[[#This Row],[ABR_02]],Tabla16[[#This Row],[ZONA2]],,"0",Tabla16[[#This Row],[PARADA2]])</f>
        <v>AR00SF1021</v>
      </c>
      <c r="S349" s="52" t="s">
        <v>555</v>
      </c>
      <c r="T349" s="34" t="s">
        <v>299</v>
      </c>
      <c r="U349" s="45" t="s">
        <v>299</v>
      </c>
      <c r="V349" t="s">
        <v>805</v>
      </c>
    </row>
    <row r="350" spans="1:22" x14ac:dyDescent="0.25">
      <c r="A350" s="48" t="s">
        <v>300</v>
      </c>
      <c r="B350" s="30" t="s">
        <v>397</v>
      </c>
      <c r="C350" s="3" t="s">
        <v>397</v>
      </c>
      <c r="D350" s="31" t="s">
        <v>351</v>
      </c>
      <c r="E350" s="9" t="s">
        <v>27</v>
      </c>
      <c r="F350" s="5">
        <v>337</v>
      </c>
      <c r="G350" s="9">
        <v>337</v>
      </c>
      <c r="H350" s="32" t="s">
        <v>290</v>
      </c>
      <c r="I350" s="32" t="s">
        <v>352</v>
      </c>
      <c r="J350" s="33" t="s">
        <v>292</v>
      </c>
      <c r="K350" s="33" t="s">
        <v>398</v>
      </c>
      <c r="L350" s="49" t="s">
        <v>294</v>
      </c>
      <c r="M350" s="50" t="str">
        <f>Tabla16[[#This Row],[ABR_02]]</f>
        <v>SF</v>
      </c>
      <c r="N350" t="s">
        <v>295</v>
      </c>
      <c r="O350" s="51" t="s">
        <v>309</v>
      </c>
      <c r="P350" t="s">
        <v>625</v>
      </c>
      <c r="Q350" t="s">
        <v>295</v>
      </c>
      <c r="R350" s="52" t="str">
        <f>_xlfn.CONCAT(Tabla16[[#This Row],[ABR_01]],"00",Tabla16[[#This Row],[ABR_02]],Tabla16[[#This Row],[ZONA2]],,"0",Tabla16[[#This Row],[PARADA2]])</f>
        <v>AR00SF1022</v>
      </c>
      <c r="S350" s="52" t="s">
        <v>555</v>
      </c>
      <c r="T350" s="34" t="s">
        <v>299</v>
      </c>
      <c r="U350" s="45" t="s">
        <v>299</v>
      </c>
      <c r="V350" t="s">
        <v>805</v>
      </c>
    </row>
    <row r="351" spans="1:22" x14ac:dyDescent="0.25">
      <c r="A351" s="48" t="s">
        <v>300</v>
      </c>
      <c r="B351" s="30" t="s">
        <v>399</v>
      </c>
      <c r="C351" s="3" t="s">
        <v>400</v>
      </c>
      <c r="D351" s="31" t="s">
        <v>351</v>
      </c>
      <c r="E351" s="9" t="s">
        <v>27</v>
      </c>
      <c r="F351" s="5">
        <v>337</v>
      </c>
      <c r="G351" s="9">
        <v>770</v>
      </c>
      <c r="H351" s="32" t="s">
        <v>290</v>
      </c>
      <c r="I351" s="32" t="s">
        <v>352</v>
      </c>
      <c r="J351" s="33" t="s">
        <v>292</v>
      </c>
      <c r="K351" s="33" t="s">
        <v>401</v>
      </c>
      <c r="L351" s="49" t="s">
        <v>294</v>
      </c>
      <c r="M351" s="50" t="str">
        <f>Tabla16[[#This Row],[ABR_02]]</f>
        <v>SF</v>
      </c>
      <c r="N351" t="s">
        <v>295</v>
      </c>
      <c r="O351" s="51" t="s">
        <v>309</v>
      </c>
      <c r="P351" t="s">
        <v>625</v>
      </c>
      <c r="Q351" t="s">
        <v>295</v>
      </c>
      <c r="R351" s="52" t="str">
        <f>_xlfn.CONCAT(Tabla16[[#This Row],[ABR_01]],"00",Tabla16[[#This Row],[ABR_02]],Tabla16[[#This Row],[ZONA2]],,"0",Tabla16[[#This Row],[PARADA2]])</f>
        <v>AR00SF1023</v>
      </c>
      <c r="S351" s="52" t="s">
        <v>555</v>
      </c>
      <c r="T351" s="34" t="s">
        <v>299</v>
      </c>
      <c r="U351" s="45" t="s">
        <v>299</v>
      </c>
      <c r="V351" t="s">
        <v>805</v>
      </c>
    </row>
    <row r="352" spans="1:22" x14ac:dyDescent="0.25">
      <c r="A352" s="48" t="s">
        <v>300</v>
      </c>
      <c r="B352" s="30" t="s">
        <v>402</v>
      </c>
      <c r="C352" s="36" t="s">
        <v>142</v>
      </c>
      <c r="D352" s="31" t="s">
        <v>351</v>
      </c>
      <c r="E352" s="9" t="s">
        <v>27</v>
      </c>
      <c r="F352" s="5">
        <v>337</v>
      </c>
      <c r="G352" s="9">
        <v>740</v>
      </c>
      <c r="H352" s="32" t="s">
        <v>290</v>
      </c>
      <c r="I352" s="32" t="s">
        <v>352</v>
      </c>
      <c r="J352" s="33" t="s">
        <v>292</v>
      </c>
      <c r="K352" s="33" t="s">
        <v>403</v>
      </c>
      <c r="L352" s="49" t="s">
        <v>294</v>
      </c>
      <c r="M352" s="50" t="str">
        <f>Tabla16[[#This Row],[ABR_02]]</f>
        <v>SF</v>
      </c>
      <c r="N352" t="s">
        <v>295</v>
      </c>
      <c r="O352" s="51" t="s">
        <v>309</v>
      </c>
      <c r="P352" t="s">
        <v>625</v>
      </c>
      <c r="Q352" t="s">
        <v>295</v>
      </c>
      <c r="R352" s="52" t="str">
        <f>_xlfn.CONCAT(Tabla16[[#This Row],[ABR_01]],"00",Tabla16[[#This Row],[ABR_02]],Tabla16[[#This Row],[ZONA2]],,"0",Tabla16[[#This Row],[PARADA2]])</f>
        <v>AR00SF1024</v>
      </c>
      <c r="S352" s="52" t="s">
        <v>555</v>
      </c>
      <c r="T352" s="34" t="s">
        <v>299</v>
      </c>
      <c r="U352" s="45" t="s">
        <v>299</v>
      </c>
      <c r="V352" t="s">
        <v>805</v>
      </c>
    </row>
    <row r="353" spans="1:22" x14ac:dyDescent="0.25">
      <c r="A353" s="48" t="s">
        <v>300</v>
      </c>
      <c r="B353" s="30" t="s">
        <v>404</v>
      </c>
      <c r="C353" s="3" t="s">
        <v>404</v>
      </c>
      <c r="D353" s="31" t="s">
        <v>351</v>
      </c>
      <c r="E353" s="9" t="s">
        <v>27</v>
      </c>
      <c r="F353" s="5">
        <v>337</v>
      </c>
      <c r="G353" s="9">
        <v>702</v>
      </c>
      <c r="H353" s="32" t="s">
        <v>290</v>
      </c>
      <c r="I353" s="32" t="s">
        <v>352</v>
      </c>
      <c r="J353" s="33" t="s">
        <v>292</v>
      </c>
      <c r="K353" s="33" t="s">
        <v>405</v>
      </c>
      <c r="L353" s="49" t="s">
        <v>294</v>
      </c>
      <c r="M353" s="50" t="str">
        <f>Tabla16[[#This Row],[ABR_02]]</f>
        <v>SF</v>
      </c>
      <c r="N353" t="s">
        <v>295</v>
      </c>
      <c r="O353" s="51" t="s">
        <v>309</v>
      </c>
      <c r="P353" t="s">
        <v>625</v>
      </c>
      <c r="Q353" t="s">
        <v>295</v>
      </c>
      <c r="R353" s="52" t="str">
        <f>_xlfn.CONCAT(Tabla16[[#This Row],[ABR_01]],"00",Tabla16[[#This Row],[ABR_02]],Tabla16[[#This Row],[ZONA2]],,"0",Tabla16[[#This Row],[PARADA2]])</f>
        <v>AR00SF1025</v>
      </c>
      <c r="S353" s="52" t="s">
        <v>555</v>
      </c>
      <c r="T353" s="34" t="s">
        <v>299</v>
      </c>
      <c r="U353" s="45" t="s">
        <v>299</v>
      </c>
      <c r="V353" t="s">
        <v>805</v>
      </c>
    </row>
    <row r="354" spans="1:22" x14ac:dyDescent="0.25">
      <c r="A354" s="48" t="s">
        <v>300</v>
      </c>
      <c r="B354" s="30" t="s">
        <v>346</v>
      </c>
      <c r="C354" s="3" t="s">
        <v>346</v>
      </c>
      <c r="D354" s="31" t="s">
        <v>347</v>
      </c>
      <c r="E354" s="9" t="s">
        <v>31</v>
      </c>
      <c r="F354" s="5">
        <v>359</v>
      </c>
      <c r="G354" s="9">
        <v>435</v>
      </c>
      <c r="H354" s="32" t="s">
        <v>290</v>
      </c>
      <c r="I354" s="32" t="s">
        <v>348</v>
      </c>
      <c r="J354" s="33" t="s">
        <v>292</v>
      </c>
      <c r="K354" s="33" t="s">
        <v>293</v>
      </c>
      <c r="L354" s="49" t="s">
        <v>294</v>
      </c>
      <c r="M354" s="50" t="str">
        <f>Tabla16[[#This Row],[ABR_02]]</f>
        <v>SE</v>
      </c>
      <c r="N354" t="s">
        <v>295</v>
      </c>
      <c r="O354" s="51" t="s">
        <v>293</v>
      </c>
      <c r="P354" t="s">
        <v>296</v>
      </c>
      <c r="Q354" t="s">
        <v>303</v>
      </c>
      <c r="R354" s="52" t="str">
        <f>_xlfn.CONCAT(Tabla16[[#This Row],[ABR_01]],"00",Tabla16[[#This Row],[ABR_02]],Tabla16[[#This Row],[ZONA2]],,"0",Tabla16[[#This Row],[PARADA2]])</f>
        <v>AR00SE1001</v>
      </c>
      <c r="S354" s="52" t="s">
        <v>304</v>
      </c>
      <c r="T354" s="34" t="s">
        <v>299</v>
      </c>
      <c r="U354" s="34" t="s">
        <v>299</v>
      </c>
      <c r="V354" t="s">
        <v>804</v>
      </c>
    </row>
    <row r="355" spans="1:22" x14ac:dyDescent="0.25">
      <c r="A355" s="48" t="s">
        <v>300</v>
      </c>
      <c r="B355" s="30" t="s">
        <v>349</v>
      </c>
      <c r="C355" s="36" t="s">
        <v>132</v>
      </c>
      <c r="D355" s="31" t="s">
        <v>347</v>
      </c>
      <c r="E355" s="9" t="s">
        <v>31</v>
      </c>
      <c r="F355" s="5">
        <v>359</v>
      </c>
      <c r="G355" s="9">
        <v>430</v>
      </c>
      <c r="H355" s="32" t="s">
        <v>290</v>
      </c>
      <c r="I355" s="32" t="s">
        <v>348</v>
      </c>
      <c r="J355" s="33" t="s">
        <v>292</v>
      </c>
      <c r="K355" s="33" t="s">
        <v>306</v>
      </c>
      <c r="L355" s="49" t="s">
        <v>294</v>
      </c>
      <c r="M355" s="50" t="str">
        <f>Tabla16[[#This Row],[ABR_02]]</f>
        <v>SE</v>
      </c>
      <c r="N355" t="s">
        <v>295</v>
      </c>
      <c r="O355" s="51" t="s">
        <v>293</v>
      </c>
      <c r="P355" t="s">
        <v>296</v>
      </c>
      <c r="Q355" t="s">
        <v>303</v>
      </c>
      <c r="R355" s="52" t="str">
        <f>_xlfn.CONCAT(Tabla16[[#This Row],[ABR_01]],"00",Tabla16[[#This Row],[ABR_02]],Tabla16[[#This Row],[ZONA2]],,"0",Tabla16[[#This Row],[PARADA2]])</f>
        <v>AR00SE1002</v>
      </c>
      <c r="S355" s="52" t="s">
        <v>304</v>
      </c>
      <c r="T355" s="34" t="s">
        <v>299</v>
      </c>
      <c r="U355" s="34" t="s">
        <v>299</v>
      </c>
      <c r="V355" t="s">
        <v>804</v>
      </c>
    </row>
    <row r="356" spans="1:22" x14ac:dyDescent="0.25">
      <c r="A356" s="48" t="s">
        <v>300</v>
      </c>
      <c r="B356" s="30" t="s">
        <v>346</v>
      </c>
      <c r="C356" s="3" t="s">
        <v>346</v>
      </c>
      <c r="D356" s="31" t="s">
        <v>347</v>
      </c>
      <c r="E356" s="9" t="s">
        <v>31</v>
      </c>
      <c r="F356" s="5">
        <v>359</v>
      </c>
      <c r="G356" s="9">
        <v>435</v>
      </c>
      <c r="H356" s="32" t="s">
        <v>290</v>
      </c>
      <c r="I356" s="32" t="s">
        <v>348</v>
      </c>
      <c r="J356" s="33" t="s">
        <v>292</v>
      </c>
      <c r="K356" s="33" t="s">
        <v>293</v>
      </c>
      <c r="L356" s="49" t="s">
        <v>294</v>
      </c>
      <c r="M356" s="50" t="str">
        <f>Tabla16[[#This Row],[ABR_02]]</f>
        <v>SE</v>
      </c>
      <c r="N356" t="s">
        <v>295</v>
      </c>
      <c r="O356" s="51" t="s">
        <v>309</v>
      </c>
      <c r="P356" t="s">
        <v>625</v>
      </c>
      <c r="Q356" t="s">
        <v>626</v>
      </c>
      <c r="R356" s="52" t="str">
        <f>_xlfn.CONCAT(Tabla16[[#This Row],[ABR_01]],"00",Tabla16[[#This Row],[ABR_02]],Tabla16[[#This Row],[ZONA2]],,"0",Tabla16[[#This Row],[PARADA2]])</f>
        <v>AR00SE1001</v>
      </c>
      <c r="S356" s="52" t="s">
        <v>627</v>
      </c>
      <c r="T356" s="34" t="s">
        <v>299</v>
      </c>
      <c r="U356" s="45" t="s">
        <v>299</v>
      </c>
      <c r="V356" t="s">
        <v>805</v>
      </c>
    </row>
    <row r="357" spans="1:22" x14ac:dyDescent="0.25">
      <c r="A357" s="48" t="s">
        <v>300</v>
      </c>
      <c r="B357" s="30" t="s">
        <v>349</v>
      </c>
      <c r="C357" s="36" t="s">
        <v>132</v>
      </c>
      <c r="D357" s="31" t="s">
        <v>347</v>
      </c>
      <c r="E357" s="9" t="s">
        <v>31</v>
      </c>
      <c r="F357" s="5">
        <v>359</v>
      </c>
      <c r="G357" s="9">
        <v>430</v>
      </c>
      <c r="H357" s="32" t="s">
        <v>290</v>
      </c>
      <c r="I357" s="32" t="s">
        <v>348</v>
      </c>
      <c r="J357" s="33" t="s">
        <v>292</v>
      </c>
      <c r="K357" s="33" t="s">
        <v>306</v>
      </c>
      <c r="L357" s="49" t="s">
        <v>294</v>
      </c>
      <c r="M357" s="50" t="str">
        <f>Tabla16[[#This Row],[ABR_02]]</f>
        <v>SE</v>
      </c>
      <c r="N357" t="s">
        <v>295</v>
      </c>
      <c r="O357" s="51" t="s">
        <v>309</v>
      </c>
      <c r="P357" t="s">
        <v>625</v>
      </c>
      <c r="Q357" t="s">
        <v>626</v>
      </c>
      <c r="R357" s="52" t="str">
        <f>_xlfn.CONCAT(Tabla16[[#This Row],[ABR_01]],"00",Tabla16[[#This Row],[ABR_02]],Tabla16[[#This Row],[ZONA2]],,"0",Tabla16[[#This Row],[PARADA2]])</f>
        <v>AR00SE1002</v>
      </c>
      <c r="S357" s="52" t="s">
        <v>627</v>
      </c>
      <c r="T357" s="34" t="s">
        <v>299</v>
      </c>
      <c r="U357" s="45" t="s">
        <v>299</v>
      </c>
      <c r="V357" t="s">
        <v>805</v>
      </c>
    </row>
    <row r="358" spans="1:22" x14ac:dyDescent="0.25">
      <c r="A358" s="48" t="s">
        <v>300</v>
      </c>
      <c r="B358" s="30" t="s">
        <v>342</v>
      </c>
      <c r="C358" s="36" t="s">
        <v>105</v>
      </c>
      <c r="D358" s="31" t="s">
        <v>343</v>
      </c>
      <c r="E358" s="9" t="s">
        <v>23</v>
      </c>
      <c r="F358" s="5">
        <v>357</v>
      </c>
      <c r="G358" s="9">
        <v>995</v>
      </c>
      <c r="H358" s="32" t="s">
        <v>290</v>
      </c>
      <c r="I358" s="32" t="s">
        <v>344</v>
      </c>
      <c r="J358" s="33" t="s">
        <v>292</v>
      </c>
      <c r="K358" s="33" t="s">
        <v>293</v>
      </c>
      <c r="L358" s="49" t="s">
        <v>294</v>
      </c>
      <c r="M358" s="50" t="str">
        <f>Tabla16[[#This Row],[ABR_02]]</f>
        <v>TF</v>
      </c>
      <c r="N358" t="s">
        <v>295</v>
      </c>
      <c r="O358" s="51" t="s">
        <v>293</v>
      </c>
      <c r="P358" t="s">
        <v>296</v>
      </c>
      <c r="Q358" t="s">
        <v>313</v>
      </c>
      <c r="R358" s="52" t="str">
        <f>_xlfn.CONCAT(Tabla16[[#This Row],[ABR_01]],"00",Tabla16[[#This Row],[ABR_02]],Tabla16[[#This Row],[ZONA2]],,"0",Tabla16[[#This Row],[PARADA2]])</f>
        <v>AR00TF1001</v>
      </c>
      <c r="S358" s="52" t="s">
        <v>314</v>
      </c>
      <c r="T358" s="34" t="s">
        <v>299</v>
      </c>
      <c r="U358" s="34" t="s">
        <v>299</v>
      </c>
      <c r="V358" t="s">
        <v>804</v>
      </c>
    </row>
    <row r="359" spans="1:22" x14ac:dyDescent="0.25">
      <c r="A359" s="48" t="s">
        <v>300</v>
      </c>
      <c r="B359" s="30" t="s">
        <v>345</v>
      </c>
      <c r="C359" s="36" t="s">
        <v>140</v>
      </c>
      <c r="D359" s="31" t="s">
        <v>343</v>
      </c>
      <c r="E359" s="9" t="s">
        <v>23</v>
      </c>
      <c r="F359" s="5">
        <v>357</v>
      </c>
      <c r="G359" s="9">
        <v>990</v>
      </c>
      <c r="H359" s="32" t="s">
        <v>290</v>
      </c>
      <c r="I359" s="32" t="s">
        <v>344</v>
      </c>
      <c r="J359" s="33" t="s">
        <v>292</v>
      </c>
      <c r="K359" s="33" t="s">
        <v>306</v>
      </c>
      <c r="L359" s="49" t="s">
        <v>294</v>
      </c>
      <c r="M359" s="50" t="str">
        <f>Tabla16[[#This Row],[ABR_02]]</f>
        <v>TF</v>
      </c>
      <c r="N359" t="s">
        <v>295</v>
      </c>
      <c r="O359" s="51" t="s">
        <v>293</v>
      </c>
      <c r="P359" t="s">
        <v>296</v>
      </c>
      <c r="Q359" t="s">
        <v>313</v>
      </c>
      <c r="R359" s="52" t="str">
        <f>_xlfn.CONCAT(Tabla16[[#This Row],[ABR_01]],"00",Tabla16[[#This Row],[ABR_02]],Tabla16[[#This Row],[ZONA2]],,"0",Tabla16[[#This Row],[PARADA2]])</f>
        <v>AR00TF1002</v>
      </c>
      <c r="S359" s="52" t="s">
        <v>314</v>
      </c>
      <c r="T359" s="34" t="s">
        <v>299</v>
      </c>
      <c r="U359" s="34" t="s">
        <v>299</v>
      </c>
      <c r="V359" t="s">
        <v>804</v>
      </c>
    </row>
    <row r="360" spans="1:22" x14ac:dyDescent="0.25">
      <c r="A360" s="48" t="s">
        <v>300</v>
      </c>
      <c r="B360" s="30" t="s">
        <v>342</v>
      </c>
      <c r="C360" s="36" t="s">
        <v>105</v>
      </c>
      <c r="D360" s="31" t="s">
        <v>343</v>
      </c>
      <c r="E360" s="9" t="s">
        <v>23</v>
      </c>
      <c r="F360" s="5">
        <v>357</v>
      </c>
      <c r="G360" s="9">
        <v>995</v>
      </c>
      <c r="H360" s="32" t="s">
        <v>290</v>
      </c>
      <c r="I360" s="32" t="s">
        <v>344</v>
      </c>
      <c r="J360" s="33" t="s">
        <v>292</v>
      </c>
      <c r="K360" s="33" t="s">
        <v>293</v>
      </c>
      <c r="L360" s="49" t="s">
        <v>294</v>
      </c>
      <c r="M360" s="50" t="str">
        <f>Tabla16[[#This Row],[ABR_02]]</f>
        <v>TF</v>
      </c>
      <c r="N360" t="s">
        <v>295</v>
      </c>
      <c r="O360" s="51" t="s">
        <v>309</v>
      </c>
      <c r="P360" t="s">
        <v>625</v>
      </c>
      <c r="Q360" t="s">
        <v>626</v>
      </c>
      <c r="R360" s="52" t="str">
        <f>_xlfn.CONCAT(Tabla16[[#This Row],[ABR_01]],"00",Tabla16[[#This Row],[ABR_02]],Tabla16[[#This Row],[ZONA2]],,"0",Tabla16[[#This Row],[PARADA2]])</f>
        <v>AR00TF1001</v>
      </c>
      <c r="S360" s="52" t="s">
        <v>627</v>
      </c>
      <c r="T360" s="34" t="s">
        <v>299</v>
      </c>
      <c r="U360" s="45" t="s">
        <v>299</v>
      </c>
      <c r="V360" t="s">
        <v>805</v>
      </c>
    </row>
    <row r="361" spans="1:22" x14ac:dyDescent="0.25">
      <c r="A361" s="48" t="s">
        <v>300</v>
      </c>
      <c r="B361" s="30" t="s">
        <v>345</v>
      </c>
      <c r="C361" s="36" t="s">
        <v>140</v>
      </c>
      <c r="D361" s="31" t="s">
        <v>343</v>
      </c>
      <c r="E361" s="9" t="s">
        <v>23</v>
      </c>
      <c r="F361" s="5">
        <v>357</v>
      </c>
      <c r="G361" s="9">
        <v>990</v>
      </c>
      <c r="H361" s="32" t="s">
        <v>290</v>
      </c>
      <c r="I361" s="32" t="s">
        <v>344</v>
      </c>
      <c r="J361" s="33" t="s">
        <v>292</v>
      </c>
      <c r="K361" s="33" t="s">
        <v>306</v>
      </c>
      <c r="L361" s="49" t="s">
        <v>294</v>
      </c>
      <c r="M361" s="50" t="str">
        <f>Tabla16[[#This Row],[ABR_02]]</f>
        <v>TF</v>
      </c>
      <c r="N361" t="s">
        <v>295</v>
      </c>
      <c r="O361" s="51" t="s">
        <v>309</v>
      </c>
      <c r="P361" t="s">
        <v>625</v>
      </c>
      <c r="Q361" t="s">
        <v>626</v>
      </c>
      <c r="R361" s="52" t="str">
        <f>_xlfn.CONCAT(Tabla16[[#This Row],[ABR_01]],"00",Tabla16[[#This Row],[ABR_02]],Tabla16[[#This Row],[ZONA2]],,"0",Tabla16[[#This Row],[PARADA2]])</f>
        <v>AR00TF1002</v>
      </c>
      <c r="S361" s="52" t="s">
        <v>627</v>
      </c>
      <c r="T361" s="34" t="s">
        <v>299</v>
      </c>
      <c r="U361" s="45" t="s">
        <v>299</v>
      </c>
      <c r="V361" t="s">
        <v>805</v>
      </c>
    </row>
    <row r="362" spans="1:22" x14ac:dyDescent="0.25">
      <c r="A362" s="48" t="s">
        <v>300</v>
      </c>
      <c r="B362" s="30" t="s">
        <v>334</v>
      </c>
      <c r="C362" s="3" t="s">
        <v>334</v>
      </c>
      <c r="D362" s="31" t="s">
        <v>335</v>
      </c>
      <c r="E362" s="9" t="s">
        <v>31</v>
      </c>
      <c r="F362" s="5">
        <v>337</v>
      </c>
      <c r="G362" s="9">
        <v>415</v>
      </c>
      <c r="H362" s="32" t="s">
        <v>290</v>
      </c>
      <c r="I362" s="32" t="s">
        <v>336</v>
      </c>
      <c r="J362" s="33" t="s">
        <v>292</v>
      </c>
      <c r="K362" s="33" t="s">
        <v>293</v>
      </c>
      <c r="L362" s="49" t="s">
        <v>294</v>
      </c>
      <c r="M362" s="50" t="str">
        <f>Tabla16[[#This Row],[ABR_02]]</f>
        <v>TU</v>
      </c>
      <c r="N362" t="s">
        <v>295</v>
      </c>
      <c r="O362" s="51" t="s">
        <v>293</v>
      </c>
      <c r="P362" t="s">
        <v>296</v>
      </c>
      <c r="Q362" t="s">
        <v>303</v>
      </c>
      <c r="R362" s="52" t="str">
        <f>_xlfn.CONCAT(Tabla16[[#This Row],[ABR_01]],"00",Tabla16[[#This Row],[ABR_02]],Tabla16[[#This Row],[ZONA2]],,"0",Tabla16[[#This Row],[PARADA2]])</f>
        <v>AR00TU1001</v>
      </c>
      <c r="S362" s="52" t="s">
        <v>304</v>
      </c>
      <c r="T362" s="34" t="s">
        <v>299</v>
      </c>
      <c r="U362" s="34" t="s">
        <v>299</v>
      </c>
      <c r="V362" t="s">
        <v>804</v>
      </c>
    </row>
    <row r="363" spans="1:22" x14ac:dyDescent="0.25">
      <c r="A363" s="48" t="s">
        <v>300</v>
      </c>
      <c r="B363" s="30" t="s">
        <v>337</v>
      </c>
      <c r="C363" s="3" t="s">
        <v>337</v>
      </c>
      <c r="D363" s="31" t="s">
        <v>335</v>
      </c>
      <c r="E363" s="9" t="s">
        <v>31</v>
      </c>
      <c r="F363" s="5">
        <v>353</v>
      </c>
      <c r="G363" s="9">
        <v>410</v>
      </c>
      <c r="H363" s="32" t="s">
        <v>290</v>
      </c>
      <c r="I363" s="32" t="s">
        <v>336</v>
      </c>
      <c r="J363" s="33" t="s">
        <v>292</v>
      </c>
      <c r="K363" s="33" t="s">
        <v>306</v>
      </c>
      <c r="L363" s="49" t="s">
        <v>294</v>
      </c>
      <c r="M363" s="50" t="str">
        <f>Tabla16[[#This Row],[ABR_02]]</f>
        <v>TU</v>
      </c>
      <c r="N363" t="s">
        <v>295</v>
      </c>
      <c r="O363" s="51" t="s">
        <v>293</v>
      </c>
      <c r="P363" t="s">
        <v>296</v>
      </c>
      <c r="Q363" t="s">
        <v>303</v>
      </c>
      <c r="R363" s="52" t="str">
        <f>_xlfn.CONCAT(Tabla16[[#This Row],[ABR_01]],"00",Tabla16[[#This Row],[ABR_02]],Tabla16[[#This Row],[ZONA2]],,"0",Tabla16[[#This Row],[PARADA2]])</f>
        <v>AR00TU1002</v>
      </c>
      <c r="S363" s="52" t="s">
        <v>304</v>
      </c>
      <c r="T363" s="34" t="s">
        <v>299</v>
      </c>
      <c r="U363" s="34" t="s">
        <v>299</v>
      </c>
      <c r="V363" t="s">
        <v>804</v>
      </c>
    </row>
    <row r="364" spans="1:22" x14ac:dyDescent="0.25">
      <c r="A364" s="48" t="s">
        <v>300</v>
      </c>
      <c r="B364" s="30" t="s">
        <v>338</v>
      </c>
      <c r="C364" s="3" t="s">
        <v>338</v>
      </c>
      <c r="D364" s="31" t="s">
        <v>335</v>
      </c>
      <c r="E364" s="9" t="s">
        <v>31</v>
      </c>
      <c r="F364" s="5">
        <v>353</v>
      </c>
      <c r="G364" s="9">
        <v>420</v>
      </c>
      <c r="H364" s="32" t="s">
        <v>290</v>
      </c>
      <c r="I364" s="32" t="s">
        <v>336</v>
      </c>
      <c r="J364" s="33" t="s">
        <v>292</v>
      </c>
      <c r="K364" s="33" t="s">
        <v>307</v>
      </c>
      <c r="L364" s="49" t="s">
        <v>294</v>
      </c>
      <c r="M364" s="50" t="str">
        <f>Tabla16[[#This Row],[ABR_02]]</f>
        <v>TU</v>
      </c>
      <c r="N364" t="s">
        <v>295</v>
      </c>
      <c r="O364" s="51" t="s">
        <v>293</v>
      </c>
      <c r="P364" t="s">
        <v>296</v>
      </c>
      <c r="Q364" t="s">
        <v>303</v>
      </c>
      <c r="R364" s="52" t="str">
        <f>_xlfn.CONCAT(Tabla16[[#This Row],[ABR_01]],"00",Tabla16[[#This Row],[ABR_02]],Tabla16[[#This Row],[ZONA2]],,"0",Tabla16[[#This Row],[PARADA2]])</f>
        <v>AR00TU1003</v>
      </c>
      <c r="S364" s="52" t="s">
        <v>304</v>
      </c>
      <c r="T364" s="34" t="s">
        <v>299</v>
      </c>
      <c r="U364" s="34" t="s">
        <v>299</v>
      </c>
      <c r="V364" t="s">
        <v>804</v>
      </c>
    </row>
    <row r="365" spans="1:22" x14ac:dyDescent="0.25">
      <c r="A365" s="48" t="s">
        <v>300</v>
      </c>
      <c r="B365" s="30" t="s">
        <v>339</v>
      </c>
      <c r="C365" s="3" t="s">
        <v>339</v>
      </c>
      <c r="D365" s="31" t="s">
        <v>335</v>
      </c>
      <c r="E365" s="9" t="s">
        <v>31</v>
      </c>
      <c r="F365" s="5">
        <v>353</v>
      </c>
      <c r="G365" s="9">
        <v>405</v>
      </c>
      <c r="H365" s="32" t="s">
        <v>290</v>
      </c>
      <c r="I365" s="32" t="s">
        <v>336</v>
      </c>
      <c r="J365" s="33" t="s">
        <v>292</v>
      </c>
      <c r="K365" s="33" t="s">
        <v>309</v>
      </c>
      <c r="L365" s="49" t="s">
        <v>294</v>
      </c>
      <c r="M365" s="50" t="str">
        <f>Tabla16[[#This Row],[ABR_02]]</f>
        <v>TU</v>
      </c>
      <c r="N365" t="s">
        <v>295</v>
      </c>
      <c r="O365" s="51" t="s">
        <v>293</v>
      </c>
      <c r="P365" t="s">
        <v>296</v>
      </c>
      <c r="Q365" t="s">
        <v>303</v>
      </c>
      <c r="R365" s="52" t="str">
        <f>_xlfn.CONCAT(Tabla16[[#This Row],[ABR_01]],"00",Tabla16[[#This Row],[ABR_02]],Tabla16[[#This Row],[ZONA2]],,"0",Tabla16[[#This Row],[PARADA2]])</f>
        <v>AR00TU1004</v>
      </c>
      <c r="S365" s="52" t="s">
        <v>304</v>
      </c>
      <c r="T365" s="34" t="s">
        <v>299</v>
      </c>
      <c r="U365" s="34" t="s">
        <v>299</v>
      </c>
      <c r="V365" t="s">
        <v>804</v>
      </c>
    </row>
    <row r="366" spans="1:22" x14ac:dyDescent="0.25">
      <c r="A366" s="48" t="s">
        <v>300</v>
      </c>
      <c r="B366" s="30" t="s">
        <v>340</v>
      </c>
      <c r="C366" s="36" t="s">
        <v>123</v>
      </c>
      <c r="D366" s="31" t="s">
        <v>335</v>
      </c>
      <c r="E366" s="9" t="s">
        <v>31</v>
      </c>
      <c r="F366" s="5">
        <v>353</v>
      </c>
      <c r="G366" s="9">
        <v>400</v>
      </c>
      <c r="H366" s="32" t="s">
        <v>290</v>
      </c>
      <c r="I366" s="32" t="s">
        <v>336</v>
      </c>
      <c r="J366" s="33" t="s">
        <v>292</v>
      </c>
      <c r="K366" s="33" t="s">
        <v>319</v>
      </c>
      <c r="L366" s="49" t="s">
        <v>294</v>
      </c>
      <c r="M366" s="50" t="str">
        <f>Tabla16[[#This Row],[ABR_02]]</f>
        <v>TU</v>
      </c>
      <c r="N366" t="s">
        <v>295</v>
      </c>
      <c r="O366" s="51" t="s">
        <v>293</v>
      </c>
      <c r="P366" t="s">
        <v>296</v>
      </c>
      <c r="Q366" t="s">
        <v>303</v>
      </c>
      <c r="R366" s="52" t="str">
        <f>_xlfn.CONCAT(Tabla16[[#This Row],[ABR_01]],"00",Tabla16[[#This Row],[ABR_02]],Tabla16[[#This Row],[ZONA2]],,"0",Tabla16[[#This Row],[PARADA2]])</f>
        <v>AR00TU1005</v>
      </c>
      <c r="S366" s="52" t="s">
        <v>304</v>
      </c>
      <c r="T366" s="34" t="s">
        <v>299</v>
      </c>
      <c r="U366" s="34" t="s">
        <v>299</v>
      </c>
      <c r="V366" t="s">
        <v>804</v>
      </c>
    </row>
    <row r="367" spans="1:22" x14ac:dyDescent="0.25">
      <c r="A367" s="48" t="s">
        <v>300</v>
      </c>
      <c r="B367" s="30" t="s">
        <v>341</v>
      </c>
      <c r="C367" s="30" t="s">
        <v>341</v>
      </c>
      <c r="D367" s="31" t="s">
        <v>335</v>
      </c>
      <c r="E367" s="9" t="s">
        <v>31</v>
      </c>
      <c r="F367" s="5">
        <v>353</v>
      </c>
      <c r="G367" s="9">
        <v>425</v>
      </c>
      <c r="H367" s="32" t="s">
        <v>290</v>
      </c>
      <c r="I367" s="32" t="s">
        <v>336</v>
      </c>
      <c r="J367" s="33" t="s">
        <v>292</v>
      </c>
      <c r="K367" s="33" t="s">
        <v>320</v>
      </c>
      <c r="L367" s="49" t="s">
        <v>294</v>
      </c>
      <c r="M367" s="50" t="str">
        <f>Tabla16[[#This Row],[ABR_02]]</f>
        <v>TU</v>
      </c>
      <c r="N367" t="s">
        <v>295</v>
      </c>
      <c r="O367" s="51" t="s">
        <v>293</v>
      </c>
      <c r="P367" t="s">
        <v>296</v>
      </c>
      <c r="Q367" t="s">
        <v>303</v>
      </c>
      <c r="R367" s="52" t="str">
        <f>_xlfn.CONCAT(Tabla16[[#This Row],[ABR_01]],"00",Tabla16[[#This Row],[ABR_02]],Tabla16[[#This Row],[ZONA2]],,"0",Tabla16[[#This Row],[PARADA2]])</f>
        <v>AR00TU1006</v>
      </c>
      <c r="S367" s="52" t="s">
        <v>304</v>
      </c>
      <c r="T367" s="34" t="s">
        <v>299</v>
      </c>
      <c r="U367" s="34" t="s">
        <v>299</v>
      </c>
      <c r="V367" t="s">
        <v>804</v>
      </c>
    </row>
    <row r="368" spans="1:22" x14ac:dyDescent="0.25">
      <c r="A368" s="48" t="s">
        <v>300</v>
      </c>
      <c r="B368" s="30" t="s">
        <v>334</v>
      </c>
      <c r="C368" s="3" t="s">
        <v>334</v>
      </c>
      <c r="D368" s="31" t="s">
        <v>335</v>
      </c>
      <c r="E368" s="9" t="s">
        <v>31</v>
      </c>
      <c r="F368" s="5">
        <v>337</v>
      </c>
      <c r="G368" s="9">
        <v>415</v>
      </c>
      <c r="H368" s="32" t="s">
        <v>290</v>
      </c>
      <c r="I368" s="32" t="s">
        <v>336</v>
      </c>
      <c r="J368" s="33" t="s">
        <v>292</v>
      </c>
      <c r="K368" s="33" t="s">
        <v>293</v>
      </c>
      <c r="L368" s="49" t="s">
        <v>294</v>
      </c>
      <c r="M368" s="50" t="str">
        <f>Tabla16[[#This Row],[ABR_02]]</f>
        <v>TU</v>
      </c>
      <c r="N368" t="s">
        <v>295</v>
      </c>
      <c r="O368" s="51" t="s">
        <v>309</v>
      </c>
      <c r="P368" t="s">
        <v>625</v>
      </c>
      <c r="Q368" t="s">
        <v>626</v>
      </c>
      <c r="R368" s="52" t="str">
        <f>_xlfn.CONCAT(Tabla16[[#This Row],[ABR_01]],"00",Tabla16[[#This Row],[ABR_02]],Tabla16[[#This Row],[ZONA2]],,"0",Tabla16[[#This Row],[PARADA2]])</f>
        <v>AR00TU1001</v>
      </c>
      <c r="S368" s="52" t="s">
        <v>627</v>
      </c>
      <c r="T368" s="34" t="s">
        <v>299</v>
      </c>
      <c r="U368" s="45" t="s">
        <v>299</v>
      </c>
      <c r="V368" t="s">
        <v>805</v>
      </c>
    </row>
    <row r="369" spans="1:22" x14ac:dyDescent="0.25">
      <c r="A369" s="48" t="s">
        <v>300</v>
      </c>
      <c r="B369" s="30" t="s">
        <v>337</v>
      </c>
      <c r="C369" s="3" t="s">
        <v>337</v>
      </c>
      <c r="D369" s="31" t="s">
        <v>335</v>
      </c>
      <c r="E369" s="9" t="s">
        <v>31</v>
      </c>
      <c r="F369" s="5">
        <v>353</v>
      </c>
      <c r="G369" s="9">
        <v>410</v>
      </c>
      <c r="H369" s="32" t="s">
        <v>290</v>
      </c>
      <c r="I369" s="32" t="s">
        <v>336</v>
      </c>
      <c r="J369" s="33" t="s">
        <v>292</v>
      </c>
      <c r="K369" s="33" t="s">
        <v>306</v>
      </c>
      <c r="L369" s="49" t="s">
        <v>294</v>
      </c>
      <c r="M369" s="50" t="str">
        <f>Tabla16[[#This Row],[ABR_02]]</f>
        <v>TU</v>
      </c>
      <c r="N369" t="s">
        <v>295</v>
      </c>
      <c r="O369" s="51" t="s">
        <v>309</v>
      </c>
      <c r="P369" t="s">
        <v>625</v>
      </c>
      <c r="Q369" t="s">
        <v>626</v>
      </c>
      <c r="R369" s="52" t="str">
        <f>_xlfn.CONCAT(Tabla16[[#This Row],[ABR_01]],"00",Tabla16[[#This Row],[ABR_02]],Tabla16[[#This Row],[ZONA2]],,"0",Tabla16[[#This Row],[PARADA2]])</f>
        <v>AR00TU1002</v>
      </c>
      <c r="S369" s="52" t="s">
        <v>627</v>
      </c>
      <c r="T369" s="34" t="s">
        <v>299</v>
      </c>
      <c r="U369" s="45" t="s">
        <v>299</v>
      </c>
      <c r="V369" t="s">
        <v>805</v>
      </c>
    </row>
    <row r="370" spans="1:22" x14ac:dyDescent="0.25">
      <c r="A370" s="48" t="s">
        <v>300</v>
      </c>
      <c r="B370" s="30" t="s">
        <v>338</v>
      </c>
      <c r="C370" s="3" t="s">
        <v>338</v>
      </c>
      <c r="D370" s="31" t="s">
        <v>335</v>
      </c>
      <c r="E370" s="9" t="s">
        <v>31</v>
      </c>
      <c r="F370" s="5">
        <v>353</v>
      </c>
      <c r="G370" s="9">
        <v>420</v>
      </c>
      <c r="H370" s="32" t="s">
        <v>290</v>
      </c>
      <c r="I370" s="32" t="s">
        <v>336</v>
      </c>
      <c r="J370" s="33" t="s">
        <v>292</v>
      </c>
      <c r="K370" s="33" t="s">
        <v>307</v>
      </c>
      <c r="L370" s="49" t="s">
        <v>294</v>
      </c>
      <c r="M370" s="50" t="str">
        <f>Tabla16[[#This Row],[ABR_02]]</f>
        <v>TU</v>
      </c>
      <c r="N370" t="s">
        <v>295</v>
      </c>
      <c r="O370" s="51" t="s">
        <v>309</v>
      </c>
      <c r="P370" t="s">
        <v>625</v>
      </c>
      <c r="Q370" t="s">
        <v>626</v>
      </c>
      <c r="R370" s="52" t="str">
        <f>_xlfn.CONCAT(Tabla16[[#This Row],[ABR_01]],"00",Tabla16[[#This Row],[ABR_02]],Tabla16[[#This Row],[ZONA2]],,"0",Tabla16[[#This Row],[PARADA2]])</f>
        <v>AR00TU1003</v>
      </c>
      <c r="S370" s="52" t="s">
        <v>627</v>
      </c>
      <c r="T370" s="34" t="s">
        <v>299</v>
      </c>
      <c r="U370" s="45" t="s">
        <v>299</v>
      </c>
      <c r="V370" t="s">
        <v>805</v>
      </c>
    </row>
    <row r="371" spans="1:22" x14ac:dyDescent="0.25">
      <c r="A371" s="48" t="s">
        <v>300</v>
      </c>
      <c r="B371" s="30" t="s">
        <v>339</v>
      </c>
      <c r="C371" s="3" t="s">
        <v>339</v>
      </c>
      <c r="D371" s="31" t="s">
        <v>335</v>
      </c>
      <c r="E371" s="9" t="s">
        <v>31</v>
      </c>
      <c r="F371" s="5">
        <v>353</v>
      </c>
      <c r="G371" s="9">
        <v>405</v>
      </c>
      <c r="H371" s="32" t="s">
        <v>290</v>
      </c>
      <c r="I371" s="32" t="s">
        <v>336</v>
      </c>
      <c r="J371" s="33" t="s">
        <v>292</v>
      </c>
      <c r="K371" s="33" t="s">
        <v>309</v>
      </c>
      <c r="L371" s="49" t="s">
        <v>294</v>
      </c>
      <c r="M371" s="50" t="str">
        <f>Tabla16[[#This Row],[ABR_02]]</f>
        <v>TU</v>
      </c>
      <c r="N371" t="s">
        <v>295</v>
      </c>
      <c r="O371" s="51" t="s">
        <v>309</v>
      </c>
      <c r="P371" t="s">
        <v>625</v>
      </c>
      <c r="Q371" t="s">
        <v>626</v>
      </c>
      <c r="R371" s="52" t="str">
        <f>_xlfn.CONCAT(Tabla16[[#This Row],[ABR_01]],"00",Tabla16[[#This Row],[ABR_02]],Tabla16[[#This Row],[ZONA2]],,"0",Tabla16[[#This Row],[PARADA2]])</f>
        <v>AR00TU1004</v>
      </c>
      <c r="S371" s="52" t="s">
        <v>627</v>
      </c>
      <c r="T371" s="34" t="s">
        <v>299</v>
      </c>
      <c r="U371" s="45" t="s">
        <v>299</v>
      </c>
      <c r="V371" t="s">
        <v>805</v>
      </c>
    </row>
    <row r="372" spans="1:22" x14ac:dyDescent="0.25">
      <c r="A372" s="48" t="s">
        <v>300</v>
      </c>
      <c r="B372" s="30" t="s">
        <v>340</v>
      </c>
      <c r="C372" s="36" t="s">
        <v>123</v>
      </c>
      <c r="D372" s="31" t="s">
        <v>335</v>
      </c>
      <c r="E372" s="9" t="s">
        <v>31</v>
      </c>
      <c r="F372" s="5">
        <v>353</v>
      </c>
      <c r="G372" s="9">
        <v>400</v>
      </c>
      <c r="H372" s="32" t="s">
        <v>290</v>
      </c>
      <c r="I372" s="32" t="s">
        <v>336</v>
      </c>
      <c r="J372" s="33" t="s">
        <v>292</v>
      </c>
      <c r="K372" s="33" t="s">
        <v>319</v>
      </c>
      <c r="L372" s="49" t="s">
        <v>294</v>
      </c>
      <c r="M372" s="50" t="str">
        <f>Tabla16[[#This Row],[ABR_02]]</f>
        <v>TU</v>
      </c>
      <c r="N372" t="s">
        <v>295</v>
      </c>
      <c r="O372" s="51" t="s">
        <v>309</v>
      </c>
      <c r="P372" t="s">
        <v>625</v>
      </c>
      <c r="Q372" t="s">
        <v>626</v>
      </c>
      <c r="R372" s="52" t="str">
        <f>_xlfn.CONCAT(Tabla16[[#This Row],[ABR_01]],"00",Tabla16[[#This Row],[ABR_02]],Tabla16[[#This Row],[ZONA2]],,"0",Tabla16[[#This Row],[PARADA2]])</f>
        <v>AR00TU1005</v>
      </c>
      <c r="S372" s="52" t="s">
        <v>627</v>
      </c>
      <c r="T372" s="34" t="s">
        <v>299</v>
      </c>
      <c r="U372" s="45" t="s">
        <v>299</v>
      </c>
      <c r="V372" t="s">
        <v>805</v>
      </c>
    </row>
    <row r="373" spans="1:22" x14ac:dyDescent="0.25">
      <c r="A373" s="48" t="s">
        <v>300</v>
      </c>
      <c r="B373" s="30" t="s">
        <v>341</v>
      </c>
      <c r="C373" s="30" t="s">
        <v>341</v>
      </c>
      <c r="D373" s="31" t="s">
        <v>335</v>
      </c>
      <c r="E373" s="9" t="s">
        <v>31</v>
      </c>
      <c r="F373" s="5">
        <v>353</v>
      </c>
      <c r="G373" s="9">
        <v>425</v>
      </c>
      <c r="H373" s="32" t="s">
        <v>290</v>
      </c>
      <c r="I373" s="32" t="s">
        <v>336</v>
      </c>
      <c r="J373" s="33" t="s">
        <v>292</v>
      </c>
      <c r="K373" s="33" t="s">
        <v>320</v>
      </c>
      <c r="L373" s="49" t="s">
        <v>294</v>
      </c>
      <c r="M373" s="50" t="str">
        <f>Tabla16[[#This Row],[ABR_02]]</f>
        <v>TU</v>
      </c>
      <c r="N373" t="s">
        <v>295</v>
      </c>
      <c r="O373" s="51" t="s">
        <v>309</v>
      </c>
      <c r="P373" t="s">
        <v>625</v>
      </c>
      <c r="Q373" t="s">
        <v>626</v>
      </c>
      <c r="R373" s="52" t="str">
        <f>_xlfn.CONCAT(Tabla16[[#This Row],[ABR_01]],"00",Tabla16[[#This Row],[ABR_02]],Tabla16[[#This Row],[ZONA2]],,"0",Tabla16[[#This Row],[PARADA2]])</f>
        <v>AR00TU1006</v>
      </c>
      <c r="S373" s="52" t="s">
        <v>627</v>
      </c>
      <c r="T373" s="34" t="s">
        <v>299</v>
      </c>
      <c r="U373" s="45" t="s">
        <v>299</v>
      </c>
      <c r="V373" t="s">
        <v>805</v>
      </c>
    </row>
    <row r="374" spans="1:22" x14ac:dyDescent="0.25">
      <c r="A374" s="48" t="s">
        <v>300</v>
      </c>
      <c r="B374" s="30" t="s">
        <v>325</v>
      </c>
      <c r="C374" s="36" t="s">
        <v>326</v>
      </c>
      <c r="D374" s="31" t="s">
        <v>327</v>
      </c>
      <c r="E374" s="9" t="s">
        <v>55</v>
      </c>
      <c r="F374" s="5">
        <v>348</v>
      </c>
      <c r="G374" s="9">
        <v>370</v>
      </c>
      <c r="H374" s="32" t="s">
        <v>290</v>
      </c>
      <c r="I374" s="32" t="s">
        <v>328</v>
      </c>
      <c r="J374" s="33" t="s">
        <v>292</v>
      </c>
      <c r="K374" s="33" t="s">
        <v>293</v>
      </c>
      <c r="L374" s="49" t="s">
        <v>294</v>
      </c>
      <c r="M374" s="50" t="str">
        <f>Tabla16[[#This Row],[ABR_02]]</f>
        <v>CH</v>
      </c>
      <c r="N374" t="s">
        <v>295</v>
      </c>
      <c r="O374" s="51" t="s">
        <v>293</v>
      </c>
      <c r="P374" t="s">
        <v>296</v>
      </c>
      <c r="Q374" t="s">
        <v>303</v>
      </c>
      <c r="R374" s="52" t="str">
        <f>_xlfn.CONCAT(Tabla16[[#This Row],[ABR_01]],"00",Tabla16[[#This Row],[ABR_02]],Tabla16[[#This Row],[ZONA2]],,"0",Tabla16[[#This Row],[PARADA2]])</f>
        <v>AR00CH1001</v>
      </c>
      <c r="S374" s="52" t="s">
        <v>304</v>
      </c>
      <c r="T374" s="34" t="s">
        <v>299</v>
      </c>
      <c r="U374" s="34" t="s">
        <v>299</v>
      </c>
      <c r="V374" t="s">
        <v>804</v>
      </c>
    </row>
    <row r="375" spans="1:22" x14ac:dyDescent="0.25">
      <c r="A375" s="48" t="s">
        <v>300</v>
      </c>
      <c r="B375" s="30" t="s">
        <v>329</v>
      </c>
      <c r="C375" s="36" t="s">
        <v>79</v>
      </c>
      <c r="D375" s="31" t="s">
        <v>327</v>
      </c>
      <c r="E375" s="9" t="s">
        <v>55</v>
      </c>
      <c r="F375" s="5">
        <v>348</v>
      </c>
      <c r="G375" s="9">
        <v>365</v>
      </c>
      <c r="H375" s="32" t="s">
        <v>290</v>
      </c>
      <c r="I375" s="32" t="s">
        <v>328</v>
      </c>
      <c r="J375" s="33" t="s">
        <v>292</v>
      </c>
      <c r="K375" s="33" t="s">
        <v>306</v>
      </c>
      <c r="L375" s="49" t="s">
        <v>294</v>
      </c>
      <c r="M375" s="50" t="str">
        <f>Tabla16[[#This Row],[ABR_02]]</f>
        <v>CH</v>
      </c>
      <c r="N375" t="s">
        <v>295</v>
      </c>
      <c r="O375" s="51" t="s">
        <v>293</v>
      </c>
      <c r="P375" t="s">
        <v>296</v>
      </c>
      <c r="Q375" t="s">
        <v>303</v>
      </c>
      <c r="R375" s="52" t="str">
        <f>_xlfn.CONCAT(Tabla16[[#This Row],[ABR_01]],"00",Tabla16[[#This Row],[ABR_02]],Tabla16[[#This Row],[ZONA2]],,"0",Tabla16[[#This Row],[PARADA2]])</f>
        <v>AR00CH1002</v>
      </c>
      <c r="S375" s="52" t="s">
        <v>304</v>
      </c>
      <c r="T375" s="34" t="s">
        <v>299</v>
      </c>
      <c r="U375" s="34" t="s">
        <v>299</v>
      </c>
      <c r="V375" t="s">
        <v>804</v>
      </c>
    </row>
    <row r="376" spans="1:22" x14ac:dyDescent="0.25">
      <c r="A376" s="48" t="s">
        <v>300</v>
      </c>
      <c r="B376" s="30" t="s">
        <v>330</v>
      </c>
      <c r="C376" s="3" t="s">
        <v>330</v>
      </c>
      <c r="D376" s="31" t="s">
        <v>327</v>
      </c>
      <c r="E376" s="9" t="s">
        <v>55</v>
      </c>
      <c r="F376" s="5">
        <v>348</v>
      </c>
      <c r="G376" s="9">
        <v>375</v>
      </c>
      <c r="H376" s="32" t="s">
        <v>290</v>
      </c>
      <c r="I376" s="32" t="s">
        <v>328</v>
      </c>
      <c r="J376" s="33" t="s">
        <v>292</v>
      </c>
      <c r="K376" s="33" t="s">
        <v>307</v>
      </c>
      <c r="L376" s="49" t="s">
        <v>294</v>
      </c>
      <c r="M376" s="50" t="str">
        <f>Tabla16[[#This Row],[ABR_02]]</f>
        <v>CH</v>
      </c>
      <c r="N376" t="s">
        <v>295</v>
      </c>
      <c r="O376" s="51" t="s">
        <v>293</v>
      </c>
      <c r="P376" t="s">
        <v>296</v>
      </c>
      <c r="Q376" t="s">
        <v>303</v>
      </c>
      <c r="R376" s="52" t="str">
        <f>_xlfn.CONCAT(Tabla16[[#This Row],[ABR_01]],"00",Tabla16[[#This Row],[ABR_02]],Tabla16[[#This Row],[ZONA2]],,"0",Tabla16[[#This Row],[PARADA2]])</f>
        <v>AR00CH1003</v>
      </c>
      <c r="S376" s="52" t="s">
        <v>304</v>
      </c>
      <c r="T376" s="34" t="s">
        <v>299</v>
      </c>
      <c r="U376" s="34" t="s">
        <v>299</v>
      </c>
      <c r="V376" t="s">
        <v>804</v>
      </c>
    </row>
    <row r="377" spans="1:22" x14ac:dyDescent="0.25">
      <c r="A377" s="48" t="s">
        <v>300</v>
      </c>
      <c r="B377" s="30" t="s">
        <v>331</v>
      </c>
      <c r="C377" s="36" t="s">
        <v>98</v>
      </c>
      <c r="D377" s="31" t="s">
        <v>327</v>
      </c>
      <c r="E377" s="9" t="s">
        <v>55</v>
      </c>
      <c r="F377" s="5">
        <v>348</v>
      </c>
      <c r="G377" s="9">
        <v>348</v>
      </c>
      <c r="H377" s="32" t="s">
        <v>290</v>
      </c>
      <c r="I377" s="32" t="s">
        <v>328</v>
      </c>
      <c r="J377" s="33" t="s">
        <v>292</v>
      </c>
      <c r="K377" s="33" t="s">
        <v>309</v>
      </c>
      <c r="L377" s="49" t="s">
        <v>294</v>
      </c>
      <c r="M377" s="50" t="str">
        <f>Tabla16[[#This Row],[ABR_02]]</f>
        <v>CH</v>
      </c>
      <c r="N377" t="s">
        <v>295</v>
      </c>
      <c r="O377" s="51" t="s">
        <v>293</v>
      </c>
      <c r="P377" t="s">
        <v>296</v>
      </c>
      <c r="Q377" t="s">
        <v>303</v>
      </c>
      <c r="R377" s="52" t="str">
        <f>_xlfn.CONCAT(Tabla16[[#This Row],[ABR_01]],"00",Tabla16[[#This Row],[ABR_02]],Tabla16[[#This Row],[ZONA2]],,"0",Tabla16[[#This Row],[PARADA2]])</f>
        <v>AR00CH1004</v>
      </c>
      <c r="S377" s="52" t="s">
        <v>304</v>
      </c>
      <c r="T377" s="34" t="s">
        <v>299</v>
      </c>
      <c r="U377" s="34" t="s">
        <v>299</v>
      </c>
      <c r="V377" t="s">
        <v>804</v>
      </c>
    </row>
    <row r="378" spans="1:22" x14ac:dyDescent="0.25">
      <c r="A378" s="48" t="s">
        <v>300</v>
      </c>
      <c r="B378" s="30" t="s">
        <v>332</v>
      </c>
      <c r="C378" s="36" t="s">
        <v>333</v>
      </c>
      <c r="D378" s="31" t="s">
        <v>327</v>
      </c>
      <c r="E378" s="9" t="s">
        <v>55</v>
      </c>
      <c r="F378" s="5">
        <v>348</v>
      </c>
      <c r="G378" s="9">
        <v>350</v>
      </c>
      <c r="H378" s="32" t="s">
        <v>290</v>
      </c>
      <c r="I378" s="32" t="s">
        <v>328</v>
      </c>
      <c r="J378" s="33" t="s">
        <v>292</v>
      </c>
      <c r="K378" s="33" t="s">
        <v>319</v>
      </c>
      <c r="L378" s="49" t="s">
        <v>294</v>
      </c>
      <c r="M378" s="50" t="str">
        <f>Tabla16[[#This Row],[ABR_02]]</f>
        <v>CH</v>
      </c>
      <c r="N378" t="s">
        <v>295</v>
      </c>
      <c r="O378" s="51" t="s">
        <v>293</v>
      </c>
      <c r="P378" t="s">
        <v>296</v>
      </c>
      <c r="Q378" t="s">
        <v>303</v>
      </c>
      <c r="R378" s="52" t="str">
        <f>_xlfn.CONCAT(Tabla16[[#This Row],[ABR_01]],"00",Tabla16[[#This Row],[ABR_02]],Tabla16[[#This Row],[ZONA2]],,"0",Tabla16[[#This Row],[PARADA2]])</f>
        <v>AR00CH1005</v>
      </c>
      <c r="S378" s="52" t="s">
        <v>304</v>
      </c>
      <c r="T378" s="34" t="s">
        <v>299</v>
      </c>
      <c r="U378" s="34" t="s">
        <v>299</v>
      </c>
      <c r="V378" t="s">
        <v>804</v>
      </c>
    </row>
    <row r="379" spans="1:22" x14ac:dyDescent="0.25">
      <c r="A379" s="48" t="s">
        <v>300</v>
      </c>
      <c r="B379" s="30" t="s">
        <v>325</v>
      </c>
      <c r="C379" s="36" t="s">
        <v>326</v>
      </c>
      <c r="D379" s="31" t="s">
        <v>327</v>
      </c>
      <c r="E379" s="9" t="s">
        <v>55</v>
      </c>
      <c r="F379" s="5">
        <v>348</v>
      </c>
      <c r="G379" s="9">
        <v>370</v>
      </c>
      <c r="H379" s="32" t="s">
        <v>290</v>
      </c>
      <c r="I379" s="32" t="s">
        <v>328</v>
      </c>
      <c r="J379" s="33" t="s">
        <v>292</v>
      </c>
      <c r="K379" s="33" t="s">
        <v>293</v>
      </c>
      <c r="L379" s="49" t="s">
        <v>294</v>
      </c>
      <c r="M379" s="50" t="str">
        <f>Tabla16[[#This Row],[ABR_02]]</f>
        <v>CH</v>
      </c>
      <c r="N379" t="s">
        <v>295</v>
      </c>
      <c r="O379" s="51" t="s">
        <v>309</v>
      </c>
      <c r="P379" t="s">
        <v>625</v>
      </c>
      <c r="Q379" t="s">
        <v>626</v>
      </c>
      <c r="R379" s="52" t="str">
        <f>_xlfn.CONCAT(Tabla16[[#This Row],[ABR_01]],"00",Tabla16[[#This Row],[ABR_02]],Tabla16[[#This Row],[ZONA2]],,"0",Tabla16[[#This Row],[PARADA2]])</f>
        <v>AR00CH1001</v>
      </c>
      <c r="S379" s="52" t="s">
        <v>627</v>
      </c>
      <c r="T379" s="34" t="s">
        <v>299</v>
      </c>
      <c r="U379" s="45" t="s">
        <v>299</v>
      </c>
      <c r="V379" t="s">
        <v>805</v>
      </c>
    </row>
    <row r="380" spans="1:22" x14ac:dyDescent="0.25">
      <c r="A380" s="48" t="s">
        <v>300</v>
      </c>
      <c r="B380" s="30" t="s">
        <v>329</v>
      </c>
      <c r="C380" s="36" t="s">
        <v>79</v>
      </c>
      <c r="D380" s="31" t="s">
        <v>327</v>
      </c>
      <c r="E380" s="9" t="s">
        <v>55</v>
      </c>
      <c r="F380" s="5">
        <v>348</v>
      </c>
      <c r="G380" s="9">
        <v>365</v>
      </c>
      <c r="H380" s="32" t="s">
        <v>290</v>
      </c>
      <c r="I380" s="32" t="s">
        <v>328</v>
      </c>
      <c r="J380" s="33" t="s">
        <v>292</v>
      </c>
      <c r="K380" s="33" t="s">
        <v>306</v>
      </c>
      <c r="L380" s="49" t="s">
        <v>294</v>
      </c>
      <c r="M380" s="50" t="str">
        <f>Tabla16[[#This Row],[ABR_02]]</f>
        <v>CH</v>
      </c>
      <c r="N380" t="s">
        <v>295</v>
      </c>
      <c r="O380" s="51" t="s">
        <v>309</v>
      </c>
      <c r="P380" t="s">
        <v>625</v>
      </c>
      <c r="Q380" t="s">
        <v>626</v>
      </c>
      <c r="R380" s="52" t="str">
        <f>_xlfn.CONCAT(Tabla16[[#This Row],[ABR_01]],"00",Tabla16[[#This Row],[ABR_02]],Tabla16[[#This Row],[ZONA2]],,"0",Tabla16[[#This Row],[PARADA2]])</f>
        <v>AR00CH1002</v>
      </c>
      <c r="S380" s="52" t="s">
        <v>627</v>
      </c>
      <c r="T380" s="34" t="s">
        <v>299</v>
      </c>
      <c r="U380" s="45" t="s">
        <v>299</v>
      </c>
      <c r="V380" t="s">
        <v>805</v>
      </c>
    </row>
    <row r="381" spans="1:22" x14ac:dyDescent="0.25">
      <c r="A381" s="48" t="s">
        <v>300</v>
      </c>
      <c r="B381" s="30" t="s">
        <v>330</v>
      </c>
      <c r="C381" s="3" t="s">
        <v>330</v>
      </c>
      <c r="D381" s="31" t="s">
        <v>327</v>
      </c>
      <c r="E381" s="9" t="s">
        <v>55</v>
      </c>
      <c r="F381" s="5">
        <v>348</v>
      </c>
      <c r="G381" s="9">
        <v>375</v>
      </c>
      <c r="H381" s="32" t="s">
        <v>290</v>
      </c>
      <c r="I381" s="32" t="s">
        <v>328</v>
      </c>
      <c r="J381" s="33" t="s">
        <v>292</v>
      </c>
      <c r="K381" s="33" t="s">
        <v>307</v>
      </c>
      <c r="L381" s="49" t="s">
        <v>294</v>
      </c>
      <c r="M381" s="50" t="str">
        <f>Tabla16[[#This Row],[ABR_02]]</f>
        <v>CH</v>
      </c>
      <c r="N381" t="s">
        <v>295</v>
      </c>
      <c r="O381" s="51" t="s">
        <v>309</v>
      </c>
      <c r="P381" t="s">
        <v>625</v>
      </c>
      <c r="Q381" t="s">
        <v>626</v>
      </c>
      <c r="R381" s="52" t="str">
        <f>_xlfn.CONCAT(Tabla16[[#This Row],[ABR_01]],"00",Tabla16[[#This Row],[ABR_02]],Tabla16[[#This Row],[ZONA2]],,"0",Tabla16[[#This Row],[PARADA2]])</f>
        <v>AR00CH1003</v>
      </c>
      <c r="S381" s="52" t="s">
        <v>627</v>
      </c>
      <c r="T381" s="34" t="s">
        <v>299</v>
      </c>
      <c r="U381" s="45" t="s">
        <v>299</v>
      </c>
      <c r="V381" t="s">
        <v>805</v>
      </c>
    </row>
    <row r="382" spans="1:22" x14ac:dyDescent="0.25">
      <c r="A382" s="48" t="s">
        <v>300</v>
      </c>
      <c r="B382" s="30" t="s">
        <v>331</v>
      </c>
      <c r="C382" s="36" t="s">
        <v>98</v>
      </c>
      <c r="D382" s="31" t="s">
        <v>327</v>
      </c>
      <c r="E382" s="9" t="s">
        <v>55</v>
      </c>
      <c r="F382" s="5">
        <v>348</v>
      </c>
      <c r="G382" s="9">
        <v>348</v>
      </c>
      <c r="H382" s="32" t="s">
        <v>290</v>
      </c>
      <c r="I382" s="32" t="s">
        <v>328</v>
      </c>
      <c r="J382" s="33" t="s">
        <v>292</v>
      </c>
      <c r="K382" s="33" t="s">
        <v>309</v>
      </c>
      <c r="L382" s="49" t="s">
        <v>294</v>
      </c>
      <c r="M382" s="50" t="str">
        <f>Tabla16[[#This Row],[ABR_02]]</f>
        <v>CH</v>
      </c>
      <c r="N382" t="s">
        <v>295</v>
      </c>
      <c r="O382" s="51" t="s">
        <v>309</v>
      </c>
      <c r="P382" t="s">
        <v>625</v>
      </c>
      <c r="Q382" t="s">
        <v>626</v>
      </c>
      <c r="R382" s="52" t="str">
        <f>_xlfn.CONCAT(Tabla16[[#This Row],[ABR_01]],"00",Tabla16[[#This Row],[ABR_02]],Tabla16[[#This Row],[ZONA2]],,"0",Tabla16[[#This Row],[PARADA2]])</f>
        <v>AR00CH1004</v>
      </c>
      <c r="S382" s="52" t="s">
        <v>627</v>
      </c>
      <c r="T382" s="34" t="s">
        <v>299</v>
      </c>
      <c r="U382" s="45" t="s">
        <v>299</v>
      </c>
      <c r="V382" t="s">
        <v>805</v>
      </c>
    </row>
    <row r="383" spans="1:22" x14ac:dyDescent="0.25">
      <c r="A383" s="48" t="s">
        <v>300</v>
      </c>
      <c r="B383" s="30" t="s">
        <v>332</v>
      </c>
      <c r="C383" s="36" t="s">
        <v>333</v>
      </c>
      <c r="D383" s="31" t="s">
        <v>327</v>
      </c>
      <c r="E383" s="9" t="s">
        <v>55</v>
      </c>
      <c r="F383" s="5">
        <v>348</v>
      </c>
      <c r="G383" s="9">
        <v>350</v>
      </c>
      <c r="H383" s="32" t="s">
        <v>290</v>
      </c>
      <c r="I383" s="32" t="s">
        <v>328</v>
      </c>
      <c r="J383" s="33" t="s">
        <v>292</v>
      </c>
      <c r="K383" s="33" t="s">
        <v>319</v>
      </c>
      <c r="L383" s="49" t="s">
        <v>294</v>
      </c>
      <c r="M383" s="50" t="str">
        <f>Tabla16[[#This Row],[ABR_02]]</f>
        <v>CH</v>
      </c>
      <c r="N383" t="s">
        <v>295</v>
      </c>
      <c r="O383" s="51" t="s">
        <v>309</v>
      </c>
      <c r="P383" t="s">
        <v>625</v>
      </c>
      <c r="Q383" t="s">
        <v>626</v>
      </c>
      <c r="R383" s="52" t="str">
        <f>_xlfn.CONCAT(Tabla16[[#This Row],[ABR_01]],"00",Tabla16[[#This Row],[ABR_02]],Tabla16[[#This Row],[ZONA2]],,"0",Tabla16[[#This Row],[PARADA2]])</f>
        <v>AR00CH1005</v>
      </c>
      <c r="S383" s="52" t="s">
        <v>627</v>
      </c>
      <c r="T383" s="34" t="s">
        <v>299</v>
      </c>
      <c r="U383" s="45" t="s">
        <v>299</v>
      </c>
      <c r="V383" t="s">
        <v>805</v>
      </c>
    </row>
    <row r="384" spans="1:22" x14ac:dyDescent="0.25">
      <c r="A384" s="48" t="s">
        <v>300</v>
      </c>
      <c r="B384" s="30" t="s">
        <v>310</v>
      </c>
      <c r="C384" s="36" t="s">
        <v>39</v>
      </c>
      <c r="D384" s="31" t="s">
        <v>311</v>
      </c>
      <c r="E384" s="9" t="s">
        <v>23</v>
      </c>
      <c r="F384" s="5">
        <v>356</v>
      </c>
      <c r="G384" s="9">
        <v>950</v>
      </c>
      <c r="H384" s="32" t="s">
        <v>290</v>
      </c>
      <c r="I384" s="32" t="s">
        <v>312</v>
      </c>
      <c r="J384" s="33" t="s">
        <v>292</v>
      </c>
      <c r="K384" s="33" t="s">
        <v>293</v>
      </c>
      <c r="L384" s="49" t="s">
        <v>294</v>
      </c>
      <c r="M384" s="50" t="str">
        <f>Tabla16[[#This Row],[ABR_02]]</f>
        <v>CT</v>
      </c>
      <c r="N384" t="s">
        <v>295</v>
      </c>
      <c r="O384" s="51" t="s">
        <v>293</v>
      </c>
      <c r="P384" t="s">
        <v>296</v>
      </c>
      <c r="Q384" t="s">
        <v>313</v>
      </c>
      <c r="R384" s="52" t="str">
        <f>_xlfn.CONCAT(Tabla16[[#This Row],[ABR_01]],"00",Tabla16[[#This Row],[ABR_02]],Tabla16[[#This Row],[ZONA2]],,"0",Tabla16[[#This Row],[PARADA2]])</f>
        <v>AR00CT1001</v>
      </c>
      <c r="S384" s="52" t="s">
        <v>314</v>
      </c>
      <c r="T384" s="34" t="s">
        <v>299</v>
      </c>
      <c r="U384" s="34" t="s">
        <v>299</v>
      </c>
      <c r="V384" t="s">
        <v>804</v>
      </c>
    </row>
    <row r="385" spans="1:22" x14ac:dyDescent="0.25">
      <c r="A385" s="48" t="s">
        <v>300</v>
      </c>
      <c r="B385" s="30" t="s">
        <v>315</v>
      </c>
      <c r="C385" s="36" t="s">
        <v>53</v>
      </c>
      <c r="D385" s="31" t="s">
        <v>311</v>
      </c>
      <c r="E385" s="9" t="s">
        <v>23</v>
      </c>
      <c r="F385" s="5">
        <v>356</v>
      </c>
      <c r="G385" s="9">
        <v>966</v>
      </c>
      <c r="H385" s="32" t="s">
        <v>290</v>
      </c>
      <c r="I385" s="32" t="s">
        <v>312</v>
      </c>
      <c r="J385" s="33" t="s">
        <v>292</v>
      </c>
      <c r="K385" s="33" t="s">
        <v>306</v>
      </c>
      <c r="L385" s="49" t="s">
        <v>294</v>
      </c>
      <c r="M385" s="50" t="str">
        <f>Tabla16[[#This Row],[ABR_02]]</f>
        <v>CT</v>
      </c>
      <c r="N385" t="s">
        <v>295</v>
      </c>
      <c r="O385" s="51" t="s">
        <v>293</v>
      </c>
      <c r="P385" t="s">
        <v>296</v>
      </c>
      <c r="Q385" t="s">
        <v>313</v>
      </c>
      <c r="R385" s="52" t="str">
        <f>_xlfn.CONCAT(Tabla16[[#This Row],[ABR_01]],"00",Tabla16[[#This Row],[ABR_02]],Tabla16[[#This Row],[ZONA2]],,"0",Tabla16[[#This Row],[PARADA2]])</f>
        <v>AR00CT1002</v>
      </c>
      <c r="S385" s="52" t="s">
        <v>314</v>
      </c>
      <c r="T385" s="34" t="s">
        <v>299</v>
      </c>
      <c r="U385" s="34" t="s">
        <v>299</v>
      </c>
      <c r="V385" t="s">
        <v>804</v>
      </c>
    </row>
    <row r="386" spans="1:22" x14ac:dyDescent="0.25">
      <c r="A386" s="48" t="s">
        <v>300</v>
      </c>
      <c r="B386" s="30" t="s">
        <v>316</v>
      </c>
      <c r="C386" s="3" t="s">
        <v>174</v>
      </c>
      <c r="D386" s="31" t="s">
        <v>311</v>
      </c>
      <c r="E386" s="9" t="s">
        <v>23</v>
      </c>
      <c r="F386" s="5">
        <v>356</v>
      </c>
      <c r="G386" s="9">
        <v>953</v>
      </c>
      <c r="H386" s="32" t="s">
        <v>290</v>
      </c>
      <c r="I386" s="32" t="s">
        <v>312</v>
      </c>
      <c r="J386" s="33" t="s">
        <v>292</v>
      </c>
      <c r="K386" s="33" t="s">
        <v>307</v>
      </c>
      <c r="L386" s="49" t="s">
        <v>294</v>
      </c>
      <c r="M386" s="50" t="str">
        <f>Tabla16[[#This Row],[ABR_02]]</f>
        <v>CT</v>
      </c>
      <c r="N386" t="s">
        <v>295</v>
      </c>
      <c r="O386" s="51" t="s">
        <v>293</v>
      </c>
      <c r="P386" t="s">
        <v>296</v>
      </c>
      <c r="Q386" t="s">
        <v>313</v>
      </c>
      <c r="R386" s="52" t="str">
        <f>_xlfn.CONCAT(Tabla16[[#This Row],[ABR_01]],"00",Tabla16[[#This Row],[ABR_02]],Tabla16[[#This Row],[ZONA2]],,"0",Tabla16[[#This Row],[PARADA2]])</f>
        <v>AR00CT1003</v>
      </c>
      <c r="S386" s="52" t="s">
        <v>314</v>
      </c>
      <c r="T386" s="34" t="s">
        <v>299</v>
      </c>
      <c r="U386" s="34" t="s">
        <v>299</v>
      </c>
      <c r="V386" t="s">
        <v>804</v>
      </c>
    </row>
    <row r="387" spans="1:22" x14ac:dyDescent="0.25">
      <c r="A387" s="48" t="s">
        <v>300</v>
      </c>
      <c r="B387" s="30" t="s">
        <v>317</v>
      </c>
      <c r="C387" s="3" t="s">
        <v>91</v>
      </c>
      <c r="D387" s="31" t="s">
        <v>311</v>
      </c>
      <c r="E387" s="9" t="s">
        <v>23</v>
      </c>
      <c r="F387" s="5">
        <v>356</v>
      </c>
      <c r="G387" s="9">
        <v>964</v>
      </c>
      <c r="H387" s="32" t="s">
        <v>290</v>
      </c>
      <c r="I387" s="32" t="s">
        <v>312</v>
      </c>
      <c r="J387" s="33" t="s">
        <v>292</v>
      </c>
      <c r="K387" s="33" t="s">
        <v>309</v>
      </c>
      <c r="L387" s="49" t="s">
        <v>294</v>
      </c>
      <c r="M387" s="50" t="str">
        <f>Tabla16[[#This Row],[ABR_02]]</f>
        <v>CT</v>
      </c>
      <c r="N387" t="s">
        <v>295</v>
      </c>
      <c r="O387" s="51" t="s">
        <v>293</v>
      </c>
      <c r="P387" t="s">
        <v>296</v>
      </c>
      <c r="Q387" t="s">
        <v>313</v>
      </c>
      <c r="R387" s="52" t="str">
        <f>_xlfn.CONCAT(Tabla16[[#This Row],[ABR_01]],"00",Tabla16[[#This Row],[ABR_02]],Tabla16[[#This Row],[ZONA2]],,"0",Tabla16[[#This Row],[PARADA2]])</f>
        <v>AR00CT1004</v>
      </c>
      <c r="S387" s="52" t="s">
        <v>314</v>
      </c>
      <c r="T387" s="34" t="s">
        <v>299</v>
      </c>
      <c r="U387" s="34" t="s">
        <v>299</v>
      </c>
      <c r="V387" t="s">
        <v>804</v>
      </c>
    </row>
    <row r="388" spans="1:22" x14ac:dyDescent="0.25">
      <c r="A388" s="48" t="s">
        <v>300</v>
      </c>
      <c r="B388" s="30" t="s">
        <v>318</v>
      </c>
      <c r="C388" s="36" t="s">
        <v>95</v>
      </c>
      <c r="D388" s="31" t="s">
        <v>311</v>
      </c>
      <c r="E388" s="9" t="s">
        <v>23</v>
      </c>
      <c r="F388" s="5">
        <v>356</v>
      </c>
      <c r="G388" s="9">
        <v>962</v>
      </c>
      <c r="H388" s="32" t="s">
        <v>290</v>
      </c>
      <c r="I388" s="32" t="s">
        <v>312</v>
      </c>
      <c r="J388" s="33" t="s">
        <v>292</v>
      </c>
      <c r="K388" s="33" t="s">
        <v>319</v>
      </c>
      <c r="L388" s="49" t="s">
        <v>294</v>
      </c>
      <c r="M388" s="50" t="str">
        <f>Tabla16[[#This Row],[ABR_02]]</f>
        <v>CT</v>
      </c>
      <c r="N388" t="s">
        <v>295</v>
      </c>
      <c r="O388" s="51" t="s">
        <v>293</v>
      </c>
      <c r="P388" t="s">
        <v>296</v>
      </c>
      <c r="Q388" t="s">
        <v>313</v>
      </c>
      <c r="R388" s="52" t="str">
        <f>_xlfn.CONCAT(Tabla16[[#This Row],[ABR_01]],"00",Tabla16[[#This Row],[ABR_02]],Tabla16[[#This Row],[ZONA2]],,"0",Tabla16[[#This Row],[PARADA2]])</f>
        <v>AR00CT1005</v>
      </c>
      <c r="S388" s="52" t="s">
        <v>314</v>
      </c>
      <c r="T388" s="34" t="s">
        <v>299</v>
      </c>
      <c r="U388" s="34" t="s">
        <v>299</v>
      </c>
      <c r="V388" t="s">
        <v>804</v>
      </c>
    </row>
    <row r="389" spans="1:22" x14ac:dyDescent="0.25">
      <c r="A389" s="48" t="s">
        <v>300</v>
      </c>
      <c r="B389" s="30" t="s">
        <v>178</v>
      </c>
      <c r="C389" s="3" t="s">
        <v>178</v>
      </c>
      <c r="D389" s="31" t="s">
        <v>311</v>
      </c>
      <c r="E389" s="9" t="s">
        <v>23</v>
      </c>
      <c r="F389" s="5">
        <v>356</v>
      </c>
      <c r="G389" s="9">
        <v>954</v>
      </c>
      <c r="H389" s="32" t="s">
        <v>290</v>
      </c>
      <c r="I389" s="32" t="s">
        <v>312</v>
      </c>
      <c r="J389" s="33" t="s">
        <v>292</v>
      </c>
      <c r="K389" s="33" t="s">
        <v>320</v>
      </c>
      <c r="L389" s="49" t="s">
        <v>294</v>
      </c>
      <c r="M389" s="50" t="str">
        <f>Tabla16[[#This Row],[ABR_02]]</f>
        <v>CT</v>
      </c>
      <c r="N389" t="s">
        <v>295</v>
      </c>
      <c r="O389" s="51" t="s">
        <v>293</v>
      </c>
      <c r="P389" t="s">
        <v>296</v>
      </c>
      <c r="Q389" t="s">
        <v>313</v>
      </c>
      <c r="R389" s="52" t="str">
        <f>_xlfn.CONCAT(Tabla16[[#This Row],[ABR_01]],"00",Tabla16[[#This Row],[ABR_02]],Tabla16[[#This Row],[ZONA2]],,"0",Tabla16[[#This Row],[PARADA2]])</f>
        <v>AR00CT1006</v>
      </c>
      <c r="S389" s="52" t="s">
        <v>314</v>
      </c>
      <c r="T389" s="34" t="s">
        <v>299</v>
      </c>
      <c r="U389" s="34" t="s">
        <v>299</v>
      </c>
      <c r="V389" t="s">
        <v>804</v>
      </c>
    </row>
    <row r="390" spans="1:22" x14ac:dyDescent="0.25">
      <c r="A390" s="48" t="s">
        <v>300</v>
      </c>
      <c r="B390" s="30" t="s">
        <v>321</v>
      </c>
      <c r="C390" s="36" t="s">
        <v>134</v>
      </c>
      <c r="D390" s="31" t="s">
        <v>311</v>
      </c>
      <c r="E390" s="9" t="s">
        <v>23</v>
      </c>
      <c r="F390" s="5">
        <v>356</v>
      </c>
      <c r="G390" s="9">
        <v>952</v>
      </c>
      <c r="H390" s="32" t="s">
        <v>290</v>
      </c>
      <c r="I390" s="32" t="s">
        <v>312</v>
      </c>
      <c r="J390" s="33" t="s">
        <v>292</v>
      </c>
      <c r="K390" s="33" t="s">
        <v>322</v>
      </c>
      <c r="L390" s="49" t="s">
        <v>294</v>
      </c>
      <c r="M390" s="50" t="str">
        <f>Tabla16[[#This Row],[ABR_02]]</f>
        <v>CT</v>
      </c>
      <c r="N390" t="s">
        <v>295</v>
      </c>
      <c r="O390" s="51" t="s">
        <v>293</v>
      </c>
      <c r="P390" t="s">
        <v>296</v>
      </c>
      <c r="Q390" t="s">
        <v>313</v>
      </c>
      <c r="R390" s="52" t="str">
        <f>_xlfn.CONCAT(Tabla16[[#This Row],[ABR_01]],"00",Tabla16[[#This Row],[ABR_02]],Tabla16[[#This Row],[ZONA2]],,"0",Tabla16[[#This Row],[PARADA2]])</f>
        <v>AR00CT1007</v>
      </c>
      <c r="S390" s="52" t="s">
        <v>314</v>
      </c>
      <c r="T390" s="34" t="s">
        <v>299</v>
      </c>
      <c r="U390" s="34" t="s">
        <v>299</v>
      </c>
      <c r="V390" t="s">
        <v>804</v>
      </c>
    </row>
    <row r="391" spans="1:22" x14ac:dyDescent="0.25">
      <c r="A391" s="48" t="s">
        <v>300</v>
      </c>
      <c r="B391" s="30" t="s">
        <v>323</v>
      </c>
      <c r="C391" s="36" t="s">
        <v>138</v>
      </c>
      <c r="D391" s="31" t="s">
        <v>311</v>
      </c>
      <c r="E391" s="9" t="s">
        <v>23</v>
      </c>
      <c r="F391" s="5">
        <v>356</v>
      </c>
      <c r="G391" s="9">
        <v>960</v>
      </c>
      <c r="H391" s="32" t="s">
        <v>290</v>
      </c>
      <c r="I391" s="32" t="s">
        <v>312</v>
      </c>
      <c r="J391" s="33" t="s">
        <v>292</v>
      </c>
      <c r="K391" s="33" t="s">
        <v>324</v>
      </c>
      <c r="L391" s="49" t="s">
        <v>294</v>
      </c>
      <c r="M391" s="50" t="str">
        <f>Tabla16[[#This Row],[ABR_02]]</f>
        <v>CT</v>
      </c>
      <c r="N391" t="s">
        <v>295</v>
      </c>
      <c r="O391" s="51" t="s">
        <v>293</v>
      </c>
      <c r="P391" t="s">
        <v>296</v>
      </c>
      <c r="Q391" t="s">
        <v>313</v>
      </c>
      <c r="R391" s="52" t="str">
        <f>_xlfn.CONCAT(Tabla16[[#This Row],[ABR_01]],"00",Tabla16[[#This Row],[ABR_02]],Tabla16[[#This Row],[ZONA2]],,"0",Tabla16[[#This Row],[PARADA2]])</f>
        <v>AR00CT1008</v>
      </c>
      <c r="S391" s="52" t="s">
        <v>314</v>
      </c>
      <c r="T391" s="34" t="s">
        <v>299</v>
      </c>
      <c r="U391" s="34" t="s">
        <v>299</v>
      </c>
      <c r="V391" t="s">
        <v>804</v>
      </c>
    </row>
    <row r="392" spans="1:22" x14ac:dyDescent="0.25">
      <c r="A392" s="48" t="s">
        <v>300</v>
      </c>
      <c r="B392" s="30" t="s">
        <v>310</v>
      </c>
      <c r="C392" s="36" t="s">
        <v>39</v>
      </c>
      <c r="D392" s="31" t="s">
        <v>311</v>
      </c>
      <c r="E392" s="9" t="s">
        <v>23</v>
      </c>
      <c r="F392" s="5">
        <v>356</v>
      </c>
      <c r="G392" s="9">
        <v>950</v>
      </c>
      <c r="H392" s="32" t="s">
        <v>290</v>
      </c>
      <c r="I392" s="32" t="s">
        <v>312</v>
      </c>
      <c r="J392" s="33" t="s">
        <v>292</v>
      </c>
      <c r="K392" s="33" t="s">
        <v>293</v>
      </c>
      <c r="L392" s="49" t="s">
        <v>294</v>
      </c>
      <c r="M392" s="50" t="str">
        <f>Tabla16[[#This Row],[ABR_02]]</f>
        <v>CT</v>
      </c>
      <c r="N392" t="s">
        <v>295</v>
      </c>
      <c r="O392" s="51" t="s">
        <v>309</v>
      </c>
      <c r="P392" t="s">
        <v>625</v>
      </c>
      <c r="Q392" t="s">
        <v>626</v>
      </c>
      <c r="R392" s="52" t="str">
        <f>_xlfn.CONCAT(Tabla16[[#This Row],[ABR_01]],"00",Tabla16[[#This Row],[ABR_02]],Tabla16[[#This Row],[ZONA2]],,"0",Tabla16[[#This Row],[PARADA2]])</f>
        <v>AR00CT1001</v>
      </c>
      <c r="S392" s="52" t="s">
        <v>627</v>
      </c>
      <c r="T392" s="34" t="s">
        <v>299</v>
      </c>
      <c r="U392" s="45" t="s">
        <v>299</v>
      </c>
      <c r="V392" t="s">
        <v>805</v>
      </c>
    </row>
    <row r="393" spans="1:22" x14ac:dyDescent="0.25">
      <c r="A393" s="48" t="s">
        <v>300</v>
      </c>
      <c r="B393" s="30" t="s">
        <v>315</v>
      </c>
      <c r="C393" s="36" t="s">
        <v>53</v>
      </c>
      <c r="D393" s="31" t="s">
        <v>311</v>
      </c>
      <c r="E393" s="9" t="s">
        <v>23</v>
      </c>
      <c r="F393" s="5">
        <v>356</v>
      </c>
      <c r="G393" s="9">
        <v>966</v>
      </c>
      <c r="H393" s="32" t="s">
        <v>290</v>
      </c>
      <c r="I393" s="32" t="s">
        <v>312</v>
      </c>
      <c r="J393" s="33" t="s">
        <v>292</v>
      </c>
      <c r="K393" s="33" t="s">
        <v>306</v>
      </c>
      <c r="L393" s="49" t="s">
        <v>294</v>
      </c>
      <c r="M393" s="50" t="str">
        <f>Tabla16[[#This Row],[ABR_02]]</f>
        <v>CT</v>
      </c>
      <c r="N393" t="s">
        <v>295</v>
      </c>
      <c r="O393" s="51" t="s">
        <v>309</v>
      </c>
      <c r="P393" t="s">
        <v>625</v>
      </c>
      <c r="Q393" t="s">
        <v>626</v>
      </c>
      <c r="R393" s="52" t="str">
        <f>_xlfn.CONCAT(Tabla16[[#This Row],[ABR_01]],"00",Tabla16[[#This Row],[ABR_02]],Tabla16[[#This Row],[ZONA2]],,"0",Tabla16[[#This Row],[PARADA2]])</f>
        <v>AR00CT1002</v>
      </c>
      <c r="S393" s="52" t="s">
        <v>627</v>
      </c>
      <c r="T393" s="34" t="s">
        <v>299</v>
      </c>
      <c r="U393" s="45" t="s">
        <v>299</v>
      </c>
      <c r="V393" t="s">
        <v>805</v>
      </c>
    </row>
    <row r="394" spans="1:22" x14ac:dyDescent="0.25">
      <c r="A394" s="48" t="s">
        <v>300</v>
      </c>
      <c r="B394" s="30" t="s">
        <v>316</v>
      </c>
      <c r="C394" s="3" t="s">
        <v>174</v>
      </c>
      <c r="D394" s="31" t="s">
        <v>311</v>
      </c>
      <c r="E394" s="9" t="s">
        <v>23</v>
      </c>
      <c r="F394" s="5">
        <v>356</v>
      </c>
      <c r="G394" s="9">
        <v>953</v>
      </c>
      <c r="H394" s="32" t="s">
        <v>290</v>
      </c>
      <c r="I394" s="32" t="s">
        <v>312</v>
      </c>
      <c r="J394" s="33" t="s">
        <v>292</v>
      </c>
      <c r="K394" s="33" t="s">
        <v>307</v>
      </c>
      <c r="L394" s="49" t="s">
        <v>294</v>
      </c>
      <c r="M394" s="50" t="str">
        <f>Tabla16[[#This Row],[ABR_02]]</f>
        <v>CT</v>
      </c>
      <c r="N394" t="s">
        <v>295</v>
      </c>
      <c r="O394" s="51" t="s">
        <v>309</v>
      </c>
      <c r="P394" t="s">
        <v>625</v>
      </c>
      <c r="Q394" t="s">
        <v>626</v>
      </c>
      <c r="R394" s="52" t="str">
        <f>_xlfn.CONCAT(Tabla16[[#This Row],[ABR_01]],"00",Tabla16[[#This Row],[ABR_02]],Tabla16[[#This Row],[ZONA2]],,"0",Tabla16[[#This Row],[PARADA2]])</f>
        <v>AR00CT1003</v>
      </c>
      <c r="S394" s="52" t="s">
        <v>627</v>
      </c>
      <c r="T394" s="34" t="s">
        <v>299</v>
      </c>
      <c r="U394" s="45" t="s">
        <v>299</v>
      </c>
      <c r="V394" t="s">
        <v>805</v>
      </c>
    </row>
    <row r="395" spans="1:22" x14ac:dyDescent="0.25">
      <c r="A395" s="48" t="s">
        <v>300</v>
      </c>
      <c r="B395" s="30" t="s">
        <v>317</v>
      </c>
      <c r="C395" s="3" t="s">
        <v>317</v>
      </c>
      <c r="D395" s="31" t="s">
        <v>311</v>
      </c>
      <c r="E395" s="9" t="s">
        <v>23</v>
      </c>
      <c r="F395" s="5">
        <v>356</v>
      </c>
      <c r="G395" s="9">
        <v>964</v>
      </c>
      <c r="H395" s="32" t="s">
        <v>290</v>
      </c>
      <c r="I395" s="32" t="s">
        <v>312</v>
      </c>
      <c r="J395" s="33" t="s">
        <v>292</v>
      </c>
      <c r="K395" s="33" t="s">
        <v>309</v>
      </c>
      <c r="L395" s="49" t="s">
        <v>294</v>
      </c>
      <c r="M395" s="50" t="str">
        <f>Tabla16[[#This Row],[ABR_02]]</f>
        <v>CT</v>
      </c>
      <c r="N395" t="s">
        <v>295</v>
      </c>
      <c r="O395" s="51" t="s">
        <v>309</v>
      </c>
      <c r="P395" t="s">
        <v>625</v>
      </c>
      <c r="Q395" t="s">
        <v>626</v>
      </c>
      <c r="R395" s="52" t="str">
        <f>_xlfn.CONCAT(Tabla16[[#This Row],[ABR_01]],"00",Tabla16[[#This Row],[ABR_02]],Tabla16[[#This Row],[ZONA2]],,"0",Tabla16[[#This Row],[PARADA2]])</f>
        <v>AR00CT1004</v>
      </c>
      <c r="S395" s="52" t="s">
        <v>627</v>
      </c>
      <c r="T395" s="34" t="s">
        <v>299</v>
      </c>
      <c r="U395" s="45" t="s">
        <v>299</v>
      </c>
      <c r="V395" t="s">
        <v>805</v>
      </c>
    </row>
    <row r="396" spans="1:22" x14ac:dyDescent="0.25">
      <c r="A396" s="48" t="s">
        <v>300</v>
      </c>
      <c r="B396" s="30" t="s">
        <v>318</v>
      </c>
      <c r="C396" s="36" t="s">
        <v>95</v>
      </c>
      <c r="D396" s="31" t="s">
        <v>311</v>
      </c>
      <c r="E396" s="9" t="s">
        <v>23</v>
      </c>
      <c r="F396" s="5">
        <v>356</v>
      </c>
      <c r="G396" s="9">
        <v>962</v>
      </c>
      <c r="H396" s="32" t="s">
        <v>290</v>
      </c>
      <c r="I396" s="32" t="s">
        <v>312</v>
      </c>
      <c r="J396" s="33" t="s">
        <v>292</v>
      </c>
      <c r="K396" s="33" t="s">
        <v>319</v>
      </c>
      <c r="L396" s="49" t="s">
        <v>294</v>
      </c>
      <c r="M396" s="50" t="str">
        <f>Tabla16[[#This Row],[ABR_02]]</f>
        <v>CT</v>
      </c>
      <c r="N396" t="s">
        <v>295</v>
      </c>
      <c r="O396" s="51" t="s">
        <v>309</v>
      </c>
      <c r="P396" t="s">
        <v>625</v>
      </c>
      <c r="Q396" t="s">
        <v>626</v>
      </c>
      <c r="R396" s="52" t="str">
        <f>_xlfn.CONCAT(Tabla16[[#This Row],[ABR_01]],"00",Tabla16[[#This Row],[ABR_02]],Tabla16[[#This Row],[ZONA2]],,"0",Tabla16[[#This Row],[PARADA2]])</f>
        <v>AR00CT1005</v>
      </c>
      <c r="S396" s="52" t="s">
        <v>627</v>
      </c>
      <c r="T396" s="34" t="s">
        <v>299</v>
      </c>
      <c r="U396" s="45" t="s">
        <v>299</v>
      </c>
      <c r="V396" t="s">
        <v>805</v>
      </c>
    </row>
    <row r="397" spans="1:22" x14ac:dyDescent="0.25">
      <c r="A397" s="48" t="s">
        <v>300</v>
      </c>
      <c r="B397" s="30" t="s">
        <v>178</v>
      </c>
      <c r="C397" s="3" t="s">
        <v>178</v>
      </c>
      <c r="D397" s="31" t="s">
        <v>311</v>
      </c>
      <c r="E397" s="9" t="s">
        <v>23</v>
      </c>
      <c r="F397" s="5">
        <v>356</v>
      </c>
      <c r="G397" s="9">
        <v>954</v>
      </c>
      <c r="H397" s="32" t="s">
        <v>290</v>
      </c>
      <c r="I397" s="32" t="s">
        <v>312</v>
      </c>
      <c r="J397" s="33" t="s">
        <v>292</v>
      </c>
      <c r="K397" s="33" t="s">
        <v>320</v>
      </c>
      <c r="L397" s="49" t="s">
        <v>294</v>
      </c>
      <c r="M397" s="50" t="str">
        <f>Tabla16[[#This Row],[ABR_02]]</f>
        <v>CT</v>
      </c>
      <c r="N397" t="s">
        <v>295</v>
      </c>
      <c r="O397" s="51" t="s">
        <v>309</v>
      </c>
      <c r="P397" t="s">
        <v>625</v>
      </c>
      <c r="Q397" t="s">
        <v>626</v>
      </c>
      <c r="R397" s="52" t="str">
        <f>_xlfn.CONCAT(Tabla16[[#This Row],[ABR_01]],"00",Tabla16[[#This Row],[ABR_02]],Tabla16[[#This Row],[ZONA2]],,"0",Tabla16[[#This Row],[PARADA2]])</f>
        <v>AR00CT1006</v>
      </c>
      <c r="S397" s="52" t="s">
        <v>627</v>
      </c>
      <c r="T397" s="34" t="s">
        <v>299</v>
      </c>
      <c r="U397" s="45" t="s">
        <v>299</v>
      </c>
      <c r="V397" t="s">
        <v>805</v>
      </c>
    </row>
    <row r="398" spans="1:22" x14ac:dyDescent="0.25">
      <c r="A398" s="48" t="s">
        <v>300</v>
      </c>
      <c r="B398" s="30" t="s">
        <v>321</v>
      </c>
      <c r="C398" s="36" t="s">
        <v>134</v>
      </c>
      <c r="D398" s="31" t="s">
        <v>311</v>
      </c>
      <c r="E398" s="9" t="s">
        <v>23</v>
      </c>
      <c r="F398" s="5">
        <v>356</v>
      </c>
      <c r="G398" s="9">
        <v>952</v>
      </c>
      <c r="H398" s="32" t="s">
        <v>290</v>
      </c>
      <c r="I398" s="32" t="s">
        <v>312</v>
      </c>
      <c r="J398" s="33" t="s">
        <v>292</v>
      </c>
      <c r="K398" s="33" t="s">
        <v>322</v>
      </c>
      <c r="L398" s="49" t="s">
        <v>294</v>
      </c>
      <c r="M398" s="50" t="str">
        <f>Tabla16[[#This Row],[ABR_02]]</f>
        <v>CT</v>
      </c>
      <c r="N398" t="s">
        <v>295</v>
      </c>
      <c r="O398" s="51" t="s">
        <v>309</v>
      </c>
      <c r="P398" t="s">
        <v>625</v>
      </c>
      <c r="Q398" t="s">
        <v>626</v>
      </c>
      <c r="R398" s="52" t="str">
        <f>_xlfn.CONCAT(Tabla16[[#This Row],[ABR_01]],"00",Tabla16[[#This Row],[ABR_02]],Tabla16[[#This Row],[ZONA2]],,"0",Tabla16[[#This Row],[PARADA2]])</f>
        <v>AR00CT1007</v>
      </c>
      <c r="S398" s="52" t="s">
        <v>627</v>
      </c>
      <c r="T398" s="34" t="s">
        <v>299</v>
      </c>
      <c r="U398" s="45" t="s">
        <v>299</v>
      </c>
      <c r="V398" t="s">
        <v>805</v>
      </c>
    </row>
    <row r="399" spans="1:22" x14ac:dyDescent="0.25">
      <c r="A399" s="48" t="s">
        <v>300</v>
      </c>
      <c r="B399" s="30" t="s">
        <v>323</v>
      </c>
      <c r="C399" s="36" t="s">
        <v>138</v>
      </c>
      <c r="D399" s="31" t="s">
        <v>311</v>
      </c>
      <c r="E399" s="9" t="s">
        <v>23</v>
      </c>
      <c r="F399" s="5">
        <v>356</v>
      </c>
      <c r="G399" s="9">
        <v>960</v>
      </c>
      <c r="H399" s="32" t="s">
        <v>290</v>
      </c>
      <c r="I399" s="32" t="s">
        <v>312</v>
      </c>
      <c r="J399" s="33" t="s">
        <v>292</v>
      </c>
      <c r="K399" s="33" t="s">
        <v>324</v>
      </c>
      <c r="L399" s="49" t="s">
        <v>294</v>
      </c>
      <c r="M399" s="50" t="str">
        <f>Tabla16[[#This Row],[ABR_02]]</f>
        <v>CT</v>
      </c>
      <c r="N399" t="s">
        <v>295</v>
      </c>
      <c r="O399" s="51" t="s">
        <v>309</v>
      </c>
      <c r="P399" t="s">
        <v>625</v>
      </c>
      <c r="Q399" t="s">
        <v>626</v>
      </c>
      <c r="R399" s="52" t="str">
        <f>_xlfn.CONCAT(Tabla16[[#This Row],[ABR_01]],"00",Tabla16[[#This Row],[ABR_02]],Tabla16[[#This Row],[ZONA2]],,"0",Tabla16[[#This Row],[PARADA2]])</f>
        <v>AR00CT1008</v>
      </c>
      <c r="S399" s="52" t="s">
        <v>627</v>
      </c>
      <c r="T399" s="34" t="s">
        <v>299</v>
      </c>
      <c r="U399" s="45" t="s">
        <v>299</v>
      </c>
      <c r="V399" t="s">
        <v>805</v>
      </c>
    </row>
    <row r="400" spans="1:22" x14ac:dyDescent="0.25">
      <c r="A400" s="48" t="s">
        <v>300</v>
      </c>
      <c r="B400" s="30" t="s">
        <v>162</v>
      </c>
      <c r="C400" s="3" t="s">
        <v>162</v>
      </c>
      <c r="D400" s="31" t="s">
        <v>301</v>
      </c>
      <c r="E400" s="9" t="s">
        <v>20</v>
      </c>
      <c r="F400" s="35">
        <v>299</v>
      </c>
      <c r="G400" s="9">
        <v>906</v>
      </c>
      <c r="H400" s="32" t="s">
        <v>290</v>
      </c>
      <c r="I400" s="32" t="s">
        <v>302</v>
      </c>
      <c r="J400" s="33" t="s">
        <v>292</v>
      </c>
      <c r="K400" s="33" t="s">
        <v>293</v>
      </c>
      <c r="L400" s="49" t="s">
        <v>294</v>
      </c>
      <c r="M400" s="50" t="str">
        <f>Tabla16[[#This Row],[ABR_02]]</f>
        <v>NQ</v>
      </c>
      <c r="N400" t="s">
        <v>295</v>
      </c>
      <c r="O400" s="51" t="s">
        <v>293</v>
      </c>
      <c r="P400" t="s">
        <v>296</v>
      </c>
      <c r="Q400" t="s">
        <v>303</v>
      </c>
      <c r="R400" s="52" t="str">
        <f>_xlfn.CONCAT(Tabla16[[#This Row],[ABR_01]],"00",Tabla16[[#This Row],[ABR_02]],Tabla16[[#This Row],[ZONA2]],,"0",Tabla16[[#This Row],[PARADA2]])</f>
        <v>AR00NQ1001</v>
      </c>
      <c r="S400" s="52" t="s">
        <v>304</v>
      </c>
      <c r="T400" s="34" t="s">
        <v>299</v>
      </c>
      <c r="U400" s="34" t="s">
        <v>299</v>
      </c>
      <c r="V400" t="s">
        <v>804</v>
      </c>
    </row>
    <row r="401" spans="1:22" x14ac:dyDescent="0.25">
      <c r="A401" s="48" t="s">
        <v>300</v>
      </c>
      <c r="B401" s="30" t="s">
        <v>305</v>
      </c>
      <c r="C401" s="3" t="s">
        <v>305</v>
      </c>
      <c r="D401" s="31" t="s">
        <v>301</v>
      </c>
      <c r="E401" s="9" t="s">
        <v>20</v>
      </c>
      <c r="F401" s="35">
        <v>299</v>
      </c>
      <c r="G401" s="9">
        <v>904</v>
      </c>
      <c r="H401" s="32" t="s">
        <v>290</v>
      </c>
      <c r="I401" s="32" t="s">
        <v>302</v>
      </c>
      <c r="J401" s="33" t="s">
        <v>292</v>
      </c>
      <c r="K401" s="33" t="s">
        <v>306</v>
      </c>
      <c r="L401" s="49" t="s">
        <v>294</v>
      </c>
      <c r="M401" s="50" t="str">
        <f>Tabla16[[#This Row],[ABR_02]]</f>
        <v>NQ</v>
      </c>
      <c r="N401" t="s">
        <v>295</v>
      </c>
      <c r="O401" s="51" t="s">
        <v>293</v>
      </c>
      <c r="P401" t="s">
        <v>296</v>
      </c>
      <c r="Q401" t="s">
        <v>303</v>
      </c>
      <c r="R401" s="52" t="str">
        <f>_xlfn.CONCAT(Tabla16[[#This Row],[ABR_01]],"00",Tabla16[[#This Row],[ABR_02]],Tabla16[[#This Row],[ZONA2]],,"0",Tabla16[[#This Row],[PARADA2]])</f>
        <v>AR00NQ1002</v>
      </c>
      <c r="S401" s="52" t="s">
        <v>304</v>
      </c>
      <c r="T401" s="34" t="s">
        <v>299</v>
      </c>
      <c r="U401" s="34" t="s">
        <v>299</v>
      </c>
      <c r="V401" t="s">
        <v>804</v>
      </c>
    </row>
    <row r="402" spans="1:22" x14ac:dyDescent="0.25">
      <c r="A402" s="48" t="s">
        <v>300</v>
      </c>
      <c r="B402" s="30" t="s">
        <v>121</v>
      </c>
      <c r="C402" s="3" t="s">
        <v>121</v>
      </c>
      <c r="D402" s="31" t="s">
        <v>301</v>
      </c>
      <c r="E402" s="9" t="s">
        <v>20</v>
      </c>
      <c r="F402" s="35">
        <v>299</v>
      </c>
      <c r="G402" s="9">
        <v>920</v>
      </c>
      <c r="H402" s="32" t="s">
        <v>290</v>
      </c>
      <c r="I402" s="32" t="s">
        <v>302</v>
      </c>
      <c r="J402" s="33" t="s">
        <v>292</v>
      </c>
      <c r="K402" s="33" t="s">
        <v>307</v>
      </c>
      <c r="L402" s="49" t="s">
        <v>294</v>
      </c>
      <c r="M402" s="50" t="str">
        <f>Tabla16[[#This Row],[ABR_02]]</f>
        <v>NQ</v>
      </c>
      <c r="N402" t="s">
        <v>295</v>
      </c>
      <c r="O402" s="51" t="s">
        <v>293</v>
      </c>
      <c r="P402" t="s">
        <v>296</v>
      </c>
      <c r="Q402" t="s">
        <v>303</v>
      </c>
      <c r="R402" s="52" t="str">
        <f>_xlfn.CONCAT(Tabla16[[#This Row],[ABR_01]],"00",Tabla16[[#This Row],[ABR_02]],Tabla16[[#This Row],[ZONA2]],,"0",Tabla16[[#This Row],[PARADA2]])</f>
        <v>AR00NQ1003</v>
      </c>
      <c r="S402" s="52" t="s">
        <v>304</v>
      </c>
      <c r="T402" s="34" t="s">
        <v>299</v>
      </c>
      <c r="U402" s="34" t="s">
        <v>299</v>
      </c>
      <c r="V402" t="s">
        <v>804</v>
      </c>
    </row>
    <row r="403" spans="1:22" x14ac:dyDescent="0.25">
      <c r="A403" s="48" t="s">
        <v>300</v>
      </c>
      <c r="B403" s="30" t="s">
        <v>308</v>
      </c>
      <c r="C403" s="36" t="s">
        <v>152</v>
      </c>
      <c r="D403" s="31" t="s">
        <v>301</v>
      </c>
      <c r="E403" s="9" t="s">
        <v>20</v>
      </c>
      <c r="F403" s="35">
        <v>299</v>
      </c>
      <c r="G403" s="9">
        <v>914</v>
      </c>
      <c r="H403" s="32" t="s">
        <v>290</v>
      </c>
      <c r="I403" s="32" t="s">
        <v>302</v>
      </c>
      <c r="J403" s="33" t="s">
        <v>292</v>
      </c>
      <c r="K403" s="33" t="s">
        <v>309</v>
      </c>
      <c r="L403" s="49" t="s">
        <v>294</v>
      </c>
      <c r="M403" s="50" t="str">
        <f>Tabla16[[#This Row],[ABR_02]]</f>
        <v>NQ</v>
      </c>
      <c r="N403" t="s">
        <v>295</v>
      </c>
      <c r="O403" s="51" t="s">
        <v>293</v>
      </c>
      <c r="P403" t="s">
        <v>296</v>
      </c>
      <c r="Q403" t="s">
        <v>303</v>
      </c>
      <c r="R403" s="52" t="str">
        <f>_xlfn.CONCAT(Tabla16[[#This Row],[ABR_01]],"00",Tabla16[[#This Row],[ABR_02]],Tabla16[[#This Row],[ZONA2]],,"0",Tabla16[[#This Row],[PARADA2]])</f>
        <v>AR00NQ1004</v>
      </c>
      <c r="S403" s="52" t="s">
        <v>304</v>
      </c>
      <c r="T403" s="34" t="s">
        <v>299</v>
      </c>
      <c r="U403" s="34" t="s">
        <v>299</v>
      </c>
      <c r="V403" t="s">
        <v>804</v>
      </c>
    </row>
    <row r="404" spans="1:22" x14ac:dyDescent="0.25">
      <c r="A404" s="48" t="s">
        <v>300</v>
      </c>
      <c r="B404" s="30" t="s">
        <v>162</v>
      </c>
      <c r="C404" s="3" t="s">
        <v>162</v>
      </c>
      <c r="D404" s="31" t="s">
        <v>301</v>
      </c>
      <c r="E404" s="9" t="s">
        <v>20</v>
      </c>
      <c r="F404" s="46">
        <v>299</v>
      </c>
      <c r="G404" s="9">
        <v>906</v>
      </c>
      <c r="H404" s="32" t="s">
        <v>290</v>
      </c>
      <c r="I404" s="32" t="s">
        <v>302</v>
      </c>
      <c r="J404" s="33" t="s">
        <v>292</v>
      </c>
      <c r="K404" s="33" t="s">
        <v>293</v>
      </c>
      <c r="L404" s="49" t="s">
        <v>294</v>
      </c>
      <c r="M404" s="50" t="str">
        <f>Tabla16[[#This Row],[ABR_02]]</f>
        <v>NQ</v>
      </c>
      <c r="N404" t="s">
        <v>295</v>
      </c>
      <c r="O404" s="51" t="s">
        <v>309</v>
      </c>
      <c r="P404" t="s">
        <v>625</v>
      </c>
      <c r="Q404" t="s">
        <v>295</v>
      </c>
      <c r="R404" s="52" t="str">
        <f>_xlfn.CONCAT(Tabla16[[#This Row],[ABR_01]],"00",Tabla16[[#This Row],[ABR_02]],Tabla16[[#This Row],[ZONA2]],,"0",Tabla16[[#This Row],[PARADA2]])</f>
        <v>AR00NQ1001</v>
      </c>
      <c r="S404" s="52" t="s">
        <v>555</v>
      </c>
      <c r="T404" s="34" t="s">
        <v>299</v>
      </c>
      <c r="U404" s="45" t="s">
        <v>299</v>
      </c>
      <c r="V404" t="s">
        <v>805</v>
      </c>
    </row>
    <row r="405" spans="1:22" x14ac:dyDescent="0.25">
      <c r="A405" s="48" t="s">
        <v>300</v>
      </c>
      <c r="B405" s="30" t="s">
        <v>305</v>
      </c>
      <c r="C405" s="3" t="s">
        <v>37</v>
      </c>
      <c r="D405" s="31" t="s">
        <v>301</v>
      </c>
      <c r="E405" s="9" t="s">
        <v>20</v>
      </c>
      <c r="F405" s="46">
        <v>299</v>
      </c>
      <c r="G405" s="9">
        <v>904</v>
      </c>
      <c r="H405" s="32" t="s">
        <v>290</v>
      </c>
      <c r="I405" s="32" t="s">
        <v>302</v>
      </c>
      <c r="J405" s="33" t="s">
        <v>292</v>
      </c>
      <c r="K405" s="33" t="s">
        <v>306</v>
      </c>
      <c r="L405" s="49" t="s">
        <v>294</v>
      </c>
      <c r="M405" s="50" t="str">
        <f>Tabla16[[#This Row],[ABR_02]]</f>
        <v>NQ</v>
      </c>
      <c r="N405" t="s">
        <v>295</v>
      </c>
      <c r="O405" s="51" t="s">
        <v>309</v>
      </c>
      <c r="P405" t="s">
        <v>625</v>
      </c>
      <c r="Q405" t="s">
        <v>295</v>
      </c>
      <c r="R405" s="52" t="str">
        <f>_xlfn.CONCAT(Tabla16[[#This Row],[ABR_01]],"00",Tabla16[[#This Row],[ABR_02]],Tabla16[[#This Row],[ZONA2]],,"0",Tabla16[[#This Row],[PARADA2]])</f>
        <v>AR00NQ1002</v>
      </c>
      <c r="S405" s="52" t="s">
        <v>555</v>
      </c>
      <c r="T405" s="34" t="s">
        <v>299</v>
      </c>
      <c r="U405" s="45" t="s">
        <v>299</v>
      </c>
      <c r="V405" t="s">
        <v>805</v>
      </c>
    </row>
    <row r="406" spans="1:22" x14ac:dyDescent="0.25">
      <c r="A406" s="48" t="s">
        <v>300</v>
      </c>
      <c r="B406" s="30" t="s">
        <v>121</v>
      </c>
      <c r="C406" s="3" t="s">
        <v>121</v>
      </c>
      <c r="D406" s="31" t="s">
        <v>301</v>
      </c>
      <c r="E406" s="9" t="s">
        <v>20</v>
      </c>
      <c r="F406" s="46">
        <v>299</v>
      </c>
      <c r="G406" s="9">
        <v>920</v>
      </c>
      <c r="H406" s="32" t="s">
        <v>290</v>
      </c>
      <c r="I406" s="32" t="s">
        <v>302</v>
      </c>
      <c r="J406" s="33" t="s">
        <v>292</v>
      </c>
      <c r="K406" s="33" t="s">
        <v>307</v>
      </c>
      <c r="L406" s="49" t="s">
        <v>294</v>
      </c>
      <c r="M406" s="50" t="str">
        <f>Tabla16[[#This Row],[ABR_02]]</f>
        <v>NQ</v>
      </c>
      <c r="N406" t="s">
        <v>295</v>
      </c>
      <c r="O406" s="51" t="s">
        <v>309</v>
      </c>
      <c r="P406" t="s">
        <v>625</v>
      </c>
      <c r="Q406" t="s">
        <v>295</v>
      </c>
      <c r="R406" s="52" t="str">
        <f>_xlfn.CONCAT(Tabla16[[#This Row],[ABR_01]],"00",Tabla16[[#This Row],[ABR_02]],Tabla16[[#This Row],[ZONA2]],,"0",Tabla16[[#This Row],[PARADA2]])</f>
        <v>AR00NQ1003</v>
      </c>
      <c r="S406" s="52" t="s">
        <v>555</v>
      </c>
      <c r="T406" s="34" t="s">
        <v>299</v>
      </c>
      <c r="U406" s="45" t="s">
        <v>299</v>
      </c>
      <c r="V406" t="s">
        <v>805</v>
      </c>
    </row>
    <row r="407" spans="1:22" x14ac:dyDescent="0.25">
      <c r="A407" s="48" t="s">
        <v>300</v>
      </c>
      <c r="B407" s="30" t="s">
        <v>308</v>
      </c>
      <c r="C407" s="36" t="s">
        <v>152</v>
      </c>
      <c r="D407" s="31" t="s">
        <v>301</v>
      </c>
      <c r="E407" s="9" t="s">
        <v>20</v>
      </c>
      <c r="F407" s="46">
        <v>299</v>
      </c>
      <c r="G407" s="9">
        <v>914</v>
      </c>
      <c r="H407" s="32" t="s">
        <v>290</v>
      </c>
      <c r="I407" s="32" t="s">
        <v>302</v>
      </c>
      <c r="J407" s="33" t="s">
        <v>292</v>
      </c>
      <c r="K407" s="33" t="s">
        <v>309</v>
      </c>
      <c r="L407" s="49" t="s">
        <v>294</v>
      </c>
      <c r="M407" s="50" t="str">
        <f>Tabla16[[#This Row],[ABR_02]]</f>
        <v>NQ</v>
      </c>
      <c r="N407" t="s">
        <v>295</v>
      </c>
      <c r="O407" s="51" t="s">
        <v>309</v>
      </c>
      <c r="P407" t="s">
        <v>625</v>
      </c>
      <c r="Q407" t="s">
        <v>295</v>
      </c>
      <c r="R407" s="52" t="str">
        <f>_xlfn.CONCAT(Tabla16[[#This Row],[ABR_01]],"00",Tabla16[[#This Row],[ABR_02]],Tabla16[[#This Row],[ZONA2]],,"0",Tabla16[[#This Row],[PARADA2]])</f>
        <v>AR00NQ1004</v>
      </c>
      <c r="S407" s="52" t="s">
        <v>555</v>
      </c>
      <c r="T407" s="34" t="s">
        <v>299</v>
      </c>
      <c r="U407" s="45" t="s">
        <v>299</v>
      </c>
      <c r="V407" t="s">
        <v>805</v>
      </c>
    </row>
    <row r="408" spans="1:22" x14ac:dyDescent="0.25">
      <c r="A408" s="48" t="s">
        <v>287</v>
      </c>
      <c r="B408" s="30" t="s">
        <v>288</v>
      </c>
      <c r="C408" s="30" t="s">
        <v>288</v>
      </c>
      <c r="D408" s="101" t="s">
        <v>289</v>
      </c>
      <c r="E408" s="102"/>
      <c r="F408" s="103"/>
      <c r="G408" s="9"/>
      <c r="H408" s="32" t="s">
        <v>290</v>
      </c>
      <c r="I408" s="32" t="s">
        <v>291</v>
      </c>
      <c r="J408" s="33" t="s">
        <v>292</v>
      </c>
      <c r="K408" s="33" t="s">
        <v>293</v>
      </c>
      <c r="L408" s="49" t="s">
        <v>294</v>
      </c>
      <c r="M408" s="54" t="str">
        <f>Tabla16[[#This Row],[ABR_02]]</f>
        <v>UR</v>
      </c>
      <c r="N408" t="s">
        <v>295</v>
      </c>
      <c r="O408" s="51" t="s">
        <v>293</v>
      </c>
      <c r="P408" t="s">
        <v>296</v>
      </c>
      <c r="Q408" t="s">
        <v>297</v>
      </c>
      <c r="R408" s="52" t="str">
        <f>_xlfn.CONCAT(Tabla16[[#This Row],[ABR_01]],"00",Tabla16[[#This Row],[ABR_02]],Tabla16[[#This Row],[ZONA2]],,"0",Tabla16[[#This Row],[PARADA2]])</f>
        <v>AR00UR1001</v>
      </c>
      <c r="S408" s="52" t="s">
        <v>298</v>
      </c>
      <c r="T408" s="34" t="s">
        <v>299</v>
      </c>
      <c r="U408" s="34" t="s">
        <v>299</v>
      </c>
      <c r="V408" t="s">
        <v>806</v>
      </c>
    </row>
    <row r="409" spans="1:22" x14ac:dyDescent="0.25">
      <c r="A409" s="48" t="s">
        <v>287</v>
      </c>
      <c r="B409" s="30" t="s">
        <v>288</v>
      </c>
      <c r="C409" s="30" t="s">
        <v>288</v>
      </c>
      <c r="D409" s="101" t="s">
        <v>289</v>
      </c>
      <c r="E409" s="102"/>
      <c r="F409" s="103"/>
      <c r="G409" s="9"/>
      <c r="H409" s="32" t="s">
        <v>290</v>
      </c>
      <c r="I409" s="32" t="s">
        <v>291</v>
      </c>
      <c r="J409" s="33" t="s">
        <v>292</v>
      </c>
      <c r="K409" s="33" t="s">
        <v>293</v>
      </c>
      <c r="L409" s="49" t="s">
        <v>294</v>
      </c>
      <c r="M409" s="54" t="str">
        <f>Tabla16[[#This Row],[ABR_02]]</f>
        <v>UR</v>
      </c>
      <c r="N409" t="s">
        <v>295</v>
      </c>
      <c r="O409" s="51" t="s">
        <v>309</v>
      </c>
      <c r="P409" t="s">
        <v>625</v>
      </c>
      <c r="Q409" t="s">
        <v>297</v>
      </c>
      <c r="R409" s="52" t="str">
        <f>_xlfn.CONCAT(Tabla16[[#This Row],[ABR_01]],"00",Tabla16[[#This Row],[ABR_02]],Tabla16[[#This Row],[ZONA2]],,"0",Tabla16[[#This Row],[PARADA2]])</f>
        <v>AR00UR1001</v>
      </c>
      <c r="S409" s="52" t="s">
        <v>298</v>
      </c>
      <c r="T409" s="34" t="s">
        <v>299</v>
      </c>
      <c r="U409" s="45" t="s">
        <v>299</v>
      </c>
      <c r="V409" t="s">
        <v>806</v>
      </c>
    </row>
  </sheetData>
  <conditionalFormatting sqref="G1:G409">
    <cfRule type="duplicateValues" dxfId="0" priority="1"/>
  </conditionalFormatting>
  <pageMargins left="0.7" right="0.7" top="0.75" bottom="0.75" header="0.3" footer="0.3"/>
  <pageSetup paperSize="0" orientation="portrait" horizontalDpi="203" verticalDpi="20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9"/>
  <dimension ref="A1:N422"/>
  <sheetViews>
    <sheetView workbookViewId="0">
      <selection activeCell="B1" sqref="B1"/>
    </sheetView>
  </sheetViews>
  <sheetFormatPr baseColWidth="10" defaultRowHeight="15" x14ac:dyDescent="0.25"/>
  <cols>
    <col min="2" max="2" width="14.7109375" bestFit="1" customWidth="1"/>
    <col min="6" max="6" width="23.42578125" bestFit="1" customWidth="1"/>
    <col min="14" max="14" width="25.42578125" bestFit="1" customWidth="1"/>
  </cols>
  <sheetData>
    <row r="1" spans="1:14" ht="51" customHeight="1" x14ac:dyDescent="0.25">
      <c r="A1" s="18" t="s">
        <v>630</v>
      </c>
      <c r="B1" s="18" t="s">
        <v>631</v>
      </c>
      <c r="C1" s="19" t="s">
        <v>632</v>
      </c>
      <c r="D1" s="19" t="s">
        <v>633</v>
      </c>
      <c r="E1" s="19" t="s">
        <v>634</v>
      </c>
      <c r="F1" s="18" t="s">
        <v>635</v>
      </c>
      <c r="G1" s="18" t="s">
        <v>636</v>
      </c>
      <c r="H1" s="18" t="s">
        <v>637</v>
      </c>
      <c r="I1" s="20" t="s">
        <v>638</v>
      </c>
      <c r="J1" s="21" t="s">
        <v>639</v>
      </c>
    </row>
    <row r="2" spans="1:14" x14ac:dyDescent="0.25">
      <c r="A2" s="22" t="s">
        <v>290</v>
      </c>
      <c r="B2" s="22" t="s">
        <v>640</v>
      </c>
      <c r="C2" s="22" t="s">
        <v>293</v>
      </c>
      <c r="D2" s="22" t="s">
        <v>641</v>
      </c>
      <c r="E2" s="22" t="s">
        <v>290</v>
      </c>
      <c r="F2" s="22" t="s">
        <v>642</v>
      </c>
      <c r="G2" s="22"/>
      <c r="H2" s="22" t="s">
        <v>304</v>
      </c>
      <c r="I2" s="22"/>
      <c r="J2" s="23" t="s">
        <v>304</v>
      </c>
      <c r="N2" s="62" t="s">
        <v>765</v>
      </c>
    </row>
    <row r="3" spans="1:14" x14ac:dyDescent="0.25">
      <c r="A3" s="22" t="s">
        <v>290</v>
      </c>
      <c r="B3" s="22" t="s">
        <v>640</v>
      </c>
      <c r="C3" s="22" t="s">
        <v>293</v>
      </c>
      <c r="D3" s="22" t="s">
        <v>641</v>
      </c>
      <c r="E3" s="22" t="s">
        <v>290</v>
      </c>
      <c r="F3" s="22" t="s">
        <v>160</v>
      </c>
      <c r="G3" s="22"/>
      <c r="H3" s="22" t="s">
        <v>555</v>
      </c>
      <c r="I3" s="22"/>
      <c r="J3" s="23" t="s">
        <v>555</v>
      </c>
      <c r="N3" s="63" t="s">
        <v>19</v>
      </c>
    </row>
    <row r="4" spans="1:14" x14ac:dyDescent="0.25">
      <c r="A4" s="22" t="s">
        <v>290</v>
      </c>
      <c r="B4" s="22" t="s">
        <v>640</v>
      </c>
      <c r="C4" s="22" t="s">
        <v>293</v>
      </c>
      <c r="D4" s="22" t="s">
        <v>641</v>
      </c>
      <c r="E4" s="22" t="s">
        <v>290</v>
      </c>
      <c r="F4" s="22" t="s">
        <v>160</v>
      </c>
      <c r="G4" s="22" t="s">
        <v>643</v>
      </c>
      <c r="H4" s="22" t="s">
        <v>555</v>
      </c>
      <c r="I4" s="22"/>
      <c r="J4" s="23" t="s">
        <v>555</v>
      </c>
      <c r="N4" s="63" t="s">
        <v>154</v>
      </c>
    </row>
    <row r="5" spans="1:14" x14ac:dyDescent="0.25">
      <c r="A5" s="22" t="s">
        <v>290</v>
      </c>
      <c r="B5" s="22" t="s">
        <v>640</v>
      </c>
      <c r="C5" s="22" t="s">
        <v>293</v>
      </c>
      <c r="D5" s="22" t="s">
        <v>641</v>
      </c>
      <c r="E5" s="22" t="s">
        <v>290</v>
      </c>
      <c r="F5" s="22" t="s">
        <v>160</v>
      </c>
      <c r="G5" s="22" t="s">
        <v>644</v>
      </c>
      <c r="H5" s="22" t="s">
        <v>555</v>
      </c>
      <c r="I5" s="22"/>
      <c r="J5" s="23" t="s">
        <v>555</v>
      </c>
      <c r="N5" s="63" t="s">
        <v>158</v>
      </c>
    </row>
    <row r="6" spans="1:14" x14ac:dyDescent="0.25">
      <c r="A6" s="22" t="s">
        <v>290</v>
      </c>
      <c r="B6" s="22" t="s">
        <v>640</v>
      </c>
      <c r="C6" s="22" t="s">
        <v>293</v>
      </c>
      <c r="D6" s="22" t="s">
        <v>641</v>
      </c>
      <c r="E6" s="22" t="s">
        <v>290</v>
      </c>
      <c r="F6" s="22" t="s">
        <v>160</v>
      </c>
      <c r="G6" s="22" t="s">
        <v>645</v>
      </c>
      <c r="H6" s="22" t="s">
        <v>555</v>
      </c>
      <c r="I6" s="22"/>
      <c r="J6" s="23" t="s">
        <v>555</v>
      </c>
      <c r="N6" s="63" t="s">
        <v>161</v>
      </c>
    </row>
    <row r="7" spans="1:14" x14ac:dyDescent="0.25">
      <c r="A7" s="22" t="s">
        <v>290</v>
      </c>
      <c r="B7" s="22" t="s">
        <v>640</v>
      </c>
      <c r="C7" s="22" t="s">
        <v>293</v>
      </c>
      <c r="D7" s="22" t="s">
        <v>641</v>
      </c>
      <c r="E7" s="22" t="s">
        <v>290</v>
      </c>
      <c r="F7" s="22" t="s">
        <v>160</v>
      </c>
      <c r="G7" s="22" t="s">
        <v>646</v>
      </c>
      <c r="H7" s="22" t="s">
        <v>555</v>
      </c>
      <c r="I7" s="22"/>
      <c r="J7" s="23" t="s">
        <v>555</v>
      </c>
      <c r="N7" s="63" t="s">
        <v>182</v>
      </c>
    </row>
    <row r="8" spans="1:14" x14ac:dyDescent="0.25">
      <c r="A8" s="22" t="s">
        <v>290</v>
      </c>
      <c r="B8" s="22" t="s">
        <v>640</v>
      </c>
      <c r="C8" s="22" t="s">
        <v>293</v>
      </c>
      <c r="D8" s="22" t="s">
        <v>641</v>
      </c>
      <c r="E8" s="22" t="s">
        <v>290</v>
      </c>
      <c r="F8" s="22" t="s">
        <v>160</v>
      </c>
      <c r="G8" s="22" t="s">
        <v>647</v>
      </c>
      <c r="H8" s="22" t="s">
        <v>555</v>
      </c>
      <c r="I8" s="22"/>
      <c r="J8" s="23" t="s">
        <v>555</v>
      </c>
      <c r="N8" s="63" t="s">
        <v>229</v>
      </c>
    </row>
    <row r="9" spans="1:14" x14ac:dyDescent="0.25">
      <c r="A9" s="22" t="s">
        <v>290</v>
      </c>
      <c r="B9" s="22" t="s">
        <v>640</v>
      </c>
      <c r="C9" s="22" t="s">
        <v>293</v>
      </c>
      <c r="D9" s="22" t="s">
        <v>641</v>
      </c>
      <c r="E9" s="22" t="s">
        <v>290</v>
      </c>
      <c r="F9" s="22" t="s">
        <v>160</v>
      </c>
      <c r="G9" s="22" t="s">
        <v>648</v>
      </c>
      <c r="H9" s="22" t="s">
        <v>555</v>
      </c>
      <c r="I9" s="22"/>
      <c r="J9" s="23" t="s">
        <v>555</v>
      </c>
      <c r="N9" s="63" t="s">
        <v>234</v>
      </c>
    </row>
    <row r="10" spans="1:14" x14ac:dyDescent="0.25">
      <c r="A10" s="22" t="s">
        <v>290</v>
      </c>
      <c r="B10" s="22" t="s">
        <v>640</v>
      </c>
      <c r="C10" s="22" t="s">
        <v>293</v>
      </c>
      <c r="D10" s="22" t="s">
        <v>641</v>
      </c>
      <c r="E10" s="22" t="s">
        <v>290</v>
      </c>
      <c r="F10" s="22" t="s">
        <v>160</v>
      </c>
      <c r="G10" s="22" t="s">
        <v>649</v>
      </c>
      <c r="H10" s="22" t="s">
        <v>555</v>
      </c>
      <c r="I10" s="22"/>
      <c r="J10" s="23" t="s">
        <v>555</v>
      </c>
      <c r="N10" s="63" t="s">
        <v>235</v>
      </c>
    </row>
    <row r="11" spans="1:14" x14ac:dyDescent="0.25">
      <c r="A11" s="22" t="s">
        <v>290</v>
      </c>
      <c r="B11" s="22" t="s">
        <v>640</v>
      </c>
      <c r="C11" s="22" t="s">
        <v>293</v>
      </c>
      <c r="D11" s="22" t="s">
        <v>641</v>
      </c>
      <c r="E11" s="22" t="s">
        <v>290</v>
      </c>
      <c r="F11" s="22" t="s">
        <v>160</v>
      </c>
      <c r="G11" s="22" t="s">
        <v>650</v>
      </c>
      <c r="H11" s="22" t="s">
        <v>555</v>
      </c>
      <c r="I11" s="22"/>
      <c r="J11" s="23" t="s">
        <v>555</v>
      </c>
      <c r="N11" s="63" t="s">
        <v>766</v>
      </c>
    </row>
    <row r="12" spans="1:14" x14ac:dyDescent="0.25">
      <c r="A12" s="22" t="s">
        <v>290</v>
      </c>
      <c r="B12" s="22" t="s">
        <v>640</v>
      </c>
      <c r="C12" s="22" t="s">
        <v>293</v>
      </c>
      <c r="D12" s="22" t="s">
        <v>641</v>
      </c>
      <c r="E12" s="22" t="s">
        <v>290</v>
      </c>
      <c r="F12" s="22" t="s">
        <v>160</v>
      </c>
      <c r="G12" s="22" t="s">
        <v>651</v>
      </c>
      <c r="H12" s="22" t="s">
        <v>555</v>
      </c>
      <c r="I12" s="22"/>
      <c r="J12" s="23" t="s">
        <v>555</v>
      </c>
    </row>
    <row r="13" spans="1:14" x14ac:dyDescent="0.25">
      <c r="A13" s="22" t="s">
        <v>290</v>
      </c>
      <c r="B13" s="22" t="s">
        <v>640</v>
      </c>
      <c r="C13" s="22" t="s">
        <v>293</v>
      </c>
      <c r="D13" s="22" t="s">
        <v>641</v>
      </c>
      <c r="E13" s="22" t="s">
        <v>290</v>
      </c>
      <c r="F13" s="22" t="s">
        <v>160</v>
      </c>
      <c r="G13" s="22" t="s">
        <v>652</v>
      </c>
      <c r="H13" s="22" t="s">
        <v>555</v>
      </c>
      <c r="I13" s="22"/>
      <c r="J13" s="23" t="s">
        <v>555</v>
      </c>
    </row>
    <row r="14" spans="1:14" x14ac:dyDescent="0.25">
      <c r="A14" s="22" t="s">
        <v>290</v>
      </c>
      <c r="B14" s="22" t="s">
        <v>640</v>
      </c>
      <c r="C14" s="22" t="s">
        <v>293</v>
      </c>
      <c r="D14" s="22" t="s">
        <v>641</v>
      </c>
      <c r="E14" s="22" t="s">
        <v>290</v>
      </c>
      <c r="F14" s="22" t="s">
        <v>195</v>
      </c>
      <c r="G14" s="22"/>
      <c r="H14" s="22" t="s">
        <v>555</v>
      </c>
      <c r="I14" s="22"/>
      <c r="J14" s="23" t="s">
        <v>555</v>
      </c>
    </row>
    <row r="15" spans="1:14" x14ac:dyDescent="0.25">
      <c r="A15" s="22" t="s">
        <v>290</v>
      </c>
      <c r="B15" s="22" t="s">
        <v>640</v>
      </c>
      <c r="C15" s="22" t="s">
        <v>293</v>
      </c>
      <c r="D15" s="22" t="s">
        <v>641</v>
      </c>
      <c r="E15" s="22" t="s">
        <v>290</v>
      </c>
      <c r="F15" s="22" t="s">
        <v>157</v>
      </c>
      <c r="G15" s="22"/>
      <c r="H15" s="22" t="s">
        <v>555</v>
      </c>
      <c r="I15" s="22"/>
      <c r="J15" s="23" t="s">
        <v>555</v>
      </c>
    </row>
    <row r="16" spans="1:14" x14ac:dyDescent="0.25">
      <c r="A16" s="22" t="s">
        <v>290</v>
      </c>
      <c r="B16" s="22" t="s">
        <v>640</v>
      </c>
      <c r="C16" s="22" t="s">
        <v>293</v>
      </c>
      <c r="D16" s="22" t="s">
        <v>641</v>
      </c>
      <c r="E16" s="22" t="s">
        <v>290</v>
      </c>
      <c r="F16" s="22" t="s">
        <v>197</v>
      </c>
      <c r="G16" s="22"/>
      <c r="H16" s="22" t="s">
        <v>555</v>
      </c>
      <c r="I16" s="22"/>
      <c r="J16" s="23" t="s">
        <v>555</v>
      </c>
    </row>
    <row r="17" spans="1:10" x14ac:dyDescent="0.25">
      <c r="A17" s="22" t="s">
        <v>290</v>
      </c>
      <c r="B17" s="22" t="s">
        <v>640</v>
      </c>
      <c r="C17" s="22" t="s">
        <v>293</v>
      </c>
      <c r="D17" s="22" t="s">
        <v>641</v>
      </c>
      <c r="E17" s="22" t="s">
        <v>290</v>
      </c>
      <c r="F17" s="22" t="s">
        <v>189</v>
      </c>
      <c r="G17" s="22"/>
      <c r="H17" s="22" t="s">
        <v>555</v>
      </c>
      <c r="I17" s="22"/>
      <c r="J17" s="23" t="s">
        <v>555</v>
      </c>
    </row>
    <row r="18" spans="1:10" x14ac:dyDescent="0.25">
      <c r="A18" s="22" t="s">
        <v>290</v>
      </c>
      <c r="B18" s="22" t="s">
        <v>640</v>
      </c>
      <c r="C18" s="22" t="s">
        <v>293</v>
      </c>
      <c r="D18" s="22" t="s">
        <v>641</v>
      </c>
      <c r="E18" s="22" t="s">
        <v>290</v>
      </c>
      <c r="F18" s="22" t="s">
        <v>187</v>
      </c>
      <c r="G18" s="22"/>
      <c r="H18" s="22" t="s">
        <v>555</v>
      </c>
      <c r="I18" s="22"/>
      <c r="J18" s="23" t="s">
        <v>555</v>
      </c>
    </row>
    <row r="19" spans="1:10" x14ac:dyDescent="0.25">
      <c r="A19" s="22" t="s">
        <v>290</v>
      </c>
      <c r="B19" s="22" t="s">
        <v>640</v>
      </c>
      <c r="C19" s="22" t="s">
        <v>293</v>
      </c>
      <c r="D19" s="22" t="s">
        <v>641</v>
      </c>
      <c r="E19" s="22" t="s">
        <v>290</v>
      </c>
      <c r="F19" s="22" t="s">
        <v>193</v>
      </c>
      <c r="G19" s="22"/>
      <c r="H19" s="22" t="s">
        <v>555</v>
      </c>
      <c r="I19" s="22"/>
      <c r="J19" s="23" t="s">
        <v>555</v>
      </c>
    </row>
    <row r="20" spans="1:10" x14ac:dyDescent="0.25">
      <c r="A20" s="22" t="s">
        <v>290</v>
      </c>
      <c r="B20" s="22" t="s">
        <v>640</v>
      </c>
      <c r="C20" s="22" t="s">
        <v>293</v>
      </c>
      <c r="D20" s="22" t="s">
        <v>641</v>
      </c>
      <c r="E20" s="22" t="s">
        <v>290</v>
      </c>
      <c r="F20" s="22" t="s">
        <v>191</v>
      </c>
      <c r="G20" s="22"/>
      <c r="H20" s="22" t="s">
        <v>555</v>
      </c>
      <c r="I20" s="22"/>
      <c r="J20" s="23" t="s">
        <v>555</v>
      </c>
    </row>
    <row r="21" spans="1:10" x14ac:dyDescent="0.25">
      <c r="A21" s="22" t="s">
        <v>290</v>
      </c>
      <c r="B21" s="22" t="s">
        <v>640</v>
      </c>
      <c r="C21" s="22" t="s">
        <v>293</v>
      </c>
      <c r="D21" s="22" t="s">
        <v>641</v>
      </c>
      <c r="E21" s="22" t="s">
        <v>290</v>
      </c>
      <c r="F21" s="22" t="s">
        <v>653</v>
      </c>
      <c r="G21" s="22"/>
      <c r="H21" s="22" t="s">
        <v>555</v>
      </c>
      <c r="I21" s="22"/>
      <c r="J21" s="23" t="s">
        <v>354</v>
      </c>
    </row>
    <row r="22" spans="1:10" x14ac:dyDescent="0.25">
      <c r="A22" s="22" t="s">
        <v>290</v>
      </c>
      <c r="B22" s="22" t="s">
        <v>640</v>
      </c>
      <c r="C22" s="22" t="s">
        <v>293</v>
      </c>
      <c r="D22" s="22" t="s">
        <v>641</v>
      </c>
      <c r="E22" s="22" t="s">
        <v>290</v>
      </c>
      <c r="F22" s="22" t="s">
        <v>654</v>
      </c>
      <c r="G22" s="22"/>
      <c r="H22" s="22" t="s">
        <v>555</v>
      </c>
      <c r="I22" s="22"/>
      <c r="J22" s="23" t="s">
        <v>354</v>
      </c>
    </row>
    <row r="23" spans="1:10" x14ac:dyDescent="0.25">
      <c r="A23" s="22" t="s">
        <v>290</v>
      </c>
      <c r="B23" s="22" t="s">
        <v>640</v>
      </c>
      <c r="C23" s="22" t="s">
        <v>293</v>
      </c>
      <c r="D23" s="22" t="s">
        <v>641</v>
      </c>
      <c r="E23" s="22" t="s">
        <v>290</v>
      </c>
      <c r="F23" s="22" t="s">
        <v>184</v>
      </c>
      <c r="G23" s="22"/>
      <c r="H23" s="22" t="s">
        <v>555</v>
      </c>
      <c r="I23" s="22"/>
      <c r="J23" s="23" t="s">
        <v>354</v>
      </c>
    </row>
    <row r="24" spans="1:10" x14ac:dyDescent="0.25">
      <c r="A24" s="22" t="s">
        <v>290</v>
      </c>
      <c r="B24" s="22" t="s">
        <v>640</v>
      </c>
      <c r="C24" s="22" t="s">
        <v>293</v>
      </c>
      <c r="D24" s="22" t="s">
        <v>641</v>
      </c>
      <c r="E24" s="22" t="s">
        <v>290</v>
      </c>
      <c r="F24" s="22" t="s">
        <v>72</v>
      </c>
      <c r="G24" s="22"/>
      <c r="H24" s="22" t="s">
        <v>555</v>
      </c>
      <c r="I24" s="22"/>
      <c r="J24" s="23" t="s">
        <v>354</v>
      </c>
    </row>
    <row r="25" spans="1:10" x14ac:dyDescent="0.25">
      <c r="A25" s="22" t="s">
        <v>290</v>
      </c>
      <c r="B25" s="22" t="s">
        <v>640</v>
      </c>
      <c r="C25" s="22" t="s">
        <v>293</v>
      </c>
      <c r="D25" s="22" t="s">
        <v>641</v>
      </c>
      <c r="E25" s="22" t="s">
        <v>290</v>
      </c>
      <c r="F25" s="22" t="s">
        <v>655</v>
      </c>
      <c r="G25" s="22"/>
      <c r="H25" s="22" t="s">
        <v>555</v>
      </c>
      <c r="I25" s="22"/>
      <c r="J25" s="23" t="s">
        <v>354</v>
      </c>
    </row>
    <row r="26" spans="1:10" x14ac:dyDescent="0.25">
      <c r="A26" s="22" t="s">
        <v>290</v>
      </c>
      <c r="B26" s="22" t="s">
        <v>640</v>
      </c>
      <c r="C26" s="22" t="s">
        <v>293</v>
      </c>
      <c r="D26" s="22" t="s">
        <v>641</v>
      </c>
      <c r="E26" s="22" t="s">
        <v>290</v>
      </c>
      <c r="F26" s="22" t="s">
        <v>231</v>
      </c>
      <c r="G26" s="22"/>
      <c r="H26" s="22" t="s">
        <v>555</v>
      </c>
      <c r="I26" s="22"/>
      <c r="J26" s="23" t="s">
        <v>354</v>
      </c>
    </row>
    <row r="27" spans="1:10" x14ac:dyDescent="0.25">
      <c r="A27" s="22" t="s">
        <v>290</v>
      </c>
      <c r="B27" s="22" t="s">
        <v>640</v>
      </c>
      <c r="C27" s="22" t="s">
        <v>293</v>
      </c>
      <c r="D27" s="22" t="s">
        <v>641</v>
      </c>
      <c r="E27" s="22" t="s">
        <v>290</v>
      </c>
      <c r="F27" s="22" t="s">
        <v>656</v>
      </c>
      <c r="G27" s="22"/>
      <c r="H27" s="22" t="s">
        <v>555</v>
      </c>
      <c r="I27" s="22"/>
      <c r="J27" s="23" t="s">
        <v>354</v>
      </c>
    </row>
    <row r="28" spans="1:10" x14ac:dyDescent="0.25">
      <c r="A28" s="22" t="s">
        <v>290</v>
      </c>
      <c r="B28" s="22" t="s">
        <v>640</v>
      </c>
      <c r="C28" s="22" t="s">
        <v>293</v>
      </c>
      <c r="D28" s="22" t="s">
        <v>641</v>
      </c>
      <c r="E28" s="22" t="s">
        <v>290</v>
      </c>
      <c r="F28" s="22" t="s">
        <v>657</v>
      </c>
      <c r="G28" s="22"/>
      <c r="H28" s="22" t="s">
        <v>555</v>
      </c>
      <c r="I28" s="22"/>
      <c r="J28" s="23" t="s">
        <v>354</v>
      </c>
    </row>
    <row r="29" spans="1:10" x14ac:dyDescent="0.25">
      <c r="A29" s="22" t="s">
        <v>290</v>
      </c>
      <c r="B29" s="22" t="s">
        <v>640</v>
      </c>
      <c r="C29" s="22" t="s">
        <v>293</v>
      </c>
      <c r="D29" s="22" t="s">
        <v>641</v>
      </c>
      <c r="E29" s="22" t="s">
        <v>290</v>
      </c>
      <c r="F29" s="22" t="s">
        <v>658</v>
      </c>
      <c r="G29" s="22"/>
      <c r="H29" s="22" t="s">
        <v>555</v>
      </c>
      <c r="I29" s="22"/>
      <c r="J29" s="23" t="s">
        <v>354</v>
      </c>
    </row>
    <row r="30" spans="1:10" x14ac:dyDescent="0.25">
      <c r="A30" s="22" t="s">
        <v>290</v>
      </c>
      <c r="B30" s="22" t="s">
        <v>640</v>
      </c>
      <c r="C30" s="22" t="s">
        <v>293</v>
      </c>
      <c r="D30" s="22" t="s">
        <v>641</v>
      </c>
      <c r="E30" s="22" t="s">
        <v>290</v>
      </c>
      <c r="F30" s="22" t="s">
        <v>659</v>
      </c>
      <c r="G30" s="22"/>
      <c r="H30" s="22" t="s">
        <v>555</v>
      </c>
      <c r="I30" s="22"/>
      <c r="J30" s="23" t="s">
        <v>354</v>
      </c>
    </row>
    <row r="31" spans="1:10" x14ac:dyDescent="0.25">
      <c r="A31" s="22" t="s">
        <v>290</v>
      </c>
      <c r="B31" s="22" t="s">
        <v>640</v>
      </c>
      <c r="C31" s="22" t="s">
        <v>293</v>
      </c>
      <c r="D31" s="22" t="s">
        <v>641</v>
      </c>
      <c r="E31" s="22" t="s">
        <v>290</v>
      </c>
      <c r="F31" s="22" t="s">
        <v>660</v>
      </c>
      <c r="G31" s="22"/>
      <c r="H31" s="22" t="s">
        <v>555</v>
      </c>
      <c r="I31" s="22"/>
      <c r="J31" s="23" t="s">
        <v>354</v>
      </c>
    </row>
    <row r="32" spans="1:10" x14ac:dyDescent="0.25">
      <c r="A32" s="22" t="s">
        <v>290</v>
      </c>
      <c r="B32" s="22" t="s">
        <v>640</v>
      </c>
      <c r="C32" s="22" t="s">
        <v>293</v>
      </c>
      <c r="D32" s="22" t="s">
        <v>641</v>
      </c>
      <c r="E32" s="22" t="s">
        <v>290</v>
      </c>
      <c r="F32" s="22" t="s">
        <v>661</v>
      </c>
      <c r="G32" s="22"/>
      <c r="H32" s="22" t="s">
        <v>555</v>
      </c>
      <c r="I32" s="22"/>
      <c r="J32" s="23" t="s">
        <v>354</v>
      </c>
    </row>
    <row r="33" spans="1:10" x14ac:dyDescent="0.25">
      <c r="A33" s="22" t="s">
        <v>290</v>
      </c>
      <c r="B33" s="22" t="s">
        <v>640</v>
      </c>
      <c r="C33" s="22" t="s">
        <v>293</v>
      </c>
      <c r="D33" s="22" t="s">
        <v>641</v>
      </c>
      <c r="E33" s="22" t="s">
        <v>290</v>
      </c>
      <c r="F33" s="22" t="s">
        <v>662</v>
      </c>
      <c r="G33" s="22"/>
      <c r="H33" s="22" t="s">
        <v>555</v>
      </c>
      <c r="I33" s="22"/>
      <c r="J33" s="23" t="s">
        <v>354</v>
      </c>
    </row>
    <row r="34" spans="1:10" x14ac:dyDescent="0.25">
      <c r="A34" s="22" t="s">
        <v>290</v>
      </c>
      <c r="B34" s="22" t="s">
        <v>640</v>
      </c>
      <c r="C34" s="22" t="s">
        <v>293</v>
      </c>
      <c r="D34" s="22" t="s">
        <v>641</v>
      </c>
      <c r="E34" s="22" t="s">
        <v>290</v>
      </c>
      <c r="F34" s="22" t="s">
        <v>223</v>
      </c>
      <c r="G34" s="22"/>
      <c r="H34" s="22" t="s">
        <v>555</v>
      </c>
      <c r="I34" s="22"/>
      <c r="J34" s="23" t="s">
        <v>354</v>
      </c>
    </row>
    <row r="35" spans="1:10" x14ac:dyDescent="0.25">
      <c r="A35" s="22" t="s">
        <v>290</v>
      </c>
      <c r="B35" s="22" t="s">
        <v>640</v>
      </c>
      <c r="C35" s="22" t="s">
        <v>293</v>
      </c>
      <c r="D35" s="22" t="s">
        <v>641</v>
      </c>
      <c r="E35" s="22" t="s">
        <v>290</v>
      </c>
      <c r="F35" s="22" t="s">
        <v>663</v>
      </c>
      <c r="G35" s="22"/>
      <c r="H35" s="22" t="s">
        <v>555</v>
      </c>
      <c r="I35" s="22"/>
      <c r="J35" s="23" t="s">
        <v>354</v>
      </c>
    </row>
    <row r="36" spans="1:10" x14ac:dyDescent="0.25">
      <c r="A36" s="22" t="s">
        <v>290</v>
      </c>
      <c r="B36" s="22" t="s">
        <v>640</v>
      </c>
      <c r="C36" s="22" t="s">
        <v>293</v>
      </c>
      <c r="D36" s="22" t="s">
        <v>641</v>
      </c>
      <c r="E36" s="22" t="s">
        <v>290</v>
      </c>
      <c r="F36" s="22" t="s">
        <v>225</v>
      </c>
      <c r="G36" s="22"/>
      <c r="H36" s="22" t="s">
        <v>555</v>
      </c>
      <c r="I36" s="22"/>
      <c r="J36" s="23" t="s">
        <v>354</v>
      </c>
    </row>
    <row r="37" spans="1:10" x14ac:dyDescent="0.25">
      <c r="A37" s="22" t="s">
        <v>290</v>
      </c>
      <c r="B37" s="22" t="s">
        <v>640</v>
      </c>
      <c r="C37" s="22" t="s">
        <v>293</v>
      </c>
      <c r="D37" s="22" t="s">
        <v>641</v>
      </c>
      <c r="E37" s="22" t="s">
        <v>290</v>
      </c>
      <c r="F37" s="22" t="s">
        <v>664</v>
      </c>
      <c r="G37" s="22"/>
      <c r="H37" s="22" t="s">
        <v>555</v>
      </c>
      <c r="I37" s="22"/>
      <c r="J37" s="23" t="s">
        <v>354</v>
      </c>
    </row>
    <row r="38" spans="1:10" x14ac:dyDescent="0.25">
      <c r="A38" s="22" t="s">
        <v>290</v>
      </c>
      <c r="B38" s="22" t="s">
        <v>640</v>
      </c>
      <c r="C38" s="22" t="s">
        <v>293</v>
      </c>
      <c r="D38" s="22" t="s">
        <v>641</v>
      </c>
      <c r="E38" s="22" t="s">
        <v>290</v>
      </c>
      <c r="F38" s="22" t="s">
        <v>167</v>
      </c>
      <c r="G38" s="22"/>
      <c r="H38" s="22" t="s">
        <v>555</v>
      </c>
      <c r="I38" s="22"/>
      <c r="J38" s="23" t="s">
        <v>354</v>
      </c>
    </row>
    <row r="39" spans="1:10" x14ac:dyDescent="0.25">
      <c r="A39" s="22" t="s">
        <v>290</v>
      </c>
      <c r="B39" s="22" t="s">
        <v>640</v>
      </c>
      <c r="C39" s="22" t="s">
        <v>293</v>
      </c>
      <c r="D39" s="22" t="s">
        <v>641</v>
      </c>
      <c r="E39" s="22" t="s">
        <v>290</v>
      </c>
      <c r="F39" s="22" t="s">
        <v>665</v>
      </c>
      <c r="G39" s="22"/>
      <c r="H39" s="22" t="s">
        <v>555</v>
      </c>
      <c r="I39" s="22"/>
      <c r="J39" s="23" t="s">
        <v>354</v>
      </c>
    </row>
    <row r="40" spans="1:10" x14ac:dyDescent="0.25">
      <c r="A40" s="22" t="s">
        <v>290</v>
      </c>
      <c r="B40" s="22" t="s">
        <v>640</v>
      </c>
      <c r="C40" s="22" t="s">
        <v>293</v>
      </c>
      <c r="D40" s="22" t="s">
        <v>641</v>
      </c>
      <c r="E40" s="22" t="s">
        <v>290</v>
      </c>
      <c r="F40" s="22" t="s">
        <v>666</v>
      </c>
      <c r="G40" s="22"/>
      <c r="H40" s="22" t="s">
        <v>555</v>
      </c>
      <c r="I40" s="22"/>
      <c r="J40" s="23" t="s">
        <v>354</v>
      </c>
    </row>
    <row r="41" spans="1:10" x14ac:dyDescent="0.25">
      <c r="A41" s="22" t="s">
        <v>290</v>
      </c>
      <c r="B41" s="22" t="s">
        <v>640</v>
      </c>
      <c r="C41" s="22" t="s">
        <v>293</v>
      </c>
      <c r="D41" s="22" t="s">
        <v>641</v>
      </c>
      <c r="E41" s="22" t="s">
        <v>290</v>
      </c>
      <c r="F41" s="22" t="s">
        <v>667</v>
      </c>
      <c r="G41" s="22"/>
      <c r="H41" s="22" t="s">
        <v>555</v>
      </c>
      <c r="I41" s="22"/>
      <c r="J41" s="23" t="s">
        <v>354</v>
      </c>
    </row>
    <row r="42" spans="1:10" x14ac:dyDescent="0.25">
      <c r="A42" s="22" t="s">
        <v>290</v>
      </c>
      <c r="B42" s="22" t="s">
        <v>640</v>
      </c>
      <c r="C42" s="22" t="s">
        <v>293</v>
      </c>
      <c r="D42" s="22" t="s">
        <v>641</v>
      </c>
      <c r="E42" s="22" t="s">
        <v>290</v>
      </c>
      <c r="F42" s="22" t="s">
        <v>68</v>
      </c>
      <c r="G42" s="22"/>
      <c r="H42" s="22" t="s">
        <v>555</v>
      </c>
      <c r="I42" s="22"/>
      <c r="J42" s="23" t="s">
        <v>354</v>
      </c>
    </row>
    <row r="43" spans="1:10" x14ac:dyDescent="0.25">
      <c r="A43" s="22" t="s">
        <v>290</v>
      </c>
      <c r="B43" s="22" t="s">
        <v>640</v>
      </c>
      <c r="C43" s="22" t="s">
        <v>293</v>
      </c>
      <c r="D43" s="22" t="s">
        <v>641</v>
      </c>
      <c r="E43" s="22" t="s">
        <v>290</v>
      </c>
      <c r="F43" s="22" t="s">
        <v>668</v>
      </c>
      <c r="G43" s="22"/>
      <c r="H43" s="22" t="s">
        <v>555</v>
      </c>
      <c r="I43" s="22"/>
      <c r="J43" s="23" t="s">
        <v>354</v>
      </c>
    </row>
    <row r="44" spans="1:10" x14ac:dyDescent="0.25">
      <c r="A44" s="22" t="s">
        <v>290</v>
      </c>
      <c r="B44" s="22" t="s">
        <v>640</v>
      </c>
      <c r="C44" s="22" t="s">
        <v>293</v>
      </c>
      <c r="D44" s="22" t="s">
        <v>641</v>
      </c>
      <c r="E44" s="22" t="s">
        <v>290</v>
      </c>
      <c r="F44" s="22" t="s">
        <v>669</v>
      </c>
      <c r="G44" s="22"/>
      <c r="H44" s="22" t="s">
        <v>555</v>
      </c>
      <c r="I44" s="22"/>
      <c r="J44" s="23" t="s">
        <v>354</v>
      </c>
    </row>
    <row r="45" spans="1:10" x14ac:dyDescent="0.25">
      <c r="A45" s="22" t="s">
        <v>290</v>
      </c>
      <c r="B45" s="22" t="s">
        <v>640</v>
      </c>
      <c r="C45" s="22" t="s">
        <v>293</v>
      </c>
      <c r="D45" s="22" t="s">
        <v>641</v>
      </c>
      <c r="E45" s="22" t="s">
        <v>290</v>
      </c>
      <c r="F45" s="22" t="s">
        <v>227</v>
      </c>
      <c r="G45" s="22"/>
      <c r="H45" s="22" t="s">
        <v>555</v>
      </c>
      <c r="I45" s="22"/>
      <c r="J45" s="23" t="s">
        <v>354</v>
      </c>
    </row>
    <row r="46" spans="1:10" x14ac:dyDescent="0.25">
      <c r="A46" s="22" t="s">
        <v>290</v>
      </c>
      <c r="B46" s="22" t="s">
        <v>640</v>
      </c>
      <c r="C46" s="22" t="s">
        <v>293</v>
      </c>
      <c r="D46" s="22" t="s">
        <v>641</v>
      </c>
      <c r="E46" s="22" t="s">
        <v>290</v>
      </c>
      <c r="F46" s="22" t="s">
        <v>670</v>
      </c>
      <c r="G46" s="22"/>
      <c r="H46" s="22" t="s">
        <v>555</v>
      </c>
      <c r="I46" s="22"/>
      <c r="J46" s="23" t="s">
        <v>354</v>
      </c>
    </row>
    <row r="47" spans="1:10" x14ac:dyDescent="0.25">
      <c r="A47" s="22" t="s">
        <v>290</v>
      </c>
      <c r="B47" s="22" t="s">
        <v>640</v>
      </c>
      <c r="C47" s="22" t="s">
        <v>293</v>
      </c>
      <c r="D47" s="22" t="s">
        <v>641</v>
      </c>
      <c r="E47" s="22" t="s">
        <v>290</v>
      </c>
      <c r="F47" s="22" t="s">
        <v>81</v>
      </c>
      <c r="G47" s="22"/>
      <c r="H47" s="22" t="s">
        <v>555</v>
      </c>
      <c r="I47" s="22"/>
      <c r="J47" s="23" t="s">
        <v>354</v>
      </c>
    </row>
    <row r="48" spans="1:10" x14ac:dyDescent="0.25">
      <c r="A48" s="22" t="s">
        <v>290</v>
      </c>
      <c r="B48" s="22" t="s">
        <v>640</v>
      </c>
      <c r="C48" s="22" t="s">
        <v>293</v>
      </c>
      <c r="D48" s="22" t="s">
        <v>641</v>
      </c>
      <c r="E48" s="22" t="s">
        <v>290</v>
      </c>
      <c r="F48" s="22" t="s">
        <v>671</v>
      </c>
      <c r="G48" s="22"/>
      <c r="H48" s="22" t="s">
        <v>555</v>
      </c>
      <c r="I48" s="22"/>
      <c r="J48" s="23" t="s">
        <v>354</v>
      </c>
    </row>
    <row r="49" spans="1:10" x14ac:dyDescent="0.25">
      <c r="A49" s="22" t="s">
        <v>290</v>
      </c>
      <c r="B49" s="22" t="s">
        <v>640</v>
      </c>
      <c r="C49" s="22" t="s">
        <v>293</v>
      </c>
      <c r="D49" s="22" t="s">
        <v>641</v>
      </c>
      <c r="E49" s="22" t="s">
        <v>290</v>
      </c>
      <c r="F49" s="22" t="s">
        <v>173</v>
      </c>
      <c r="G49" s="22"/>
      <c r="H49" s="22" t="s">
        <v>555</v>
      </c>
      <c r="I49" s="22"/>
      <c r="J49" s="23" t="s">
        <v>354</v>
      </c>
    </row>
    <row r="50" spans="1:10" x14ac:dyDescent="0.25">
      <c r="A50" s="22" t="s">
        <v>290</v>
      </c>
      <c r="B50" s="22" t="s">
        <v>640</v>
      </c>
      <c r="C50" s="22" t="s">
        <v>293</v>
      </c>
      <c r="D50" s="22" t="s">
        <v>641</v>
      </c>
      <c r="E50" s="22" t="s">
        <v>290</v>
      </c>
      <c r="F50" s="22" t="s">
        <v>672</v>
      </c>
      <c r="G50" s="22"/>
      <c r="H50" s="22" t="s">
        <v>555</v>
      </c>
      <c r="I50" s="22"/>
      <c r="J50" s="23" t="s">
        <v>354</v>
      </c>
    </row>
    <row r="51" spans="1:10" x14ac:dyDescent="0.25">
      <c r="A51" s="22" t="s">
        <v>290</v>
      </c>
      <c r="B51" s="22" t="s">
        <v>640</v>
      </c>
      <c r="C51" s="22" t="s">
        <v>293</v>
      </c>
      <c r="D51" s="22" t="s">
        <v>641</v>
      </c>
      <c r="E51" s="22" t="s">
        <v>290</v>
      </c>
      <c r="F51" s="22" t="s">
        <v>137</v>
      </c>
      <c r="G51" s="22"/>
      <c r="H51" s="22" t="s">
        <v>555</v>
      </c>
      <c r="I51" s="22"/>
      <c r="J51" s="23" t="s">
        <v>354</v>
      </c>
    </row>
    <row r="52" spans="1:10" x14ac:dyDescent="0.25">
      <c r="A52" s="22" t="s">
        <v>290</v>
      </c>
      <c r="B52" s="22" t="s">
        <v>640</v>
      </c>
      <c r="C52" s="22" t="s">
        <v>293</v>
      </c>
      <c r="D52" s="22" t="s">
        <v>641</v>
      </c>
      <c r="E52" s="22" t="s">
        <v>290</v>
      </c>
      <c r="F52" s="22" t="s">
        <v>181</v>
      </c>
      <c r="G52" s="22"/>
      <c r="H52" s="22" t="s">
        <v>555</v>
      </c>
      <c r="I52" s="22"/>
      <c r="J52" s="23" t="s">
        <v>354</v>
      </c>
    </row>
    <row r="53" spans="1:10" x14ac:dyDescent="0.25">
      <c r="A53" s="22" t="s">
        <v>290</v>
      </c>
      <c r="B53" s="22" t="s">
        <v>640</v>
      </c>
      <c r="C53" s="22" t="s">
        <v>293</v>
      </c>
      <c r="D53" s="22" t="s">
        <v>641</v>
      </c>
      <c r="E53" s="22" t="s">
        <v>290</v>
      </c>
      <c r="F53" s="22" t="s">
        <v>673</v>
      </c>
      <c r="G53" s="22"/>
      <c r="H53" s="22" t="s">
        <v>555</v>
      </c>
      <c r="I53" s="22"/>
      <c r="J53" s="23" t="s">
        <v>354</v>
      </c>
    </row>
    <row r="54" spans="1:10" x14ac:dyDescent="0.25">
      <c r="A54" s="22" t="s">
        <v>290</v>
      </c>
      <c r="B54" s="22" t="s">
        <v>640</v>
      </c>
      <c r="C54" s="22" t="s">
        <v>293</v>
      </c>
      <c r="D54" s="22" t="s">
        <v>641</v>
      </c>
      <c r="E54" s="22" t="s">
        <v>290</v>
      </c>
      <c r="F54" s="22" t="s">
        <v>674</v>
      </c>
      <c r="G54" s="22"/>
      <c r="H54" s="22" t="s">
        <v>555</v>
      </c>
      <c r="I54" s="22"/>
      <c r="J54" s="23" t="s">
        <v>354</v>
      </c>
    </row>
    <row r="55" spans="1:10" x14ac:dyDescent="0.25">
      <c r="A55" s="22" t="s">
        <v>290</v>
      </c>
      <c r="B55" s="22" t="s">
        <v>640</v>
      </c>
      <c r="C55" s="22" t="s">
        <v>293</v>
      </c>
      <c r="D55" s="22" t="s">
        <v>641</v>
      </c>
      <c r="E55" s="22" t="s">
        <v>290</v>
      </c>
      <c r="F55" s="22" t="s">
        <v>675</v>
      </c>
      <c r="G55" s="22"/>
      <c r="H55" s="22" t="s">
        <v>627</v>
      </c>
      <c r="I55" s="22"/>
      <c r="J55" s="23" t="s">
        <v>354</v>
      </c>
    </row>
    <row r="56" spans="1:10" x14ac:dyDescent="0.25">
      <c r="A56" s="22" t="s">
        <v>290</v>
      </c>
      <c r="B56" s="22" t="s">
        <v>640</v>
      </c>
      <c r="C56" s="22" t="s">
        <v>293</v>
      </c>
      <c r="D56" s="22" t="s">
        <v>641</v>
      </c>
      <c r="E56" s="22" t="s">
        <v>290</v>
      </c>
      <c r="F56" s="22" t="s">
        <v>22</v>
      </c>
      <c r="G56" s="22"/>
      <c r="H56" s="22" t="s">
        <v>555</v>
      </c>
      <c r="I56" s="22"/>
      <c r="J56" s="23" t="s">
        <v>304</v>
      </c>
    </row>
    <row r="57" spans="1:10" x14ac:dyDescent="0.25">
      <c r="A57" s="22" t="s">
        <v>290</v>
      </c>
      <c r="B57" s="22" t="s">
        <v>640</v>
      </c>
      <c r="C57" s="22" t="s">
        <v>293</v>
      </c>
      <c r="D57" s="22" t="s">
        <v>641</v>
      </c>
      <c r="E57" s="22" t="s">
        <v>290</v>
      </c>
      <c r="F57" s="22" t="s">
        <v>33</v>
      </c>
      <c r="G57" s="22"/>
      <c r="H57" s="22" t="s">
        <v>627</v>
      </c>
      <c r="I57" s="22"/>
      <c r="J57" s="23" t="s">
        <v>304</v>
      </c>
    </row>
    <row r="58" spans="1:10" x14ac:dyDescent="0.25">
      <c r="A58" s="22" t="s">
        <v>290</v>
      </c>
      <c r="B58" s="22" t="s">
        <v>640</v>
      </c>
      <c r="C58" s="22" t="s">
        <v>293</v>
      </c>
      <c r="D58" s="22" t="s">
        <v>641</v>
      </c>
      <c r="E58" s="22" t="s">
        <v>290</v>
      </c>
      <c r="F58" s="22" t="s">
        <v>676</v>
      </c>
      <c r="G58" s="22"/>
      <c r="H58" s="22" t="s">
        <v>555</v>
      </c>
      <c r="I58" s="22"/>
      <c r="J58" s="23" t="s">
        <v>304</v>
      </c>
    </row>
    <row r="59" spans="1:10" x14ac:dyDescent="0.25">
      <c r="A59" s="22" t="s">
        <v>290</v>
      </c>
      <c r="B59" s="22" t="s">
        <v>640</v>
      </c>
      <c r="C59" s="22" t="s">
        <v>293</v>
      </c>
      <c r="D59" s="22" t="s">
        <v>641</v>
      </c>
      <c r="E59" s="22" t="s">
        <v>290</v>
      </c>
      <c r="F59" s="22" t="s">
        <v>677</v>
      </c>
      <c r="G59" s="22"/>
      <c r="H59" s="22" t="s">
        <v>555</v>
      </c>
      <c r="I59" s="22"/>
      <c r="J59" s="23" t="s">
        <v>304</v>
      </c>
    </row>
    <row r="60" spans="1:10" x14ac:dyDescent="0.25">
      <c r="A60" s="22" t="s">
        <v>290</v>
      </c>
      <c r="B60" s="22" t="s">
        <v>640</v>
      </c>
      <c r="C60" s="22" t="s">
        <v>293</v>
      </c>
      <c r="D60" s="22" t="s">
        <v>641</v>
      </c>
      <c r="E60" s="22" t="s">
        <v>290</v>
      </c>
      <c r="F60" s="22" t="s">
        <v>678</v>
      </c>
      <c r="G60" s="22"/>
      <c r="H60" s="22" t="s">
        <v>555</v>
      </c>
      <c r="I60" s="22"/>
      <c r="J60" s="23" t="s">
        <v>304</v>
      </c>
    </row>
    <row r="61" spans="1:10" x14ac:dyDescent="0.25">
      <c r="A61" s="22" t="s">
        <v>290</v>
      </c>
      <c r="B61" s="22" t="s">
        <v>640</v>
      </c>
      <c r="C61" s="22" t="s">
        <v>293</v>
      </c>
      <c r="D61" s="22" t="s">
        <v>641</v>
      </c>
      <c r="E61" s="22" t="s">
        <v>290</v>
      </c>
      <c r="F61" s="22" t="s">
        <v>205</v>
      </c>
      <c r="G61" s="22"/>
      <c r="H61" s="22" t="s">
        <v>555</v>
      </c>
      <c r="I61" s="22"/>
      <c r="J61" s="23" t="s">
        <v>304</v>
      </c>
    </row>
    <row r="62" spans="1:10" x14ac:dyDescent="0.25">
      <c r="A62" s="22" t="s">
        <v>290</v>
      </c>
      <c r="B62" s="22" t="s">
        <v>640</v>
      </c>
      <c r="C62" s="22" t="s">
        <v>293</v>
      </c>
      <c r="D62" s="22" t="s">
        <v>641</v>
      </c>
      <c r="E62" s="22" t="s">
        <v>290</v>
      </c>
      <c r="F62" s="22" t="s">
        <v>199</v>
      </c>
      <c r="G62" s="22"/>
      <c r="H62" s="22" t="s">
        <v>555</v>
      </c>
      <c r="I62" s="22"/>
      <c r="J62" s="23" t="s">
        <v>304</v>
      </c>
    </row>
    <row r="63" spans="1:10" x14ac:dyDescent="0.25">
      <c r="A63" s="22" t="s">
        <v>290</v>
      </c>
      <c r="B63" s="22" t="s">
        <v>640</v>
      </c>
      <c r="C63" s="22" t="s">
        <v>293</v>
      </c>
      <c r="D63" s="22" t="s">
        <v>641</v>
      </c>
      <c r="E63" s="22" t="s">
        <v>290</v>
      </c>
      <c r="F63" s="22" t="s">
        <v>201</v>
      </c>
      <c r="G63" s="22"/>
      <c r="H63" s="22" t="s">
        <v>555</v>
      </c>
      <c r="I63" s="22"/>
      <c r="J63" s="23" t="s">
        <v>304</v>
      </c>
    </row>
    <row r="64" spans="1:10" x14ac:dyDescent="0.25">
      <c r="A64" s="22" t="s">
        <v>290</v>
      </c>
      <c r="B64" s="22" t="s">
        <v>640</v>
      </c>
      <c r="C64" s="22" t="s">
        <v>293</v>
      </c>
      <c r="D64" s="22" t="s">
        <v>641</v>
      </c>
      <c r="E64" s="22" t="s">
        <v>290</v>
      </c>
      <c r="F64" s="22" t="s">
        <v>679</v>
      </c>
      <c r="G64" s="22"/>
      <c r="H64" s="22" t="s">
        <v>555</v>
      </c>
      <c r="I64" s="22"/>
      <c r="J64" s="23" t="s">
        <v>304</v>
      </c>
    </row>
    <row r="65" spans="1:10" x14ac:dyDescent="0.25">
      <c r="A65" s="22" t="s">
        <v>290</v>
      </c>
      <c r="B65" s="22" t="s">
        <v>640</v>
      </c>
      <c r="C65" s="22" t="s">
        <v>293</v>
      </c>
      <c r="D65" s="22" t="s">
        <v>641</v>
      </c>
      <c r="E65" s="22" t="s">
        <v>290</v>
      </c>
      <c r="F65" s="22" t="s">
        <v>46</v>
      </c>
      <c r="G65" s="22"/>
      <c r="H65" s="22" t="s">
        <v>555</v>
      </c>
      <c r="I65" s="22"/>
      <c r="J65" s="23" t="s">
        <v>304</v>
      </c>
    </row>
    <row r="66" spans="1:10" x14ac:dyDescent="0.25">
      <c r="A66" s="22" t="s">
        <v>290</v>
      </c>
      <c r="B66" s="22" t="s">
        <v>640</v>
      </c>
      <c r="C66" s="22" t="s">
        <v>293</v>
      </c>
      <c r="D66" s="22" t="s">
        <v>641</v>
      </c>
      <c r="E66" s="22" t="s">
        <v>290</v>
      </c>
      <c r="F66" s="22" t="s">
        <v>680</v>
      </c>
      <c r="G66" s="22"/>
      <c r="H66" s="22" t="s">
        <v>555</v>
      </c>
      <c r="I66" s="22"/>
      <c r="J66" s="23" t="s">
        <v>304</v>
      </c>
    </row>
    <row r="67" spans="1:10" x14ac:dyDescent="0.25">
      <c r="A67" s="22" t="s">
        <v>290</v>
      </c>
      <c r="B67" s="22" t="s">
        <v>640</v>
      </c>
      <c r="C67" s="22" t="s">
        <v>293</v>
      </c>
      <c r="D67" s="22" t="s">
        <v>641</v>
      </c>
      <c r="E67" s="22" t="s">
        <v>290</v>
      </c>
      <c r="F67" s="22" t="s">
        <v>681</v>
      </c>
      <c r="G67" s="22"/>
      <c r="H67" s="22" t="s">
        <v>555</v>
      </c>
      <c r="I67" s="22"/>
      <c r="J67" s="23" t="s">
        <v>304</v>
      </c>
    </row>
    <row r="68" spans="1:10" x14ac:dyDescent="0.25">
      <c r="A68" s="22" t="s">
        <v>290</v>
      </c>
      <c r="B68" s="22" t="s">
        <v>640</v>
      </c>
      <c r="C68" s="22" t="s">
        <v>293</v>
      </c>
      <c r="D68" s="22" t="s">
        <v>641</v>
      </c>
      <c r="E68" s="22" t="s">
        <v>290</v>
      </c>
      <c r="F68" s="22" t="s">
        <v>682</v>
      </c>
      <c r="G68" s="22"/>
      <c r="H68" s="22" t="s">
        <v>555</v>
      </c>
      <c r="I68" s="22"/>
      <c r="J68" s="23" t="s">
        <v>304</v>
      </c>
    </row>
    <row r="69" spans="1:10" x14ac:dyDescent="0.25">
      <c r="A69" s="22" t="s">
        <v>290</v>
      </c>
      <c r="B69" s="22" t="s">
        <v>640</v>
      </c>
      <c r="C69" s="22" t="s">
        <v>293</v>
      </c>
      <c r="D69" s="22" t="s">
        <v>641</v>
      </c>
      <c r="E69" s="22" t="s">
        <v>290</v>
      </c>
      <c r="F69" s="22" t="s">
        <v>683</v>
      </c>
      <c r="G69" s="22"/>
      <c r="H69" s="22" t="s">
        <v>555</v>
      </c>
      <c r="I69" s="22"/>
      <c r="J69" s="23" t="s">
        <v>304</v>
      </c>
    </row>
    <row r="70" spans="1:10" x14ac:dyDescent="0.25">
      <c r="A70" s="22" t="s">
        <v>290</v>
      </c>
      <c r="B70" s="22" t="s">
        <v>640</v>
      </c>
      <c r="C70" s="22" t="s">
        <v>293</v>
      </c>
      <c r="D70" s="22" t="s">
        <v>641</v>
      </c>
      <c r="E70" s="22" t="s">
        <v>290</v>
      </c>
      <c r="F70" s="22" t="s">
        <v>684</v>
      </c>
      <c r="G70" s="22"/>
      <c r="H70" s="22" t="s">
        <v>555</v>
      </c>
      <c r="I70" s="22"/>
      <c r="J70" s="23" t="s">
        <v>304</v>
      </c>
    </row>
    <row r="71" spans="1:10" x14ac:dyDescent="0.25">
      <c r="A71" s="22" t="s">
        <v>290</v>
      </c>
      <c r="B71" s="22" t="s">
        <v>640</v>
      </c>
      <c r="C71" s="22" t="s">
        <v>293</v>
      </c>
      <c r="D71" s="22" t="s">
        <v>641</v>
      </c>
      <c r="E71" s="22" t="s">
        <v>290</v>
      </c>
      <c r="F71" s="22" t="s">
        <v>685</v>
      </c>
      <c r="G71" s="22"/>
      <c r="H71" s="22" t="s">
        <v>555</v>
      </c>
      <c r="I71" s="22"/>
      <c r="J71" s="23" t="s">
        <v>304</v>
      </c>
    </row>
    <row r="72" spans="1:10" x14ac:dyDescent="0.25">
      <c r="A72" s="22" t="s">
        <v>290</v>
      </c>
      <c r="B72" s="22" t="s">
        <v>640</v>
      </c>
      <c r="C72" s="22" t="s">
        <v>293</v>
      </c>
      <c r="D72" s="22" t="s">
        <v>641</v>
      </c>
      <c r="E72" s="22" t="s">
        <v>290</v>
      </c>
      <c r="F72" s="22" t="s">
        <v>686</v>
      </c>
      <c r="G72" s="22"/>
      <c r="H72" s="22" t="s">
        <v>555</v>
      </c>
      <c r="I72" s="22"/>
      <c r="J72" s="23" t="s">
        <v>304</v>
      </c>
    </row>
    <row r="73" spans="1:10" x14ac:dyDescent="0.25">
      <c r="A73" s="22" t="s">
        <v>290</v>
      </c>
      <c r="B73" s="22" t="s">
        <v>640</v>
      </c>
      <c r="C73" s="22" t="s">
        <v>293</v>
      </c>
      <c r="D73" s="22" t="s">
        <v>641</v>
      </c>
      <c r="E73" s="22" t="s">
        <v>290</v>
      </c>
      <c r="F73" s="22" t="s">
        <v>687</v>
      </c>
      <c r="G73" s="22"/>
      <c r="H73" s="22" t="s">
        <v>555</v>
      </c>
      <c r="I73" s="22"/>
      <c r="J73" s="23" t="s">
        <v>304</v>
      </c>
    </row>
    <row r="74" spans="1:10" x14ac:dyDescent="0.25">
      <c r="A74" s="22" t="s">
        <v>290</v>
      </c>
      <c r="B74" s="22" t="s">
        <v>640</v>
      </c>
      <c r="C74" s="22" t="s">
        <v>293</v>
      </c>
      <c r="D74" s="22" t="s">
        <v>641</v>
      </c>
      <c r="E74" s="22" t="s">
        <v>290</v>
      </c>
      <c r="F74" s="22" t="s">
        <v>101</v>
      </c>
      <c r="G74" s="22"/>
      <c r="H74" s="22" t="s">
        <v>555</v>
      </c>
      <c r="I74" s="22"/>
      <c r="J74" s="23" t="s">
        <v>304</v>
      </c>
    </row>
    <row r="75" spans="1:10" x14ac:dyDescent="0.25">
      <c r="A75" s="22" t="s">
        <v>290</v>
      </c>
      <c r="B75" s="22" t="s">
        <v>640</v>
      </c>
      <c r="C75" s="22" t="s">
        <v>293</v>
      </c>
      <c r="D75" s="22" t="s">
        <v>641</v>
      </c>
      <c r="E75" s="22" t="s">
        <v>290</v>
      </c>
      <c r="F75" s="22" t="s">
        <v>203</v>
      </c>
      <c r="G75" s="22"/>
      <c r="H75" s="22" t="s">
        <v>555</v>
      </c>
      <c r="I75" s="22"/>
      <c r="J75" s="23" t="s">
        <v>304</v>
      </c>
    </row>
    <row r="76" spans="1:10" x14ac:dyDescent="0.25">
      <c r="A76" s="22" t="s">
        <v>290</v>
      </c>
      <c r="B76" s="22" t="s">
        <v>640</v>
      </c>
      <c r="C76" s="22" t="s">
        <v>293</v>
      </c>
      <c r="D76" s="22" t="s">
        <v>641</v>
      </c>
      <c r="E76" s="22" t="s">
        <v>290</v>
      </c>
      <c r="F76" s="22" t="s">
        <v>115</v>
      </c>
      <c r="G76" s="22"/>
      <c r="H76" s="22" t="s">
        <v>555</v>
      </c>
      <c r="I76" s="22"/>
      <c r="J76" s="23" t="s">
        <v>304</v>
      </c>
    </row>
    <row r="77" spans="1:10" x14ac:dyDescent="0.25">
      <c r="A77" s="22" t="s">
        <v>290</v>
      </c>
      <c r="B77" s="22" t="s">
        <v>640</v>
      </c>
      <c r="C77" s="22" t="s">
        <v>293</v>
      </c>
      <c r="D77" s="22" t="s">
        <v>641</v>
      </c>
      <c r="E77" s="22" t="s">
        <v>290</v>
      </c>
      <c r="F77" s="22" t="s">
        <v>688</v>
      </c>
      <c r="G77" s="22"/>
      <c r="H77" s="22" t="s">
        <v>555</v>
      </c>
      <c r="I77" s="22"/>
      <c r="J77" s="23" t="s">
        <v>304</v>
      </c>
    </row>
    <row r="78" spans="1:10" x14ac:dyDescent="0.25">
      <c r="A78" s="22" t="s">
        <v>290</v>
      </c>
      <c r="B78" s="22" t="s">
        <v>640</v>
      </c>
      <c r="C78" s="22" t="s">
        <v>293</v>
      </c>
      <c r="D78" s="22" t="s">
        <v>641</v>
      </c>
      <c r="E78" s="22" t="s">
        <v>290</v>
      </c>
      <c r="F78" s="22" t="s">
        <v>689</v>
      </c>
      <c r="G78" s="22"/>
      <c r="H78" s="22" t="s">
        <v>555</v>
      </c>
      <c r="I78" s="22"/>
      <c r="J78" s="23" t="s">
        <v>304</v>
      </c>
    </row>
    <row r="79" spans="1:10" x14ac:dyDescent="0.25">
      <c r="A79" s="22" t="s">
        <v>290</v>
      </c>
      <c r="B79" s="22" t="s">
        <v>640</v>
      </c>
      <c r="C79" s="22" t="s">
        <v>293</v>
      </c>
      <c r="D79" s="22" t="s">
        <v>641</v>
      </c>
      <c r="E79" s="22" t="s">
        <v>290</v>
      </c>
      <c r="F79" s="22" t="s">
        <v>690</v>
      </c>
      <c r="G79" s="22"/>
      <c r="H79" s="22" t="s">
        <v>555</v>
      </c>
      <c r="I79" s="22"/>
      <c r="J79" s="23" t="s">
        <v>304</v>
      </c>
    </row>
    <row r="80" spans="1:10" x14ac:dyDescent="0.25">
      <c r="A80" s="22" t="s">
        <v>290</v>
      </c>
      <c r="B80" s="22" t="s">
        <v>640</v>
      </c>
      <c r="C80" s="22" t="s">
        <v>293</v>
      </c>
      <c r="D80" s="22" t="s">
        <v>641</v>
      </c>
      <c r="E80" s="22" t="s">
        <v>290</v>
      </c>
      <c r="F80" s="22" t="s">
        <v>691</v>
      </c>
      <c r="G80" s="22"/>
      <c r="H80" s="22" t="s">
        <v>555</v>
      </c>
      <c r="I80" s="22"/>
      <c r="J80" s="23" t="s">
        <v>304</v>
      </c>
    </row>
    <row r="81" spans="1:10" x14ac:dyDescent="0.25">
      <c r="A81" s="22" t="s">
        <v>290</v>
      </c>
      <c r="B81" s="22" t="s">
        <v>640</v>
      </c>
      <c r="C81" s="22" t="s">
        <v>293</v>
      </c>
      <c r="D81" s="22" t="s">
        <v>641</v>
      </c>
      <c r="E81" s="22" t="s">
        <v>290</v>
      </c>
      <c r="F81" s="22" t="s">
        <v>692</v>
      </c>
      <c r="G81" s="22"/>
      <c r="H81" s="22" t="s">
        <v>555</v>
      </c>
      <c r="I81" s="22"/>
      <c r="J81" s="23" t="s">
        <v>304</v>
      </c>
    </row>
    <row r="82" spans="1:10" x14ac:dyDescent="0.25">
      <c r="A82" s="22" t="s">
        <v>290</v>
      </c>
      <c r="B82" s="22" t="s">
        <v>640</v>
      </c>
      <c r="C82" s="22" t="s">
        <v>293</v>
      </c>
      <c r="D82" s="22" t="s">
        <v>641</v>
      </c>
      <c r="E82" s="22" t="s">
        <v>290</v>
      </c>
      <c r="F82" s="22" t="s">
        <v>147</v>
      </c>
      <c r="G82" s="22"/>
      <c r="H82" s="22" t="s">
        <v>555</v>
      </c>
      <c r="I82" s="22"/>
      <c r="J82" s="23" t="s">
        <v>304</v>
      </c>
    </row>
    <row r="83" spans="1:10" x14ac:dyDescent="0.25">
      <c r="A83" s="22" t="s">
        <v>290</v>
      </c>
      <c r="B83" s="22" t="s">
        <v>640</v>
      </c>
      <c r="C83" s="22" t="s">
        <v>293</v>
      </c>
      <c r="D83" s="22" t="s">
        <v>641</v>
      </c>
      <c r="E83" s="22" t="s">
        <v>290</v>
      </c>
      <c r="F83" s="22" t="s">
        <v>693</v>
      </c>
      <c r="G83" s="22"/>
      <c r="H83" s="22" t="s">
        <v>627</v>
      </c>
      <c r="I83" s="22"/>
      <c r="J83" s="23" t="s">
        <v>304</v>
      </c>
    </row>
    <row r="84" spans="1:10" x14ac:dyDescent="0.25">
      <c r="A84" s="22" t="s">
        <v>290</v>
      </c>
      <c r="B84" s="22" t="s">
        <v>640</v>
      </c>
      <c r="C84" s="22" t="s">
        <v>293</v>
      </c>
      <c r="D84" s="22" t="s">
        <v>641</v>
      </c>
      <c r="E84" s="22" t="s">
        <v>290</v>
      </c>
      <c r="F84" s="22" t="s">
        <v>80</v>
      </c>
      <c r="G84" s="22"/>
      <c r="H84" s="22" t="s">
        <v>627</v>
      </c>
      <c r="I84" s="22"/>
      <c r="J84" s="23" t="s">
        <v>304</v>
      </c>
    </row>
    <row r="85" spans="1:10" x14ac:dyDescent="0.25">
      <c r="A85" s="22" t="s">
        <v>290</v>
      </c>
      <c r="B85" s="22" t="s">
        <v>640</v>
      </c>
      <c r="C85" s="22" t="s">
        <v>293</v>
      </c>
      <c r="D85" s="22" t="s">
        <v>641</v>
      </c>
      <c r="E85" s="22" t="s">
        <v>290</v>
      </c>
      <c r="F85" s="22" t="s">
        <v>694</v>
      </c>
      <c r="G85" s="22"/>
      <c r="H85" s="22" t="s">
        <v>627</v>
      </c>
      <c r="I85" s="22"/>
      <c r="J85" s="23" t="s">
        <v>304</v>
      </c>
    </row>
    <row r="86" spans="1:10" x14ac:dyDescent="0.25">
      <c r="A86" s="22" t="s">
        <v>290</v>
      </c>
      <c r="B86" s="22" t="s">
        <v>640</v>
      </c>
      <c r="C86" s="22" t="s">
        <v>293</v>
      </c>
      <c r="D86" s="22" t="s">
        <v>641</v>
      </c>
      <c r="E86" s="22" t="s">
        <v>290</v>
      </c>
      <c r="F86" s="22" t="s">
        <v>99</v>
      </c>
      <c r="G86" s="22"/>
      <c r="H86" s="22" t="s">
        <v>627</v>
      </c>
      <c r="I86" s="22"/>
      <c r="J86" s="23" t="s">
        <v>304</v>
      </c>
    </row>
    <row r="87" spans="1:10" x14ac:dyDescent="0.25">
      <c r="A87" s="22" t="s">
        <v>290</v>
      </c>
      <c r="B87" s="22" t="s">
        <v>640</v>
      </c>
      <c r="C87" s="22" t="s">
        <v>293</v>
      </c>
      <c r="D87" s="22" t="s">
        <v>641</v>
      </c>
      <c r="E87" s="22" t="s">
        <v>290</v>
      </c>
      <c r="F87" s="22" t="s">
        <v>695</v>
      </c>
      <c r="G87" s="22"/>
      <c r="H87" s="22" t="s">
        <v>627</v>
      </c>
      <c r="I87" s="22"/>
      <c r="J87" s="23" t="s">
        <v>304</v>
      </c>
    </row>
    <row r="88" spans="1:10" x14ac:dyDescent="0.25">
      <c r="A88" s="22" t="s">
        <v>290</v>
      </c>
      <c r="B88" s="22" t="s">
        <v>640</v>
      </c>
      <c r="C88" s="22" t="s">
        <v>293</v>
      </c>
      <c r="D88" s="22" t="s">
        <v>641</v>
      </c>
      <c r="E88" s="22" t="s">
        <v>290</v>
      </c>
      <c r="F88" s="22" t="s">
        <v>221</v>
      </c>
      <c r="G88" s="22"/>
      <c r="H88" s="22" t="s">
        <v>627</v>
      </c>
      <c r="I88" s="22"/>
      <c r="J88" s="23" t="s">
        <v>304</v>
      </c>
    </row>
    <row r="89" spans="1:10" x14ac:dyDescent="0.25">
      <c r="A89" s="22" t="s">
        <v>290</v>
      </c>
      <c r="B89" s="22" t="s">
        <v>640</v>
      </c>
      <c r="C89" s="22" t="s">
        <v>293</v>
      </c>
      <c r="D89" s="22" t="s">
        <v>641</v>
      </c>
      <c r="E89" s="22" t="s">
        <v>290</v>
      </c>
      <c r="F89" s="22" t="s">
        <v>696</v>
      </c>
      <c r="G89" s="22"/>
      <c r="H89" s="22" t="s">
        <v>627</v>
      </c>
      <c r="I89" s="22"/>
      <c r="J89" s="23" t="s">
        <v>304</v>
      </c>
    </row>
    <row r="90" spans="1:10" x14ac:dyDescent="0.25">
      <c r="A90" s="22" t="s">
        <v>290</v>
      </c>
      <c r="B90" s="22" t="s">
        <v>640</v>
      </c>
      <c r="C90" s="22" t="s">
        <v>293</v>
      </c>
      <c r="D90" s="22" t="s">
        <v>641</v>
      </c>
      <c r="E90" s="22" t="s">
        <v>290</v>
      </c>
      <c r="F90" s="22" t="s">
        <v>697</v>
      </c>
      <c r="G90" s="22"/>
      <c r="H90" s="22" t="s">
        <v>627</v>
      </c>
      <c r="I90" s="22"/>
      <c r="J90" s="23" t="s">
        <v>304</v>
      </c>
    </row>
    <row r="91" spans="1:10" x14ac:dyDescent="0.25">
      <c r="A91" s="22" t="s">
        <v>290</v>
      </c>
      <c r="B91" s="22" t="s">
        <v>640</v>
      </c>
      <c r="C91" s="22" t="s">
        <v>293</v>
      </c>
      <c r="D91" s="22" t="s">
        <v>641</v>
      </c>
      <c r="E91" s="22" t="s">
        <v>290</v>
      </c>
      <c r="F91" s="22" t="s">
        <v>40</v>
      </c>
      <c r="G91" s="22"/>
      <c r="H91" s="22" t="s">
        <v>627</v>
      </c>
      <c r="I91" s="22"/>
      <c r="J91" s="23" t="s">
        <v>314</v>
      </c>
    </row>
    <row r="92" spans="1:10" x14ac:dyDescent="0.25">
      <c r="A92" s="22" t="s">
        <v>290</v>
      </c>
      <c r="B92" s="22" t="s">
        <v>640</v>
      </c>
      <c r="C92" s="22" t="s">
        <v>293</v>
      </c>
      <c r="D92" s="22" t="s">
        <v>641</v>
      </c>
      <c r="E92" s="22" t="s">
        <v>290</v>
      </c>
      <c r="F92" s="22" t="s">
        <v>54</v>
      </c>
      <c r="G92" s="22"/>
      <c r="H92" s="22" t="s">
        <v>627</v>
      </c>
      <c r="I92" s="22"/>
      <c r="J92" s="23" t="s">
        <v>314</v>
      </c>
    </row>
    <row r="93" spans="1:10" x14ac:dyDescent="0.25">
      <c r="A93" s="22" t="s">
        <v>290</v>
      </c>
      <c r="B93" s="22" t="s">
        <v>640</v>
      </c>
      <c r="C93" s="22" t="s">
        <v>293</v>
      </c>
      <c r="D93" s="22" t="s">
        <v>641</v>
      </c>
      <c r="E93" s="22" t="s">
        <v>290</v>
      </c>
      <c r="F93" s="22" t="s">
        <v>175</v>
      </c>
      <c r="G93" s="22"/>
      <c r="H93" s="22" t="s">
        <v>627</v>
      </c>
      <c r="I93" s="22"/>
      <c r="J93" s="23" t="s">
        <v>314</v>
      </c>
    </row>
    <row r="94" spans="1:10" x14ac:dyDescent="0.25">
      <c r="A94" s="22" t="s">
        <v>290</v>
      </c>
      <c r="B94" s="22" t="s">
        <v>640</v>
      </c>
      <c r="C94" s="22" t="s">
        <v>293</v>
      </c>
      <c r="D94" s="22" t="s">
        <v>641</v>
      </c>
      <c r="E94" s="22" t="s">
        <v>290</v>
      </c>
      <c r="F94" s="22" t="s">
        <v>92</v>
      </c>
      <c r="G94" s="22"/>
      <c r="H94" s="22" t="s">
        <v>627</v>
      </c>
      <c r="I94" s="22"/>
      <c r="J94" s="23" t="s">
        <v>314</v>
      </c>
    </row>
    <row r="95" spans="1:10" x14ac:dyDescent="0.25">
      <c r="A95" s="22" t="s">
        <v>290</v>
      </c>
      <c r="B95" s="22" t="s">
        <v>640</v>
      </c>
      <c r="C95" s="22" t="s">
        <v>293</v>
      </c>
      <c r="D95" s="22" t="s">
        <v>641</v>
      </c>
      <c r="E95" s="22" t="s">
        <v>290</v>
      </c>
      <c r="F95" s="22" t="s">
        <v>96</v>
      </c>
      <c r="G95" s="22"/>
      <c r="H95" s="22" t="s">
        <v>627</v>
      </c>
      <c r="I95" s="22"/>
      <c r="J95" s="23" t="s">
        <v>314</v>
      </c>
    </row>
    <row r="96" spans="1:10" x14ac:dyDescent="0.25">
      <c r="A96" s="22" t="s">
        <v>290</v>
      </c>
      <c r="B96" s="22" t="s">
        <v>640</v>
      </c>
      <c r="C96" s="22" t="s">
        <v>293</v>
      </c>
      <c r="D96" s="22" t="s">
        <v>641</v>
      </c>
      <c r="E96" s="22" t="s">
        <v>290</v>
      </c>
      <c r="F96" s="22" t="s">
        <v>179</v>
      </c>
      <c r="G96" s="22"/>
      <c r="H96" s="22" t="s">
        <v>627</v>
      </c>
      <c r="I96" s="22"/>
      <c r="J96" s="23" t="s">
        <v>314</v>
      </c>
    </row>
    <row r="97" spans="1:10" x14ac:dyDescent="0.25">
      <c r="A97" s="22" t="s">
        <v>290</v>
      </c>
      <c r="B97" s="22" t="s">
        <v>640</v>
      </c>
      <c r="C97" s="22" t="s">
        <v>293</v>
      </c>
      <c r="D97" s="22" t="s">
        <v>641</v>
      </c>
      <c r="E97" s="22" t="s">
        <v>290</v>
      </c>
      <c r="F97" s="22" t="s">
        <v>135</v>
      </c>
      <c r="G97" s="22"/>
      <c r="H97" s="22" t="s">
        <v>627</v>
      </c>
      <c r="I97" s="22"/>
      <c r="J97" s="23" t="s">
        <v>314</v>
      </c>
    </row>
    <row r="98" spans="1:10" x14ac:dyDescent="0.25">
      <c r="A98" s="22" t="s">
        <v>290</v>
      </c>
      <c r="B98" s="22" t="s">
        <v>640</v>
      </c>
      <c r="C98" s="22" t="s">
        <v>293</v>
      </c>
      <c r="D98" s="22" t="s">
        <v>641</v>
      </c>
      <c r="E98" s="22" t="s">
        <v>290</v>
      </c>
      <c r="F98" s="22" t="s">
        <v>139</v>
      </c>
      <c r="G98" s="22"/>
      <c r="H98" s="22" t="s">
        <v>627</v>
      </c>
      <c r="I98" s="22"/>
      <c r="J98" s="23" t="s">
        <v>314</v>
      </c>
    </row>
    <row r="99" spans="1:10" x14ac:dyDescent="0.25">
      <c r="A99" s="22" t="s">
        <v>290</v>
      </c>
      <c r="B99" s="22" t="s">
        <v>640</v>
      </c>
      <c r="C99" s="22" t="s">
        <v>293</v>
      </c>
      <c r="D99" s="22" t="s">
        <v>641</v>
      </c>
      <c r="E99" s="22" t="s">
        <v>290</v>
      </c>
      <c r="F99" s="22" t="s">
        <v>698</v>
      </c>
      <c r="G99" s="22"/>
      <c r="H99" s="22" t="s">
        <v>555</v>
      </c>
      <c r="I99" s="22"/>
      <c r="J99" s="23" t="s">
        <v>354</v>
      </c>
    </row>
    <row r="100" spans="1:10" x14ac:dyDescent="0.25">
      <c r="A100" s="22" t="s">
        <v>290</v>
      </c>
      <c r="B100" s="22" t="s">
        <v>640</v>
      </c>
      <c r="C100" s="22" t="s">
        <v>293</v>
      </c>
      <c r="D100" s="22" t="s">
        <v>641</v>
      </c>
      <c r="E100" s="22" t="s">
        <v>290</v>
      </c>
      <c r="F100" s="22" t="s">
        <v>699</v>
      </c>
      <c r="G100" s="22"/>
      <c r="H100" s="22" t="s">
        <v>555</v>
      </c>
      <c r="I100" s="22"/>
      <c r="J100" s="23" t="s">
        <v>354</v>
      </c>
    </row>
    <row r="101" spans="1:10" x14ac:dyDescent="0.25">
      <c r="A101" s="22" t="s">
        <v>290</v>
      </c>
      <c r="B101" s="22" t="s">
        <v>640</v>
      </c>
      <c r="C101" s="22" t="s">
        <v>293</v>
      </c>
      <c r="D101" s="22" t="s">
        <v>641</v>
      </c>
      <c r="E101" s="22" t="s">
        <v>290</v>
      </c>
      <c r="F101" s="22" t="s">
        <v>700</v>
      </c>
      <c r="G101" s="22"/>
      <c r="H101" s="22" t="s">
        <v>555</v>
      </c>
      <c r="I101" s="22"/>
      <c r="J101" s="23" t="s">
        <v>354</v>
      </c>
    </row>
    <row r="102" spans="1:10" x14ac:dyDescent="0.25">
      <c r="A102" s="22" t="s">
        <v>290</v>
      </c>
      <c r="B102" s="22" t="s">
        <v>640</v>
      </c>
      <c r="C102" s="22" t="s">
        <v>293</v>
      </c>
      <c r="D102" s="22" t="s">
        <v>641</v>
      </c>
      <c r="E102" s="22" t="s">
        <v>290</v>
      </c>
      <c r="F102" s="22" t="s">
        <v>43</v>
      </c>
      <c r="G102" s="22"/>
      <c r="H102" s="22" t="s">
        <v>555</v>
      </c>
      <c r="I102" s="22"/>
      <c r="J102" s="23" t="s">
        <v>354</v>
      </c>
    </row>
    <row r="103" spans="1:10" x14ac:dyDescent="0.25">
      <c r="A103" s="22" t="s">
        <v>290</v>
      </c>
      <c r="B103" s="22" t="s">
        <v>640</v>
      </c>
      <c r="C103" s="22" t="s">
        <v>293</v>
      </c>
      <c r="D103" s="22" t="s">
        <v>641</v>
      </c>
      <c r="E103" s="22" t="s">
        <v>290</v>
      </c>
      <c r="F103" s="22" t="s">
        <v>701</v>
      </c>
      <c r="G103" s="22"/>
      <c r="H103" s="22" t="s">
        <v>555</v>
      </c>
      <c r="I103" s="22"/>
      <c r="J103" s="23" t="s">
        <v>354</v>
      </c>
    </row>
    <row r="104" spans="1:10" x14ac:dyDescent="0.25">
      <c r="A104" s="22" t="s">
        <v>290</v>
      </c>
      <c r="B104" s="22" t="s">
        <v>640</v>
      </c>
      <c r="C104" s="22" t="s">
        <v>293</v>
      </c>
      <c r="D104" s="22" t="s">
        <v>641</v>
      </c>
      <c r="E104" s="22" t="s">
        <v>290</v>
      </c>
      <c r="F104" s="22" t="s">
        <v>702</v>
      </c>
      <c r="G104" s="22"/>
      <c r="H104" s="22" t="s">
        <v>555</v>
      </c>
      <c r="I104" s="22"/>
      <c r="J104" s="23" t="s">
        <v>354</v>
      </c>
    </row>
    <row r="105" spans="1:10" x14ac:dyDescent="0.25">
      <c r="A105" s="22" t="s">
        <v>290</v>
      </c>
      <c r="B105" s="22" t="s">
        <v>640</v>
      </c>
      <c r="C105" s="22" t="s">
        <v>293</v>
      </c>
      <c r="D105" s="22" t="s">
        <v>641</v>
      </c>
      <c r="E105" s="22" t="s">
        <v>290</v>
      </c>
      <c r="F105" s="22" t="s">
        <v>703</v>
      </c>
      <c r="G105" s="22"/>
      <c r="H105" s="22" t="s">
        <v>555</v>
      </c>
      <c r="I105" s="22"/>
      <c r="J105" s="23" t="s">
        <v>354</v>
      </c>
    </row>
    <row r="106" spans="1:10" x14ac:dyDescent="0.25">
      <c r="A106" s="22" t="s">
        <v>290</v>
      </c>
      <c r="B106" s="22" t="s">
        <v>640</v>
      </c>
      <c r="C106" s="22" t="s">
        <v>293</v>
      </c>
      <c r="D106" s="22" t="s">
        <v>641</v>
      </c>
      <c r="E106" s="22" t="s">
        <v>290</v>
      </c>
      <c r="F106" s="22" t="s">
        <v>65</v>
      </c>
      <c r="G106" s="22"/>
      <c r="H106" s="22" t="s">
        <v>555</v>
      </c>
      <c r="I106" s="22"/>
      <c r="J106" s="23" t="s">
        <v>354</v>
      </c>
    </row>
    <row r="107" spans="1:10" x14ac:dyDescent="0.25">
      <c r="A107" s="22" t="s">
        <v>290</v>
      </c>
      <c r="B107" s="22" t="s">
        <v>640</v>
      </c>
      <c r="C107" s="22" t="s">
        <v>293</v>
      </c>
      <c r="D107" s="22" t="s">
        <v>641</v>
      </c>
      <c r="E107" s="22" t="s">
        <v>290</v>
      </c>
      <c r="F107" s="22" t="s">
        <v>704</v>
      </c>
      <c r="G107" s="22"/>
      <c r="H107" s="22" t="s">
        <v>555</v>
      </c>
      <c r="I107" s="22"/>
      <c r="J107" s="23" t="s">
        <v>354</v>
      </c>
    </row>
    <row r="108" spans="1:10" x14ac:dyDescent="0.25">
      <c r="A108" s="22" t="s">
        <v>290</v>
      </c>
      <c r="B108" s="22" t="s">
        <v>640</v>
      </c>
      <c r="C108" s="22" t="s">
        <v>293</v>
      </c>
      <c r="D108" s="22" t="s">
        <v>641</v>
      </c>
      <c r="E108" s="22" t="s">
        <v>290</v>
      </c>
      <c r="F108" s="22" t="s">
        <v>705</v>
      </c>
      <c r="G108" s="22"/>
      <c r="H108" s="22" t="s">
        <v>555</v>
      </c>
      <c r="I108" s="22"/>
      <c r="J108" s="23" t="s">
        <v>354</v>
      </c>
    </row>
    <row r="109" spans="1:10" x14ac:dyDescent="0.25">
      <c r="A109" s="22" t="s">
        <v>290</v>
      </c>
      <c r="B109" s="22" t="s">
        <v>640</v>
      </c>
      <c r="C109" s="22" t="s">
        <v>293</v>
      </c>
      <c r="D109" s="22" t="s">
        <v>641</v>
      </c>
      <c r="E109" s="22" t="s">
        <v>290</v>
      </c>
      <c r="F109" s="22" t="s">
        <v>706</v>
      </c>
      <c r="G109" s="22"/>
      <c r="H109" s="22" t="s">
        <v>555</v>
      </c>
      <c r="I109" s="22"/>
      <c r="J109" s="23" t="s">
        <v>354</v>
      </c>
    </row>
    <row r="110" spans="1:10" x14ac:dyDescent="0.25">
      <c r="A110" s="22" t="s">
        <v>290</v>
      </c>
      <c r="B110" s="22" t="s">
        <v>640</v>
      </c>
      <c r="C110" s="22" t="s">
        <v>293</v>
      </c>
      <c r="D110" s="22" t="s">
        <v>641</v>
      </c>
      <c r="E110" s="22" t="s">
        <v>290</v>
      </c>
      <c r="F110" s="22" t="s">
        <v>707</v>
      </c>
      <c r="G110" s="22"/>
      <c r="H110" s="22" t="s">
        <v>555</v>
      </c>
      <c r="I110" s="22"/>
      <c r="J110" s="23" t="s">
        <v>354</v>
      </c>
    </row>
    <row r="111" spans="1:10" x14ac:dyDescent="0.25">
      <c r="A111" s="22" t="s">
        <v>290</v>
      </c>
      <c r="B111" s="22" t="s">
        <v>640</v>
      </c>
      <c r="C111" s="22" t="s">
        <v>293</v>
      </c>
      <c r="D111" s="22" t="s">
        <v>641</v>
      </c>
      <c r="E111" s="22" t="s">
        <v>290</v>
      </c>
      <c r="F111" s="22" t="s">
        <v>708</v>
      </c>
      <c r="G111" s="22"/>
      <c r="H111" s="22" t="s">
        <v>555</v>
      </c>
      <c r="I111" s="22"/>
      <c r="J111" s="23" t="s">
        <v>354</v>
      </c>
    </row>
    <row r="112" spans="1:10" x14ac:dyDescent="0.25">
      <c r="A112" s="22" t="s">
        <v>290</v>
      </c>
      <c r="B112" s="22" t="s">
        <v>640</v>
      </c>
      <c r="C112" s="22" t="s">
        <v>293</v>
      </c>
      <c r="D112" s="22" t="s">
        <v>641</v>
      </c>
      <c r="E112" s="22" t="s">
        <v>290</v>
      </c>
      <c r="F112" s="22" t="s">
        <v>709</v>
      </c>
      <c r="G112" s="22"/>
      <c r="H112" s="22" t="s">
        <v>555</v>
      </c>
      <c r="I112" s="22"/>
      <c r="J112" s="23" t="s">
        <v>354</v>
      </c>
    </row>
    <row r="113" spans="1:10" x14ac:dyDescent="0.25">
      <c r="A113" s="22" t="s">
        <v>290</v>
      </c>
      <c r="B113" s="22" t="s">
        <v>640</v>
      </c>
      <c r="C113" s="22" t="s">
        <v>293</v>
      </c>
      <c r="D113" s="22" t="s">
        <v>641</v>
      </c>
      <c r="E113" s="22" t="s">
        <v>290</v>
      </c>
      <c r="F113" s="22" t="s">
        <v>219</v>
      </c>
      <c r="G113" s="22"/>
      <c r="H113" s="22" t="s">
        <v>555</v>
      </c>
      <c r="I113" s="22"/>
      <c r="J113" s="23" t="s">
        <v>354</v>
      </c>
    </row>
    <row r="114" spans="1:10" x14ac:dyDescent="0.25">
      <c r="A114" s="22" t="s">
        <v>290</v>
      </c>
      <c r="B114" s="22" t="s">
        <v>640</v>
      </c>
      <c r="C114" s="22" t="s">
        <v>293</v>
      </c>
      <c r="D114" s="22" t="s">
        <v>641</v>
      </c>
      <c r="E114" s="22" t="s">
        <v>290</v>
      </c>
      <c r="F114" s="22" t="s">
        <v>710</v>
      </c>
      <c r="G114" s="22"/>
      <c r="H114" s="22" t="s">
        <v>298</v>
      </c>
      <c r="I114" s="22"/>
      <c r="J114" s="23" t="s">
        <v>298</v>
      </c>
    </row>
    <row r="115" spans="1:10" x14ac:dyDescent="0.25">
      <c r="A115" s="22" t="s">
        <v>290</v>
      </c>
      <c r="B115" s="22" t="s">
        <v>640</v>
      </c>
      <c r="C115" s="22" t="s">
        <v>293</v>
      </c>
      <c r="D115" s="22" t="s">
        <v>641</v>
      </c>
      <c r="E115" s="22" t="s">
        <v>290</v>
      </c>
      <c r="F115" s="22" t="s">
        <v>711</v>
      </c>
      <c r="G115" s="22"/>
      <c r="H115" s="22" t="s">
        <v>627</v>
      </c>
      <c r="I115" s="22"/>
      <c r="J115" s="23" t="s">
        <v>304</v>
      </c>
    </row>
    <row r="116" spans="1:10" x14ac:dyDescent="0.25">
      <c r="A116" s="22" t="s">
        <v>290</v>
      </c>
      <c r="B116" s="22" t="s">
        <v>640</v>
      </c>
      <c r="C116" s="22" t="s">
        <v>293</v>
      </c>
      <c r="D116" s="22" t="s">
        <v>641</v>
      </c>
      <c r="E116" s="22" t="s">
        <v>290</v>
      </c>
      <c r="F116" s="22" t="s">
        <v>57</v>
      </c>
      <c r="G116" s="22"/>
      <c r="H116" s="22" t="s">
        <v>627</v>
      </c>
      <c r="I116" s="22"/>
      <c r="J116" s="23" t="s">
        <v>304</v>
      </c>
    </row>
    <row r="117" spans="1:10" x14ac:dyDescent="0.25">
      <c r="A117" s="22" t="s">
        <v>290</v>
      </c>
      <c r="B117" s="22" t="s">
        <v>640</v>
      </c>
      <c r="C117" s="22" t="s">
        <v>293</v>
      </c>
      <c r="D117" s="22" t="s">
        <v>641</v>
      </c>
      <c r="E117" s="22" t="s">
        <v>290</v>
      </c>
      <c r="F117" s="22" t="s">
        <v>712</v>
      </c>
      <c r="G117" s="22"/>
      <c r="H117" s="22" t="s">
        <v>627</v>
      </c>
      <c r="I117" s="22"/>
      <c r="J117" s="23" t="s">
        <v>304</v>
      </c>
    </row>
    <row r="118" spans="1:10" x14ac:dyDescent="0.25">
      <c r="A118" s="22" t="s">
        <v>290</v>
      </c>
      <c r="B118" s="22" t="s">
        <v>640</v>
      </c>
      <c r="C118" s="22" t="s">
        <v>293</v>
      </c>
      <c r="D118" s="22" t="s">
        <v>641</v>
      </c>
      <c r="E118" s="22" t="s">
        <v>290</v>
      </c>
      <c r="F118" s="22" t="s">
        <v>713</v>
      </c>
      <c r="G118" s="22"/>
      <c r="H118" s="22" t="s">
        <v>627</v>
      </c>
      <c r="I118" s="22"/>
      <c r="J118" s="23" t="s">
        <v>304</v>
      </c>
    </row>
    <row r="119" spans="1:10" x14ac:dyDescent="0.25">
      <c r="A119" s="22" t="s">
        <v>290</v>
      </c>
      <c r="B119" s="22" t="s">
        <v>640</v>
      </c>
      <c r="C119" s="22" t="s">
        <v>293</v>
      </c>
      <c r="D119" s="22" t="s">
        <v>641</v>
      </c>
      <c r="E119" s="22" t="s">
        <v>290</v>
      </c>
      <c r="F119" s="22" t="s">
        <v>714</v>
      </c>
      <c r="G119" s="22"/>
      <c r="H119" s="22" t="s">
        <v>627</v>
      </c>
      <c r="I119" s="22"/>
      <c r="J119" s="23" t="s">
        <v>304</v>
      </c>
    </row>
    <row r="120" spans="1:10" x14ac:dyDescent="0.25">
      <c r="A120" s="22" t="s">
        <v>290</v>
      </c>
      <c r="B120" s="22" t="s">
        <v>640</v>
      </c>
      <c r="C120" s="22" t="s">
        <v>293</v>
      </c>
      <c r="D120" s="22" t="s">
        <v>641</v>
      </c>
      <c r="E120" s="22" t="s">
        <v>290</v>
      </c>
      <c r="F120" s="22" t="s">
        <v>715</v>
      </c>
      <c r="G120" s="22"/>
      <c r="H120" s="22" t="s">
        <v>627</v>
      </c>
      <c r="I120" s="22"/>
      <c r="J120" s="23" t="s">
        <v>304</v>
      </c>
    </row>
    <row r="121" spans="1:10" x14ac:dyDescent="0.25">
      <c r="A121" s="22" t="s">
        <v>290</v>
      </c>
      <c r="B121" s="22" t="s">
        <v>640</v>
      </c>
      <c r="C121" s="22" t="s">
        <v>293</v>
      </c>
      <c r="D121" s="22" t="s">
        <v>641</v>
      </c>
      <c r="E121" s="22" t="s">
        <v>290</v>
      </c>
      <c r="F121" s="22" t="s">
        <v>129</v>
      </c>
      <c r="G121" s="22"/>
      <c r="H121" s="22" t="s">
        <v>627</v>
      </c>
      <c r="I121" s="22"/>
      <c r="J121" s="23" t="s">
        <v>304</v>
      </c>
    </row>
    <row r="122" spans="1:10" x14ac:dyDescent="0.25">
      <c r="A122" s="22" t="s">
        <v>290</v>
      </c>
      <c r="B122" s="22" t="s">
        <v>640</v>
      </c>
      <c r="C122" s="22" t="s">
        <v>293</v>
      </c>
      <c r="D122" s="22" t="s">
        <v>641</v>
      </c>
      <c r="E122" s="22" t="s">
        <v>290</v>
      </c>
      <c r="F122" s="22" t="s">
        <v>61</v>
      </c>
      <c r="G122" s="22"/>
      <c r="H122" s="22" t="s">
        <v>555</v>
      </c>
      <c r="I122" s="22"/>
      <c r="J122" s="23" t="s">
        <v>354</v>
      </c>
    </row>
    <row r="123" spans="1:10" x14ac:dyDescent="0.25">
      <c r="A123" s="22" t="s">
        <v>290</v>
      </c>
      <c r="B123" s="22" t="s">
        <v>640</v>
      </c>
      <c r="C123" s="22" t="s">
        <v>293</v>
      </c>
      <c r="D123" s="22" t="s">
        <v>641</v>
      </c>
      <c r="E123" s="22" t="s">
        <v>290</v>
      </c>
      <c r="F123" s="22" t="s">
        <v>716</v>
      </c>
      <c r="G123" s="22"/>
      <c r="H123" s="22" t="s">
        <v>555</v>
      </c>
      <c r="I123" s="22"/>
      <c r="J123" s="23" t="s">
        <v>354</v>
      </c>
    </row>
    <row r="124" spans="1:10" x14ac:dyDescent="0.25">
      <c r="A124" s="22" t="s">
        <v>290</v>
      </c>
      <c r="B124" s="22" t="s">
        <v>640</v>
      </c>
      <c r="C124" s="22" t="s">
        <v>293</v>
      </c>
      <c r="D124" s="22" t="s">
        <v>641</v>
      </c>
      <c r="E124" s="22" t="s">
        <v>290</v>
      </c>
      <c r="F124" s="22" t="s">
        <v>717</v>
      </c>
      <c r="G124" s="22"/>
      <c r="H124" s="22" t="s">
        <v>555</v>
      </c>
      <c r="I124" s="22"/>
      <c r="J124" s="23" t="s">
        <v>354</v>
      </c>
    </row>
    <row r="125" spans="1:10" x14ac:dyDescent="0.25">
      <c r="A125" s="22" t="s">
        <v>290</v>
      </c>
      <c r="B125" s="22" t="s">
        <v>640</v>
      </c>
      <c r="C125" s="22" t="s">
        <v>293</v>
      </c>
      <c r="D125" s="22" t="s">
        <v>641</v>
      </c>
      <c r="E125" s="22" t="s">
        <v>290</v>
      </c>
      <c r="F125" s="22" t="s">
        <v>131</v>
      </c>
      <c r="G125" s="22"/>
      <c r="H125" s="22" t="s">
        <v>555</v>
      </c>
      <c r="I125" s="22"/>
      <c r="J125" s="23" t="s">
        <v>354</v>
      </c>
    </row>
    <row r="126" spans="1:10" x14ac:dyDescent="0.25">
      <c r="A126" s="22" t="s">
        <v>290</v>
      </c>
      <c r="B126" s="22" t="s">
        <v>640</v>
      </c>
      <c r="C126" s="22" t="s">
        <v>293</v>
      </c>
      <c r="D126" s="22" t="s">
        <v>641</v>
      </c>
      <c r="E126" s="22" t="s">
        <v>290</v>
      </c>
      <c r="F126" s="22" t="s">
        <v>718</v>
      </c>
      <c r="G126" s="22"/>
      <c r="H126" s="22" t="s">
        <v>555</v>
      </c>
      <c r="I126" s="22"/>
      <c r="J126" s="23" t="s">
        <v>304</v>
      </c>
    </row>
    <row r="127" spans="1:10" x14ac:dyDescent="0.25">
      <c r="A127" s="22" t="s">
        <v>290</v>
      </c>
      <c r="B127" s="22" t="s">
        <v>640</v>
      </c>
      <c r="C127" s="22" t="s">
        <v>293</v>
      </c>
      <c r="D127" s="22" t="s">
        <v>641</v>
      </c>
      <c r="E127" s="22" t="s">
        <v>290</v>
      </c>
      <c r="F127" s="22" t="s">
        <v>70</v>
      </c>
      <c r="G127" s="22"/>
      <c r="H127" s="22" t="s">
        <v>555</v>
      </c>
      <c r="I127" s="22"/>
      <c r="J127" s="23" t="s">
        <v>304</v>
      </c>
    </row>
    <row r="128" spans="1:10" x14ac:dyDescent="0.25">
      <c r="A128" s="22" t="s">
        <v>290</v>
      </c>
      <c r="B128" s="22" t="s">
        <v>640</v>
      </c>
      <c r="C128" s="22" t="s">
        <v>293</v>
      </c>
      <c r="D128" s="22" t="s">
        <v>641</v>
      </c>
      <c r="E128" s="22" t="s">
        <v>290</v>
      </c>
      <c r="F128" s="22" t="s">
        <v>719</v>
      </c>
      <c r="G128" s="22"/>
      <c r="H128" s="22" t="s">
        <v>627</v>
      </c>
      <c r="I128" s="22"/>
      <c r="J128" s="23" t="s">
        <v>304</v>
      </c>
    </row>
    <row r="129" spans="1:10" x14ac:dyDescent="0.25">
      <c r="A129" s="22" t="s">
        <v>290</v>
      </c>
      <c r="B129" s="22" t="s">
        <v>640</v>
      </c>
      <c r="C129" s="22" t="s">
        <v>293</v>
      </c>
      <c r="D129" s="22" t="s">
        <v>641</v>
      </c>
      <c r="E129" s="22" t="s">
        <v>290</v>
      </c>
      <c r="F129" s="22" t="s">
        <v>720</v>
      </c>
      <c r="G129" s="22"/>
      <c r="H129" s="22" t="s">
        <v>627</v>
      </c>
      <c r="I129" s="22"/>
      <c r="J129" s="23" t="s">
        <v>304</v>
      </c>
    </row>
    <row r="130" spans="1:10" x14ac:dyDescent="0.25">
      <c r="A130" s="22" t="s">
        <v>290</v>
      </c>
      <c r="B130" s="22" t="s">
        <v>640</v>
      </c>
      <c r="C130" s="22" t="s">
        <v>293</v>
      </c>
      <c r="D130" s="22" t="s">
        <v>641</v>
      </c>
      <c r="E130" s="22" t="s">
        <v>290</v>
      </c>
      <c r="F130" s="22" t="s">
        <v>721</v>
      </c>
      <c r="G130" s="22"/>
      <c r="H130" s="22" t="s">
        <v>627</v>
      </c>
      <c r="I130" s="22"/>
      <c r="J130" s="23" t="s">
        <v>304</v>
      </c>
    </row>
    <row r="131" spans="1:10" x14ac:dyDescent="0.25">
      <c r="A131" s="22" t="s">
        <v>290</v>
      </c>
      <c r="B131" s="22" t="s">
        <v>640</v>
      </c>
      <c r="C131" s="22" t="s">
        <v>293</v>
      </c>
      <c r="D131" s="22" t="s">
        <v>641</v>
      </c>
      <c r="E131" s="22" t="s">
        <v>290</v>
      </c>
      <c r="F131" s="22" t="s">
        <v>722</v>
      </c>
      <c r="G131" s="22"/>
      <c r="H131" s="22" t="s">
        <v>627</v>
      </c>
      <c r="I131" s="22"/>
      <c r="J131" s="23" t="s">
        <v>304</v>
      </c>
    </row>
    <row r="132" spans="1:10" x14ac:dyDescent="0.25">
      <c r="A132" s="22" t="s">
        <v>290</v>
      </c>
      <c r="B132" s="22" t="s">
        <v>640</v>
      </c>
      <c r="C132" s="22" t="s">
        <v>293</v>
      </c>
      <c r="D132" s="22" t="s">
        <v>641</v>
      </c>
      <c r="E132" s="22" t="s">
        <v>290</v>
      </c>
      <c r="F132" s="22" t="s">
        <v>88</v>
      </c>
      <c r="G132" s="22"/>
      <c r="H132" s="22" t="s">
        <v>627</v>
      </c>
      <c r="I132" s="22"/>
      <c r="J132" s="23" t="s">
        <v>304</v>
      </c>
    </row>
    <row r="133" spans="1:10" x14ac:dyDescent="0.25">
      <c r="A133" s="22" t="s">
        <v>290</v>
      </c>
      <c r="B133" s="22" t="s">
        <v>640</v>
      </c>
      <c r="C133" s="22" t="s">
        <v>293</v>
      </c>
      <c r="D133" s="22" t="s">
        <v>641</v>
      </c>
      <c r="E133" s="22" t="s">
        <v>290</v>
      </c>
      <c r="F133" s="22" t="s">
        <v>723</v>
      </c>
      <c r="G133" s="22"/>
      <c r="H133" s="22" t="s">
        <v>627</v>
      </c>
      <c r="I133" s="22"/>
      <c r="J133" s="23" t="s">
        <v>304</v>
      </c>
    </row>
    <row r="134" spans="1:10" x14ac:dyDescent="0.25">
      <c r="A134" s="22" t="s">
        <v>290</v>
      </c>
      <c r="B134" s="22" t="s">
        <v>640</v>
      </c>
      <c r="C134" s="22" t="s">
        <v>293</v>
      </c>
      <c r="D134" s="22" t="s">
        <v>641</v>
      </c>
      <c r="E134" s="22" t="s">
        <v>290</v>
      </c>
      <c r="F134" s="22" t="s">
        <v>724</v>
      </c>
      <c r="G134" s="22"/>
      <c r="H134" s="22" t="s">
        <v>627</v>
      </c>
      <c r="I134" s="22"/>
      <c r="J134" s="23" t="s">
        <v>304</v>
      </c>
    </row>
    <row r="135" spans="1:10" x14ac:dyDescent="0.25">
      <c r="A135" s="22" t="s">
        <v>290</v>
      </c>
      <c r="B135" s="22" t="s">
        <v>640</v>
      </c>
      <c r="C135" s="22" t="s">
        <v>293</v>
      </c>
      <c r="D135" s="22" t="s">
        <v>641</v>
      </c>
      <c r="E135" s="22" t="s">
        <v>290</v>
      </c>
      <c r="F135" s="22" t="s">
        <v>207</v>
      </c>
      <c r="G135" s="22"/>
      <c r="H135" s="22" t="s">
        <v>627</v>
      </c>
      <c r="I135" s="22"/>
      <c r="J135" s="23" t="s">
        <v>304</v>
      </c>
    </row>
    <row r="136" spans="1:10" x14ac:dyDescent="0.25">
      <c r="A136" s="22" t="s">
        <v>290</v>
      </c>
      <c r="B136" s="22" t="s">
        <v>640</v>
      </c>
      <c r="C136" s="22" t="s">
        <v>293</v>
      </c>
      <c r="D136" s="22" t="s">
        <v>641</v>
      </c>
      <c r="E136" s="22" t="s">
        <v>290</v>
      </c>
      <c r="F136" s="22" t="s">
        <v>725</v>
      </c>
      <c r="G136" s="22"/>
      <c r="H136" s="22" t="s">
        <v>627</v>
      </c>
      <c r="I136" s="22"/>
      <c r="J136" s="23" t="s">
        <v>304</v>
      </c>
    </row>
    <row r="137" spans="1:10" x14ac:dyDescent="0.25">
      <c r="A137" s="22" t="s">
        <v>290</v>
      </c>
      <c r="B137" s="22" t="s">
        <v>640</v>
      </c>
      <c r="C137" s="22" t="s">
        <v>293</v>
      </c>
      <c r="D137" s="22" t="s">
        <v>641</v>
      </c>
      <c r="E137" s="22" t="s">
        <v>290</v>
      </c>
      <c r="F137" s="22" t="s">
        <v>209</v>
      </c>
      <c r="G137" s="22"/>
      <c r="H137" s="22" t="s">
        <v>627</v>
      </c>
      <c r="I137" s="22"/>
      <c r="J137" s="23" t="s">
        <v>304</v>
      </c>
    </row>
    <row r="138" spans="1:10" x14ac:dyDescent="0.25">
      <c r="A138" s="22" t="s">
        <v>290</v>
      </c>
      <c r="B138" s="22" t="s">
        <v>640</v>
      </c>
      <c r="C138" s="22" t="s">
        <v>293</v>
      </c>
      <c r="D138" s="22" t="s">
        <v>641</v>
      </c>
      <c r="E138" s="22" t="s">
        <v>290</v>
      </c>
      <c r="F138" s="22" t="s">
        <v>211</v>
      </c>
      <c r="G138" s="22"/>
      <c r="H138" s="22" t="s">
        <v>627</v>
      </c>
      <c r="I138" s="22"/>
      <c r="J138" s="23" t="s">
        <v>304</v>
      </c>
    </row>
    <row r="139" spans="1:10" x14ac:dyDescent="0.25">
      <c r="A139" s="22" t="s">
        <v>290</v>
      </c>
      <c r="B139" s="22" t="s">
        <v>640</v>
      </c>
      <c r="C139" s="22" t="s">
        <v>293</v>
      </c>
      <c r="D139" s="22" t="s">
        <v>641</v>
      </c>
      <c r="E139" s="22" t="s">
        <v>290</v>
      </c>
      <c r="F139" s="22" t="s">
        <v>213</v>
      </c>
      <c r="G139" s="22"/>
      <c r="H139" s="22" t="s">
        <v>627</v>
      </c>
      <c r="I139" s="22"/>
      <c r="J139" s="23" t="s">
        <v>304</v>
      </c>
    </row>
    <row r="140" spans="1:10" x14ac:dyDescent="0.25">
      <c r="A140" s="22" t="s">
        <v>290</v>
      </c>
      <c r="B140" s="22" t="s">
        <v>640</v>
      </c>
      <c r="C140" s="22" t="s">
        <v>293</v>
      </c>
      <c r="D140" s="22" t="s">
        <v>641</v>
      </c>
      <c r="E140" s="22" t="s">
        <v>290</v>
      </c>
      <c r="F140" s="22" t="s">
        <v>75</v>
      </c>
      <c r="G140" s="22"/>
      <c r="H140" s="22" t="s">
        <v>627</v>
      </c>
      <c r="I140" s="22"/>
      <c r="J140" s="23" t="s">
        <v>304</v>
      </c>
    </row>
    <row r="141" spans="1:10" x14ac:dyDescent="0.25">
      <c r="A141" s="22" t="s">
        <v>290</v>
      </c>
      <c r="B141" s="22" t="s">
        <v>640</v>
      </c>
      <c r="C141" s="22" t="s">
        <v>293</v>
      </c>
      <c r="D141" s="22" t="s">
        <v>641</v>
      </c>
      <c r="E141" s="22" t="s">
        <v>290</v>
      </c>
      <c r="F141" s="22" t="s">
        <v>726</v>
      </c>
      <c r="G141" s="22"/>
      <c r="H141" s="22" t="s">
        <v>627</v>
      </c>
      <c r="I141" s="22"/>
      <c r="J141" s="23" t="s">
        <v>304</v>
      </c>
    </row>
    <row r="142" spans="1:10" x14ac:dyDescent="0.25">
      <c r="A142" s="22" t="s">
        <v>290</v>
      </c>
      <c r="B142" s="22" t="s">
        <v>640</v>
      </c>
      <c r="C142" s="22" t="s">
        <v>293</v>
      </c>
      <c r="D142" s="22" t="s">
        <v>641</v>
      </c>
      <c r="E142" s="22" t="s">
        <v>290</v>
      </c>
      <c r="F142" s="22" t="s">
        <v>215</v>
      </c>
      <c r="G142" s="22"/>
      <c r="H142" s="22" t="s">
        <v>627</v>
      </c>
      <c r="I142" s="22"/>
      <c r="J142" s="23" t="s">
        <v>304</v>
      </c>
    </row>
    <row r="143" spans="1:10" x14ac:dyDescent="0.25">
      <c r="A143" s="22" t="s">
        <v>290</v>
      </c>
      <c r="B143" s="22" t="s">
        <v>640</v>
      </c>
      <c r="C143" s="22" t="s">
        <v>293</v>
      </c>
      <c r="D143" s="22" t="s">
        <v>641</v>
      </c>
      <c r="E143" s="22" t="s">
        <v>290</v>
      </c>
      <c r="F143" s="22" t="s">
        <v>727</v>
      </c>
      <c r="G143" s="22"/>
      <c r="H143" s="22" t="s">
        <v>627</v>
      </c>
      <c r="I143" s="22"/>
      <c r="J143" s="23" t="s">
        <v>304</v>
      </c>
    </row>
    <row r="144" spans="1:10" x14ac:dyDescent="0.25">
      <c r="A144" s="22" t="s">
        <v>290</v>
      </c>
      <c r="B144" s="22" t="s">
        <v>640</v>
      </c>
      <c r="C144" s="22" t="s">
        <v>293</v>
      </c>
      <c r="D144" s="22" t="s">
        <v>641</v>
      </c>
      <c r="E144" s="22" t="s">
        <v>290</v>
      </c>
      <c r="F144" s="22" t="s">
        <v>126</v>
      </c>
      <c r="G144" s="22"/>
      <c r="H144" s="22" t="s">
        <v>627</v>
      </c>
      <c r="I144" s="22"/>
      <c r="J144" s="23" t="s">
        <v>304</v>
      </c>
    </row>
    <row r="145" spans="1:10" x14ac:dyDescent="0.25">
      <c r="A145" s="22" t="s">
        <v>290</v>
      </c>
      <c r="B145" s="22" t="s">
        <v>640</v>
      </c>
      <c r="C145" s="22" t="s">
        <v>293</v>
      </c>
      <c r="D145" s="22" t="s">
        <v>641</v>
      </c>
      <c r="E145" s="22" t="s">
        <v>290</v>
      </c>
      <c r="F145" s="22" t="s">
        <v>728</v>
      </c>
      <c r="G145" s="22"/>
      <c r="H145" s="22" t="s">
        <v>627</v>
      </c>
      <c r="I145" s="22"/>
      <c r="J145" s="23" t="s">
        <v>304</v>
      </c>
    </row>
    <row r="146" spans="1:10" x14ac:dyDescent="0.25">
      <c r="A146" s="22" t="s">
        <v>290</v>
      </c>
      <c r="B146" s="22" t="s">
        <v>640</v>
      </c>
      <c r="C146" s="22" t="s">
        <v>293</v>
      </c>
      <c r="D146" s="22" t="s">
        <v>641</v>
      </c>
      <c r="E146" s="22" t="s">
        <v>290</v>
      </c>
      <c r="F146" s="22" t="s">
        <v>163</v>
      </c>
      <c r="G146" s="22"/>
      <c r="H146" s="22" t="s">
        <v>555</v>
      </c>
      <c r="I146" s="22"/>
      <c r="J146" s="23" t="s">
        <v>304</v>
      </c>
    </row>
    <row r="147" spans="1:10" x14ac:dyDescent="0.25">
      <c r="A147" s="22" t="s">
        <v>290</v>
      </c>
      <c r="B147" s="22" t="s">
        <v>640</v>
      </c>
      <c r="C147" s="22" t="s">
        <v>293</v>
      </c>
      <c r="D147" s="22" t="s">
        <v>641</v>
      </c>
      <c r="E147" s="22" t="s">
        <v>290</v>
      </c>
      <c r="F147" s="22" t="s">
        <v>77</v>
      </c>
      <c r="G147" s="22"/>
      <c r="H147" s="22" t="s">
        <v>555</v>
      </c>
      <c r="I147" s="22"/>
      <c r="J147" s="23" t="s">
        <v>304</v>
      </c>
    </row>
    <row r="148" spans="1:10" x14ac:dyDescent="0.25">
      <c r="A148" s="22" t="s">
        <v>290</v>
      </c>
      <c r="B148" s="22" t="s">
        <v>640</v>
      </c>
      <c r="C148" s="22" t="s">
        <v>293</v>
      </c>
      <c r="D148" s="22" t="s">
        <v>641</v>
      </c>
      <c r="E148" s="22" t="s">
        <v>290</v>
      </c>
      <c r="F148" s="22" t="s">
        <v>122</v>
      </c>
      <c r="G148" s="22"/>
      <c r="H148" s="22" t="s">
        <v>555</v>
      </c>
      <c r="I148" s="22"/>
      <c r="J148" s="23" t="s">
        <v>304</v>
      </c>
    </row>
    <row r="149" spans="1:10" x14ac:dyDescent="0.25">
      <c r="A149" s="22" t="s">
        <v>290</v>
      </c>
      <c r="B149" s="22" t="s">
        <v>640</v>
      </c>
      <c r="C149" s="22" t="s">
        <v>293</v>
      </c>
      <c r="D149" s="22" t="s">
        <v>641</v>
      </c>
      <c r="E149" s="22" t="s">
        <v>290</v>
      </c>
      <c r="F149" s="22" t="s">
        <v>153</v>
      </c>
      <c r="G149" s="22"/>
      <c r="H149" s="22" t="s">
        <v>555</v>
      </c>
      <c r="I149" s="22"/>
      <c r="J149" s="23" t="s">
        <v>304</v>
      </c>
    </row>
    <row r="150" spans="1:10" x14ac:dyDescent="0.25">
      <c r="A150" s="22" t="s">
        <v>290</v>
      </c>
      <c r="B150" s="22" t="s">
        <v>640</v>
      </c>
      <c r="C150" s="22" t="s">
        <v>293</v>
      </c>
      <c r="D150" s="22" t="s">
        <v>641</v>
      </c>
      <c r="E150" s="22" t="s">
        <v>290</v>
      </c>
      <c r="F150" s="22" t="s">
        <v>36</v>
      </c>
      <c r="G150" s="22"/>
      <c r="H150" s="22" t="s">
        <v>555</v>
      </c>
      <c r="I150" s="22"/>
      <c r="J150" s="23" t="s">
        <v>304</v>
      </c>
    </row>
    <row r="151" spans="1:10" x14ac:dyDescent="0.25">
      <c r="A151" s="22" t="s">
        <v>290</v>
      </c>
      <c r="B151" s="22" t="s">
        <v>640</v>
      </c>
      <c r="C151" s="22" t="s">
        <v>293</v>
      </c>
      <c r="D151" s="22" t="s">
        <v>641</v>
      </c>
      <c r="E151" s="22" t="s">
        <v>290</v>
      </c>
      <c r="F151" s="22" t="s">
        <v>165</v>
      </c>
      <c r="G151" s="22"/>
      <c r="H151" s="22" t="s">
        <v>555</v>
      </c>
      <c r="I151" s="22"/>
      <c r="J151" s="23" t="s">
        <v>304</v>
      </c>
    </row>
    <row r="152" spans="1:10" x14ac:dyDescent="0.25">
      <c r="A152" s="22" t="s">
        <v>290</v>
      </c>
      <c r="B152" s="22" t="s">
        <v>640</v>
      </c>
      <c r="C152" s="22" t="s">
        <v>293</v>
      </c>
      <c r="D152" s="22" t="s">
        <v>641</v>
      </c>
      <c r="E152" s="22" t="s">
        <v>290</v>
      </c>
      <c r="F152" s="22" t="s">
        <v>50</v>
      </c>
      <c r="G152" s="22"/>
      <c r="H152" s="22" t="s">
        <v>555</v>
      </c>
      <c r="I152" s="22"/>
      <c r="J152" s="23" t="s">
        <v>304</v>
      </c>
    </row>
    <row r="153" spans="1:10" x14ac:dyDescent="0.25">
      <c r="A153" s="22" t="s">
        <v>290</v>
      </c>
      <c r="B153" s="22" t="s">
        <v>640</v>
      </c>
      <c r="C153" s="22" t="s">
        <v>293</v>
      </c>
      <c r="D153" s="22" t="s">
        <v>641</v>
      </c>
      <c r="E153" s="22" t="s">
        <v>290</v>
      </c>
      <c r="F153" s="22" t="s">
        <v>63</v>
      </c>
      <c r="G153" s="22"/>
      <c r="H153" s="22" t="s">
        <v>555</v>
      </c>
      <c r="I153" s="22"/>
      <c r="J153" s="23" t="s">
        <v>304</v>
      </c>
    </row>
    <row r="154" spans="1:10" x14ac:dyDescent="0.25">
      <c r="A154" s="22" t="s">
        <v>290</v>
      </c>
      <c r="B154" s="22" t="s">
        <v>640</v>
      </c>
      <c r="C154" s="22" t="s">
        <v>293</v>
      </c>
      <c r="D154" s="22" t="s">
        <v>641</v>
      </c>
      <c r="E154" s="22" t="s">
        <v>290</v>
      </c>
      <c r="F154" s="22" t="s">
        <v>729</v>
      </c>
      <c r="G154" s="22"/>
      <c r="H154" s="22" t="s">
        <v>555</v>
      </c>
      <c r="I154" s="22"/>
      <c r="J154" s="23" t="s">
        <v>304</v>
      </c>
    </row>
    <row r="155" spans="1:10" x14ac:dyDescent="0.25">
      <c r="A155" s="22" t="s">
        <v>290</v>
      </c>
      <c r="B155" s="22" t="s">
        <v>640</v>
      </c>
      <c r="C155" s="22" t="s">
        <v>293</v>
      </c>
      <c r="D155" s="22" t="s">
        <v>641</v>
      </c>
      <c r="E155" s="22" t="s">
        <v>290</v>
      </c>
      <c r="F155" s="22" t="s">
        <v>114</v>
      </c>
      <c r="G155" s="22"/>
      <c r="H155" s="22" t="s">
        <v>555</v>
      </c>
      <c r="I155" s="22"/>
      <c r="J155" s="23" t="s">
        <v>304</v>
      </c>
    </row>
    <row r="156" spans="1:10" x14ac:dyDescent="0.25">
      <c r="A156" s="22" t="s">
        <v>290</v>
      </c>
      <c r="B156" s="22" t="s">
        <v>640</v>
      </c>
      <c r="C156" s="22" t="s">
        <v>293</v>
      </c>
      <c r="D156" s="22" t="s">
        <v>641</v>
      </c>
      <c r="E156" s="22" t="s">
        <v>290</v>
      </c>
      <c r="F156" s="22" t="s">
        <v>145</v>
      </c>
      <c r="G156" s="22"/>
      <c r="H156" s="22" t="s">
        <v>555</v>
      </c>
      <c r="I156" s="22"/>
      <c r="J156" s="23" t="s">
        <v>304</v>
      </c>
    </row>
    <row r="157" spans="1:10" x14ac:dyDescent="0.25">
      <c r="A157" s="22" t="s">
        <v>290</v>
      </c>
      <c r="B157" s="22" t="s">
        <v>640</v>
      </c>
      <c r="C157" s="22" t="s">
        <v>293</v>
      </c>
      <c r="D157" s="22" t="s">
        <v>641</v>
      </c>
      <c r="E157" s="22" t="s">
        <v>290</v>
      </c>
      <c r="F157" s="22" t="s">
        <v>151</v>
      </c>
      <c r="G157" s="22"/>
      <c r="H157" s="22" t="s">
        <v>555</v>
      </c>
      <c r="I157" s="22"/>
      <c r="J157" s="23" t="s">
        <v>304</v>
      </c>
    </row>
    <row r="158" spans="1:10" x14ac:dyDescent="0.25">
      <c r="A158" s="22" t="s">
        <v>290</v>
      </c>
      <c r="B158" s="22" t="s">
        <v>640</v>
      </c>
      <c r="C158" s="22" t="s">
        <v>293</v>
      </c>
      <c r="D158" s="22" t="s">
        <v>641</v>
      </c>
      <c r="E158" s="22" t="s">
        <v>290</v>
      </c>
      <c r="F158" s="22" t="s">
        <v>730</v>
      </c>
      <c r="G158" s="22"/>
      <c r="H158" s="22" t="s">
        <v>627</v>
      </c>
      <c r="I158" s="22"/>
      <c r="J158" s="23" t="s">
        <v>304</v>
      </c>
    </row>
    <row r="159" spans="1:10" x14ac:dyDescent="0.25">
      <c r="A159" s="22" t="s">
        <v>290</v>
      </c>
      <c r="B159" s="22" t="s">
        <v>640</v>
      </c>
      <c r="C159" s="22" t="s">
        <v>293</v>
      </c>
      <c r="D159" s="22" t="s">
        <v>641</v>
      </c>
      <c r="E159" s="22" t="s">
        <v>290</v>
      </c>
      <c r="F159" s="22" t="s">
        <v>731</v>
      </c>
      <c r="G159" s="22"/>
      <c r="H159" s="22" t="s">
        <v>627</v>
      </c>
      <c r="I159" s="22"/>
      <c r="J159" s="23" t="s">
        <v>304</v>
      </c>
    </row>
    <row r="160" spans="1:10" x14ac:dyDescent="0.25">
      <c r="A160" s="22" t="s">
        <v>290</v>
      </c>
      <c r="B160" s="22" t="s">
        <v>640</v>
      </c>
      <c r="C160" s="22" t="s">
        <v>293</v>
      </c>
      <c r="D160" s="22" t="s">
        <v>641</v>
      </c>
      <c r="E160" s="22" t="s">
        <v>290</v>
      </c>
      <c r="F160" s="22" t="s">
        <v>112</v>
      </c>
      <c r="G160" s="22"/>
      <c r="H160" s="22" t="s">
        <v>627</v>
      </c>
      <c r="I160" s="22"/>
      <c r="J160" s="23" t="s">
        <v>304</v>
      </c>
    </row>
    <row r="161" spans="1:10" x14ac:dyDescent="0.25">
      <c r="A161" s="22" t="s">
        <v>290</v>
      </c>
      <c r="B161" s="22" t="s">
        <v>640</v>
      </c>
      <c r="C161" s="22" t="s">
        <v>293</v>
      </c>
      <c r="D161" s="22" t="s">
        <v>641</v>
      </c>
      <c r="E161" s="22" t="s">
        <v>290</v>
      </c>
      <c r="F161" s="22" t="s">
        <v>26</v>
      </c>
      <c r="G161" s="22"/>
      <c r="H161" s="22" t="s">
        <v>555</v>
      </c>
      <c r="I161" s="22"/>
      <c r="J161" s="23" t="s">
        <v>314</v>
      </c>
    </row>
    <row r="162" spans="1:10" x14ac:dyDescent="0.25">
      <c r="A162" s="22" t="s">
        <v>290</v>
      </c>
      <c r="B162" s="22" t="s">
        <v>640</v>
      </c>
      <c r="C162" s="22" t="s">
        <v>293</v>
      </c>
      <c r="D162" s="22" t="s">
        <v>641</v>
      </c>
      <c r="E162" s="22" t="s">
        <v>290</v>
      </c>
      <c r="F162" s="22" t="s">
        <v>48</v>
      </c>
      <c r="G162" s="22"/>
      <c r="H162" s="22" t="s">
        <v>555</v>
      </c>
      <c r="I162" s="22"/>
      <c r="J162" s="23" t="s">
        <v>314</v>
      </c>
    </row>
    <row r="163" spans="1:10" x14ac:dyDescent="0.25">
      <c r="A163" s="22" t="s">
        <v>290</v>
      </c>
      <c r="B163" s="22" t="s">
        <v>640</v>
      </c>
      <c r="C163" s="22" t="s">
        <v>293</v>
      </c>
      <c r="D163" s="22" t="s">
        <v>641</v>
      </c>
      <c r="E163" s="22" t="s">
        <v>290</v>
      </c>
      <c r="F163" s="22" t="s">
        <v>52</v>
      </c>
      <c r="G163" s="22"/>
      <c r="H163" s="22" t="s">
        <v>555</v>
      </c>
      <c r="I163" s="22"/>
      <c r="J163" s="23" t="s">
        <v>314</v>
      </c>
    </row>
    <row r="164" spans="1:10" x14ac:dyDescent="0.25">
      <c r="A164" s="22" t="s">
        <v>290</v>
      </c>
      <c r="B164" s="22" t="s">
        <v>640</v>
      </c>
      <c r="C164" s="22" t="s">
        <v>293</v>
      </c>
      <c r="D164" s="22" t="s">
        <v>641</v>
      </c>
      <c r="E164" s="22" t="s">
        <v>290</v>
      </c>
      <c r="F164" s="22" t="s">
        <v>169</v>
      </c>
      <c r="G164" s="22"/>
      <c r="H164" s="22" t="s">
        <v>555</v>
      </c>
      <c r="I164" s="22"/>
      <c r="J164" s="23" t="s">
        <v>314</v>
      </c>
    </row>
    <row r="165" spans="1:10" x14ac:dyDescent="0.25">
      <c r="A165" s="22" t="s">
        <v>290</v>
      </c>
      <c r="B165" s="22" t="s">
        <v>640</v>
      </c>
      <c r="C165" s="22" t="s">
        <v>293</v>
      </c>
      <c r="D165" s="22" t="s">
        <v>641</v>
      </c>
      <c r="E165" s="22" t="s">
        <v>290</v>
      </c>
      <c r="F165" s="22" t="s">
        <v>171</v>
      </c>
      <c r="G165" s="22"/>
      <c r="H165" s="22" t="s">
        <v>555</v>
      </c>
      <c r="I165" s="22"/>
      <c r="J165" s="23" t="s">
        <v>314</v>
      </c>
    </row>
    <row r="166" spans="1:10" x14ac:dyDescent="0.25">
      <c r="A166" s="22" t="s">
        <v>290</v>
      </c>
      <c r="B166" s="22" t="s">
        <v>640</v>
      </c>
      <c r="C166" s="22" t="s">
        <v>293</v>
      </c>
      <c r="D166" s="22" t="s">
        <v>641</v>
      </c>
      <c r="E166" s="22" t="s">
        <v>290</v>
      </c>
      <c r="F166" s="22" t="s">
        <v>732</v>
      </c>
      <c r="G166" s="22"/>
      <c r="H166" s="22" t="s">
        <v>555</v>
      </c>
      <c r="I166" s="22"/>
      <c r="J166" s="23" t="s">
        <v>314</v>
      </c>
    </row>
    <row r="167" spans="1:10" x14ac:dyDescent="0.25">
      <c r="A167" s="22" t="s">
        <v>290</v>
      </c>
      <c r="B167" s="22" t="s">
        <v>640</v>
      </c>
      <c r="C167" s="22" t="s">
        <v>293</v>
      </c>
      <c r="D167" s="22" t="s">
        <v>641</v>
      </c>
      <c r="E167" s="22" t="s">
        <v>290</v>
      </c>
      <c r="F167" s="22" t="s">
        <v>83</v>
      </c>
      <c r="G167" s="22"/>
      <c r="H167" s="22" t="s">
        <v>555</v>
      </c>
      <c r="I167" s="22"/>
      <c r="J167" s="23" t="s">
        <v>314</v>
      </c>
    </row>
    <row r="168" spans="1:10" x14ac:dyDescent="0.25">
      <c r="A168" s="22" t="s">
        <v>290</v>
      </c>
      <c r="B168" s="22" t="s">
        <v>640</v>
      </c>
      <c r="C168" s="22" t="s">
        <v>293</v>
      </c>
      <c r="D168" s="22" t="s">
        <v>641</v>
      </c>
      <c r="E168" s="22" t="s">
        <v>290</v>
      </c>
      <c r="F168" s="22" t="s">
        <v>85</v>
      </c>
      <c r="G168" s="22"/>
      <c r="H168" s="22" t="s">
        <v>555</v>
      </c>
      <c r="I168" s="22"/>
      <c r="J168" s="23" t="s">
        <v>314</v>
      </c>
    </row>
    <row r="169" spans="1:10" x14ac:dyDescent="0.25">
      <c r="A169" s="22" t="s">
        <v>290</v>
      </c>
      <c r="B169" s="22" t="s">
        <v>640</v>
      </c>
      <c r="C169" s="22" t="s">
        <v>293</v>
      </c>
      <c r="D169" s="22" t="s">
        <v>641</v>
      </c>
      <c r="E169" s="22" t="s">
        <v>290</v>
      </c>
      <c r="F169" s="22" t="s">
        <v>90</v>
      </c>
      <c r="G169" s="22"/>
      <c r="H169" s="22" t="s">
        <v>555</v>
      </c>
      <c r="I169" s="22"/>
      <c r="J169" s="23" t="s">
        <v>314</v>
      </c>
    </row>
    <row r="170" spans="1:10" x14ac:dyDescent="0.25">
      <c r="A170" s="22" t="s">
        <v>290</v>
      </c>
      <c r="B170" s="22" t="s">
        <v>640</v>
      </c>
      <c r="C170" s="22" t="s">
        <v>293</v>
      </c>
      <c r="D170" s="22" t="s">
        <v>641</v>
      </c>
      <c r="E170" s="22" t="s">
        <v>290</v>
      </c>
      <c r="F170" s="22" t="s">
        <v>177</v>
      </c>
      <c r="G170" s="22"/>
      <c r="H170" s="22" t="s">
        <v>555</v>
      </c>
      <c r="I170" s="22"/>
      <c r="J170" s="23" t="s">
        <v>314</v>
      </c>
    </row>
    <row r="171" spans="1:10" x14ac:dyDescent="0.25">
      <c r="A171" s="22" t="s">
        <v>290</v>
      </c>
      <c r="B171" s="22" t="s">
        <v>640</v>
      </c>
      <c r="C171" s="22" t="s">
        <v>293</v>
      </c>
      <c r="D171" s="22" t="s">
        <v>641</v>
      </c>
      <c r="E171" s="22" t="s">
        <v>290</v>
      </c>
      <c r="F171" s="22" t="s">
        <v>94</v>
      </c>
      <c r="G171" s="22"/>
      <c r="H171" s="22" t="s">
        <v>555</v>
      </c>
      <c r="I171" s="22"/>
      <c r="J171" s="23" t="s">
        <v>314</v>
      </c>
    </row>
    <row r="172" spans="1:10" x14ac:dyDescent="0.25">
      <c r="A172" s="22" t="s">
        <v>290</v>
      </c>
      <c r="B172" s="22" t="s">
        <v>640</v>
      </c>
      <c r="C172" s="22" t="s">
        <v>293</v>
      </c>
      <c r="D172" s="22" t="s">
        <v>641</v>
      </c>
      <c r="E172" s="22" t="s">
        <v>290</v>
      </c>
      <c r="F172" s="22" t="s">
        <v>103</v>
      </c>
      <c r="G172" s="22"/>
      <c r="H172" s="22" t="s">
        <v>555</v>
      </c>
      <c r="I172" s="22"/>
      <c r="J172" s="23" t="s">
        <v>314</v>
      </c>
    </row>
    <row r="173" spans="1:10" x14ac:dyDescent="0.25">
      <c r="A173" s="22" t="s">
        <v>290</v>
      </c>
      <c r="B173" s="22" t="s">
        <v>640</v>
      </c>
      <c r="C173" s="22" t="s">
        <v>293</v>
      </c>
      <c r="D173" s="22" t="s">
        <v>641</v>
      </c>
      <c r="E173" s="22" t="s">
        <v>290</v>
      </c>
      <c r="F173" s="22" t="s">
        <v>108</v>
      </c>
      <c r="G173" s="22"/>
      <c r="H173" s="22" t="s">
        <v>555</v>
      </c>
      <c r="I173" s="22"/>
      <c r="J173" s="23" t="s">
        <v>314</v>
      </c>
    </row>
    <row r="174" spans="1:10" x14ac:dyDescent="0.25">
      <c r="A174" s="22" t="s">
        <v>290</v>
      </c>
      <c r="B174" s="22" t="s">
        <v>640</v>
      </c>
      <c r="C174" s="22" t="s">
        <v>293</v>
      </c>
      <c r="D174" s="22" t="s">
        <v>641</v>
      </c>
      <c r="E174" s="22" t="s">
        <v>290</v>
      </c>
      <c r="F174" s="22" t="s">
        <v>733</v>
      </c>
      <c r="G174" s="22"/>
      <c r="H174" s="22" t="s">
        <v>627</v>
      </c>
      <c r="I174" s="22"/>
      <c r="J174" s="23" t="s">
        <v>304</v>
      </c>
    </row>
    <row r="175" spans="1:10" x14ac:dyDescent="0.25">
      <c r="A175" s="22" t="s">
        <v>290</v>
      </c>
      <c r="B175" s="22" t="s">
        <v>640</v>
      </c>
      <c r="C175" s="22" t="s">
        <v>293</v>
      </c>
      <c r="D175" s="22" t="s">
        <v>641</v>
      </c>
      <c r="E175" s="22" t="s">
        <v>290</v>
      </c>
      <c r="F175" s="22" t="s">
        <v>133</v>
      </c>
      <c r="G175" s="22"/>
      <c r="H175" s="22" t="s">
        <v>627</v>
      </c>
      <c r="I175" s="22"/>
      <c r="J175" s="23" t="s">
        <v>304</v>
      </c>
    </row>
    <row r="176" spans="1:10" x14ac:dyDescent="0.25">
      <c r="A176" s="22" t="s">
        <v>290</v>
      </c>
      <c r="B176" s="22" t="s">
        <v>640</v>
      </c>
      <c r="C176" s="22" t="s">
        <v>293</v>
      </c>
      <c r="D176" s="22" t="s">
        <v>641</v>
      </c>
      <c r="E176" s="22" t="s">
        <v>290</v>
      </c>
      <c r="F176" s="22" t="s">
        <v>734</v>
      </c>
      <c r="G176" s="22"/>
      <c r="H176" s="22" t="s">
        <v>555</v>
      </c>
      <c r="I176" s="22"/>
      <c r="J176" s="23" t="s">
        <v>354</v>
      </c>
    </row>
    <row r="177" spans="1:10" x14ac:dyDescent="0.25">
      <c r="A177" s="22" t="s">
        <v>290</v>
      </c>
      <c r="B177" s="22" t="s">
        <v>640</v>
      </c>
      <c r="C177" s="22" t="s">
        <v>293</v>
      </c>
      <c r="D177" s="22" t="s">
        <v>641</v>
      </c>
      <c r="E177" s="22" t="s">
        <v>290</v>
      </c>
      <c r="F177" s="22" t="s">
        <v>735</v>
      </c>
      <c r="G177" s="22"/>
      <c r="H177" s="22" t="s">
        <v>555</v>
      </c>
      <c r="I177" s="22"/>
      <c r="J177" s="23" t="s">
        <v>354</v>
      </c>
    </row>
    <row r="178" spans="1:10" x14ac:dyDescent="0.25">
      <c r="A178" s="22" t="s">
        <v>290</v>
      </c>
      <c r="B178" s="22" t="s">
        <v>640</v>
      </c>
      <c r="C178" s="22" t="s">
        <v>293</v>
      </c>
      <c r="D178" s="22" t="s">
        <v>641</v>
      </c>
      <c r="E178" s="22" t="s">
        <v>290</v>
      </c>
      <c r="F178" s="22" t="s">
        <v>736</v>
      </c>
      <c r="G178" s="22"/>
      <c r="H178" s="22" t="s">
        <v>555</v>
      </c>
      <c r="I178" s="22"/>
      <c r="J178" s="23" t="s">
        <v>354</v>
      </c>
    </row>
    <row r="179" spans="1:10" x14ac:dyDescent="0.25">
      <c r="A179" s="22" t="s">
        <v>290</v>
      </c>
      <c r="B179" s="22" t="s">
        <v>640</v>
      </c>
      <c r="C179" s="22" t="s">
        <v>293</v>
      </c>
      <c r="D179" s="22" t="s">
        <v>641</v>
      </c>
      <c r="E179" s="22" t="s">
        <v>290</v>
      </c>
      <c r="F179" s="22" t="s">
        <v>30</v>
      </c>
      <c r="G179" s="22"/>
      <c r="H179" s="22" t="s">
        <v>555</v>
      </c>
      <c r="I179" s="22"/>
      <c r="J179" s="23" t="s">
        <v>354</v>
      </c>
    </row>
    <row r="180" spans="1:10" x14ac:dyDescent="0.25">
      <c r="A180" s="22" t="s">
        <v>290</v>
      </c>
      <c r="B180" s="22" t="s">
        <v>640</v>
      </c>
      <c r="C180" s="22" t="s">
        <v>293</v>
      </c>
      <c r="D180" s="22" t="s">
        <v>641</v>
      </c>
      <c r="E180" s="22" t="s">
        <v>290</v>
      </c>
      <c r="F180" s="22" t="s">
        <v>737</v>
      </c>
      <c r="G180" s="22"/>
      <c r="H180" s="22" t="s">
        <v>555</v>
      </c>
      <c r="I180" s="22"/>
      <c r="J180" s="23" t="s">
        <v>354</v>
      </c>
    </row>
    <row r="181" spans="1:10" x14ac:dyDescent="0.25">
      <c r="A181" s="22" t="s">
        <v>290</v>
      </c>
      <c r="B181" s="22" t="s">
        <v>640</v>
      </c>
      <c r="C181" s="22" t="s">
        <v>293</v>
      </c>
      <c r="D181" s="22" t="s">
        <v>641</v>
      </c>
      <c r="E181" s="22" t="s">
        <v>290</v>
      </c>
      <c r="F181" s="22" t="s">
        <v>738</v>
      </c>
      <c r="G181" s="22"/>
      <c r="H181" s="22" t="s">
        <v>555</v>
      </c>
      <c r="I181" s="22"/>
      <c r="J181" s="23" t="s">
        <v>354</v>
      </c>
    </row>
    <row r="182" spans="1:10" x14ac:dyDescent="0.25">
      <c r="A182" s="22" t="s">
        <v>290</v>
      </c>
      <c r="B182" s="22" t="s">
        <v>640</v>
      </c>
      <c r="C182" s="22" t="s">
        <v>293</v>
      </c>
      <c r="D182" s="22" t="s">
        <v>641</v>
      </c>
      <c r="E182" s="22" t="s">
        <v>290</v>
      </c>
      <c r="F182" s="22" t="s">
        <v>739</v>
      </c>
      <c r="G182" s="22"/>
      <c r="H182" s="22" t="s">
        <v>555</v>
      </c>
      <c r="I182" s="22"/>
      <c r="J182" s="23" t="s">
        <v>354</v>
      </c>
    </row>
    <row r="183" spans="1:10" x14ac:dyDescent="0.25">
      <c r="A183" s="22" t="s">
        <v>290</v>
      </c>
      <c r="B183" s="22" t="s">
        <v>640</v>
      </c>
      <c r="C183" s="22" t="s">
        <v>293</v>
      </c>
      <c r="D183" s="22" t="s">
        <v>641</v>
      </c>
      <c r="E183" s="22" t="s">
        <v>290</v>
      </c>
      <c r="F183" s="22" t="s">
        <v>740</v>
      </c>
      <c r="G183" s="22"/>
      <c r="H183" s="22" t="s">
        <v>555</v>
      </c>
      <c r="I183" s="22"/>
      <c r="J183" s="23" t="s">
        <v>354</v>
      </c>
    </row>
    <row r="184" spans="1:10" x14ac:dyDescent="0.25">
      <c r="A184" s="22" t="s">
        <v>290</v>
      </c>
      <c r="B184" s="22" t="s">
        <v>640</v>
      </c>
      <c r="C184" s="22" t="s">
        <v>293</v>
      </c>
      <c r="D184" s="22" t="s">
        <v>641</v>
      </c>
      <c r="E184" s="22" t="s">
        <v>290</v>
      </c>
      <c r="F184" s="22" t="s">
        <v>741</v>
      </c>
      <c r="G184" s="22"/>
      <c r="H184" s="22" t="s">
        <v>555</v>
      </c>
      <c r="I184" s="22"/>
      <c r="J184" s="23" t="s">
        <v>354</v>
      </c>
    </row>
    <row r="185" spans="1:10" x14ac:dyDescent="0.25">
      <c r="A185" s="22" t="s">
        <v>290</v>
      </c>
      <c r="B185" s="22" t="s">
        <v>640</v>
      </c>
      <c r="C185" s="22" t="s">
        <v>293</v>
      </c>
      <c r="D185" s="22" t="s">
        <v>641</v>
      </c>
      <c r="E185" s="22" t="s">
        <v>290</v>
      </c>
      <c r="F185" s="22" t="s">
        <v>233</v>
      </c>
      <c r="G185" s="22"/>
      <c r="H185" s="22" t="s">
        <v>555</v>
      </c>
      <c r="I185" s="22"/>
      <c r="J185" s="23" t="s">
        <v>354</v>
      </c>
    </row>
    <row r="186" spans="1:10" x14ac:dyDescent="0.25">
      <c r="A186" s="22" t="s">
        <v>290</v>
      </c>
      <c r="B186" s="22" t="s">
        <v>640</v>
      </c>
      <c r="C186" s="22" t="s">
        <v>293</v>
      </c>
      <c r="D186" s="22" t="s">
        <v>641</v>
      </c>
      <c r="E186" s="22" t="s">
        <v>290</v>
      </c>
      <c r="F186" s="22" t="s">
        <v>742</v>
      </c>
      <c r="G186" s="22"/>
      <c r="H186" s="22" t="s">
        <v>555</v>
      </c>
      <c r="I186" s="22"/>
      <c r="J186" s="23" t="s">
        <v>354</v>
      </c>
    </row>
    <row r="187" spans="1:10" x14ac:dyDescent="0.25">
      <c r="A187" s="22" t="s">
        <v>290</v>
      </c>
      <c r="B187" s="22" t="s">
        <v>640</v>
      </c>
      <c r="C187" s="22" t="s">
        <v>293</v>
      </c>
      <c r="D187" s="22" t="s">
        <v>641</v>
      </c>
      <c r="E187" s="22" t="s">
        <v>290</v>
      </c>
      <c r="F187" s="22" t="s">
        <v>743</v>
      </c>
      <c r="G187" s="22"/>
      <c r="H187" s="22" t="s">
        <v>555</v>
      </c>
      <c r="I187" s="22"/>
      <c r="J187" s="23" t="s">
        <v>354</v>
      </c>
    </row>
    <row r="188" spans="1:10" x14ac:dyDescent="0.25">
      <c r="A188" s="22" t="s">
        <v>290</v>
      </c>
      <c r="B188" s="22" t="s">
        <v>640</v>
      </c>
      <c r="C188" s="22" t="s">
        <v>293</v>
      </c>
      <c r="D188" s="22" t="s">
        <v>641</v>
      </c>
      <c r="E188" s="22" t="s">
        <v>290</v>
      </c>
      <c r="F188" s="22" t="s">
        <v>744</v>
      </c>
      <c r="G188" s="22"/>
      <c r="H188" s="22" t="s">
        <v>555</v>
      </c>
      <c r="I188" s="22"/>
      <c r="J188" s="23" t="s">
        <v>354</v>
      </c>
    </row>
    <row r="189" spans="1:10" x14ac:dyDescent="0.25">
      <c r="A189" s="22" t="s">
        <v>290</v>
      </c>
      <c r="B189" s="22" t="s">
        <v>640</v>
      </c>
      <c r="C189" s="22" t="s">
        <v>293</v>
      </c>
      <c r="D189" s="22" t="s">
        <v>641</v>
      </c>
      <c r="E189" s="22" t="s">
        <v>290</v>
      </c>
      <c r="F189" s="22" t="s">
        <v>745</v>
      </c>
      <c r="G189" s="22"/>
      <c r="H189" s="22" t="s">
        <v>555</v>
      </c>
      <c r="I189" s="22"/>
      <c r="J189" s="23" t="s">
        <v>354</v>
      </c>
    </row>
    <row r="190" spans="1:10" x14ac:dyDescent="0.25">
      <c r="A190" s="22" t="s">
        <v>290</v>
      </c>
      <c r="B190" s="22" t="s">
        <v>640</v>
      </c>
      <c r="C190" s="22" t="s">
        <v>293</v>
      </c>
      <c r="D190" s="22" t="s">
        <v>641</v>
      </c>
      <c r="E190" s="22" t="s">
        <v>290</v>
      </c>
      <c r="F190" s="22" t="s">
        <v>97</v>
      </c>
      <c r="G190" s="22"/>
      <c r="H190" s="22" t="s">
        <v>555</v>
      </c>
      <c r="I190" s="22"/>
      <c r="J190" s="23" t="s">
        <v>354</v>
      </c>
    </row>
    <row r="191" spans="1:10" x14ac:dyDescent="0.25">
      <c r="A191" s="22" t="s">
        <v>290</v>
      </c>
      <c r="B191" s="22" t="s">
        <v>640</v>
      </c>
      <c r="C191" s="22" t="s">
        <v>293</v>
      </c>
      <c r="D191" s="22" t="s">
        <v>641</v>
      </c>
      <c r="E191" s="22" t="s">
        <v>290</v>
      </c>
      <c r="F191" s="22" t="s">
        <v>110</v>
      </c>
      <c r="G191" s="22"/>
      <c r="H191" s="22" t="s">
        <v>555</v>
      </c>
      <c r="I191" s="22"/>
      <c r="J191" s="23" t="s">
        <v>354</v>
      </c>
    </row>
    <row r="192" spans="1:10" x14ac:dyDescent="0.25">
      <c r="A192" s="22" t="s">
        <v>290</v>
      </c>
      <c r="B192" s="22" t="s">
        <v>640</v>
      </c>
      <c r="C192" s="22" t="s">
        <v>293</v>
      </c>
      <c r="D192" s="22" t="s">
        <v>641</v>
      </c>
      <c r="E192" s="22" t="s">
        <v>290</v>
      </c>
      <c r="F192" s="22" t="s">
        <v>746</v>
      </c>
      <c r="G192" s="22"/>
      <c r="H192" s="22" t="s">
        <v>555</v>
      </c>
      <c r="I192" s="22"/>
      <c r="J192" s="23" t="s">
        <v>354</v>
      </c>
    </row>
    <row r="193" spans="1:10" x14ac:dyDescent="0.25">
      <c r="A193" s="22" t="s">
        <v>290</v>
      </c>
      <c r="B193" s="22" t="s">
        <v>640</v>
      </c>
      <c r="C193" s="22" t="s">
        <v>293</v>
      </c>
      <c r="D193" s="22" t="s">
        <v>641</v>
      </c>
      <c r="E193" s="22" t="s">
        <v>290</v>
      </c>
      <c r="F193" s="22" t="s">
        <v>747</v>
      </c>
      <c r="G193" s="22"/>
      <c r="H193" s="22" t="s">
        <v>555</v>
      </c>
      <c r="I193" s="22"/>
      <c r="J193" s="23" t="s">
        <v>354</v>
      </c>
    </row>
    <row r="194" spans="1:10" x14ac:dyDescent="0.25">
      <c r="A194" s="22" t="s">
        <v>290</v>
      </c>
      <c r="B194" s="22" t="s">
        <v>640</v>
      </c>
      <c r="C194" s="22" t="s">
        <v>293</v>
      </c>
      <c r="D194" s="22" t="s">
        <v>641</v>
      </c>
      <c r="E194" s="22" t="s">
        <v>290</v>
      </c>
      <c r="F194" s="22" t="s">
        <v>748</v>
      </c>
      <c r="G194" s="22"/>
      <c r="H194" s="22" t="s">
        <v>555</v>
      </c>
      <c r="I194" s="22"/>
      <c r="J194" s="23" t="s">
        <v>354</v>
      </c>
    </row>
    <row r="195" spans="1:10" x14ac:dyDescent="0.25">
      <c r="A195" s="22" t="s">
        <v>290</v>
      </c>
      <c r="B195" s="22" t="s">
        <v>640</v>
      </c>
      <c r="C195" s="22" t="s">
        <v>293</v>
      </c>
      <c r="D195" s="22" t="s">
        <v>641</v>
      </c>
      <c r="E195" s="22" t="s">
        <v>290</v>
      </c>
      <c r="F195" s="22" t="s">
        <v>749</v>
      </c>
      <c r="G195" s="22"/>
      <c r="H195" s="22" t="s">
        <v>555</v>
      </c>
      <c r="I195" s="22"/>
      <c r="J195" s="23" t="s">
        <v>354</v>
      </c>
    </row>
    <row r="196" spans="1:10" x14ac:dyDescent="0.25">
      <c r="A196" s="22" t="s">
        <v>290</v>
      </c>
      <c r="B196" s="22" t="s">
        <v>640</v>
      </c>
      <c r="C196" s="22" t="s">
        <v>293</v>
      </c>
      <c r="D196" s="22" t="s">
        <v>641</v>
      </c>
      <c r="E196" s="22" t="s">
        <v>290</v>
      </c>
      <c r="F196" s="22" t="s">
        <v>130</v>
      </c>
      <c r="G196" s="22"/>
      <c r="H196" s="22" t="s">
        <v>555</v>
      </c>
      <c r="I196" s="22"/>
      <c r="J196" s="23" t="s">
        <v>354</v>
      </c>
    </row>
    <row r="197" spans="1:10" x14ac:dyDescent="0.25">
      <c r="A197" s="22" t="s">
        <v>290</v>
      </c>
      <c r="B197" s="22" t="s">
        <v>640</v>
      </c>
      <c r="C197" s="22" t="s">
        <v>293</v>
      </c>
      <c r="D197" s="22" t="s">
        <v>641</v>
      </c>
      <c r="E197" s="22" t="s">
        <v>290</v>
      </c>
      <c r="F197" s="22" t="s">
        <v>750</v>
      </c>
      <c r="G197" s="22"/>
      <c r="H197" s="22" t="s">
        <v>555</v>
      </c>
      <c r="I197" s="22"/>
      <c r="J197" s="23" t="s">
        <v>354</v>
      </c>
    </row>
    <row r="198" spans="1:10" x14ac:dyDescent="0.25">
      <c r="A198" s="22" t="s">
        <v>290</v>
      </c>
      <c r="B198" s="22" t="s">
        <v>640</v>
      </c>
      <c r="C198" s="22" t="s">
        <v>293</v>
      </c>
      <c r="D198" s="22" t="s">
        <v>641</v>
      </c>
      <c r="E198" s="22" t="s">
        <v>290</v>
      </c>
      <c r="F198" s="22" t="s">
        <v>751</v>
      </c>
      <c r="G198" s="22"/>
      <c r="H198" s="22" t="s">
        <v>555</v>
      </c>
      <c r="I198" s="22"/>
      <c r="J198" s="23" t="s">
        <v>354</v>
      </c>
    </row>
    <row r="199" spans="1:10" x14ac:dyDescent="0.25">
      <c r="A199" s="22" t="s">
        <v>290</v>
      </c>
      <c r="B199" s="22" t="s">
        <v>640</v>
      </c>
      <c r="C199" s="22" t="s">
        <v>293</v>
      </c>
      <c r="D199" s="22" t="s">
        <v>641</v>
      </c>
      <c r="E199" s="22" t="s">
        <v>290</v>
      </c>
      <c r="F199" s="22" t="s">
        <v>143</v>
      </c>
      <c r="G199" s="22"/>
      <c r="H199" s="22" t="s">
        <v>555</v>
      </c>
      <c r="I199" s="22"/>
      <c r="J199" s="23" t="s">
        <v>354</v>
      </c>
    </row>
    <row r="200" spans="1:10" x14ac:dyDescent="0.25">
      <c r="A200" s="22" t="s">
        <v>290</v>
      </c>
      <c r="B200" s="22" t="s">
        <v>640</v>
      </c>
      <c r="C200" s="22" t="s">
        <v>293</v>
      </c>
      <c r="D200" s="22" t="s">
        <v>641</v>
      </c>
      <c r="E200" s="22" t="s">
        <v>290</v>
      </c>
      <c r="F200" s="22" t="s">
        <v>752</v>
      </c>
      <c r="G200" s="22"/>
      <c r="H200" s="22" t="s">
        <v>555</v>
      </c>
      <c r="I200" s="22"/>
      <c r="J200" s="23" t="s">
        <v>354</v>
      </c>
    </row>
    <row r="201" spans="1:10" x14ac:dyDescent="0.25">
      <c r="A201" s="22" t="s">
        <v>290</v>
      </c>
      <c r="B201" s="22" t="s">
        <v>640</v>
      </c>
      <c r="C201" s="22" t="s">
        <v>293</v>
      </c>
      <c r="D201" s="22" t="s">
        <v>641</v>
      </c>
      <c r="E201" s="22" t="s">
        <v>290</v>
      </c>
      <c r="F201" s="22" t="s">
        <v>118</v>
      </c>
      <c r="G201" s="22"/>
      <c r="H201" s="22" t="s">
        <v>627</v>
      </c>
      <c r="I201" s="22"/>
      <c r="J201" s="23" t="s">
        <v>304</v>
      </c>
    </row>
    <row r="202" spans="1:10" x14ac:dyDescent="0.25">
      <c r="A202" s="22" t="s">
        <v>290</v>
      </c>
      <c r="B202" s="22" t="s">
        <v>640</v>
      </c>
      <c r="C202" s="22" t="s">
        <v>293</v>
      </c>
      <c r="D202" s="22" t="s">
        <v>641</v>
      </c>
      <c r="E202" s="22" t="s">
        <v>290</v>
      </c>
      <c r="F202" s="22" t="s">
        <v>217</v>
      </c>
      <c r="G202" s="22"/>
      <c r="H202" s="22" t="s">
        <v>627</v>
      </c>
      <c r="I202" s="22"/>
      <c r="J202" s="23" t="s">
        <v>304</v>
      </c>
    </row>
    <row r="203" spans="1:10" x14ac:dyDescent="0.25">
      <c r="A203" s="22" t="s">
        <v>290</v>
      </c>
      <c r="B203" s="22" t="s">
        <v>640</v>
      </c>
      <c r="C203" s="22" t="s">
        <v>293</v>
      </c>
      <c r="D203" s="22" t="s">
        <v>641</v>
      </c>
      <c r="E203" s="22" t="s">
        <v>290</v>
      </c>
      <c r="F203" s="22" t="s">
        <v>753</v>
      </c>
      <c r="G203" s="22"/>
      <c r="H203" s="22" t="s">
        <v>627</v>
      </c>
      <c r="I203" s="22"/>
      <c r="J203" s="23" t="s">
        <v>304</v>
      </c>
    </row>
    <row r="204" spans="1:10" x14ac:dyDescent="0.25">
      <c r="A204" s="22" t="s">
        <v>290</v>
      </c>
      <c r="B204" s="22" t="s">
        <v>640</v>
      </c>
      <c r="C204" s="22" t="s">
        <v>293</v>
      </c>
      <c r="D204" s="22" t="s">
        <v>641</v>
      </c>
      <c r="E204" s="22" t="s">
        <v>290</v>
      </c>
      <c r="F204" s="22" t="s">
        <v>120</v>
      </c>
      <c r="G204" s="22"/>
      <c r="H204" s="22" t="s">
        <v>627</v>
      </c>
      <c r="I204" s="22"/>
      <c r="J204" s="23" t="s">
        <v>304</v>
      </c>
    </row>
    <row r="205" spans="1:10" x14ac:dyDescent="0.25">
      <c r="A205" s="22" t="s">
        <v>290</v>
      </c>
      <c r="B205" s="22" t="s">
        <v>640</v>
      </c>
      <c r="C205" s="22" t="s">
        <v>293</v>
      </c>
      <c r="D205" s="22" t="s">
        <v>641</v>
      </c>
      <c r="E205" s="22" t="s">
        <v>290</v>
      </c>
      <c r="F205" s="22" t="s">
        <v>149</v>
      </c>
      <c r="G205" s="22"/>
      <c r="H205" s="22" t="s">
        <v>627</v>
      </c>
      <c r="I205" s="22"/>
      <c r="J205" s="23" t="s">
        <v>304</v>
      </c>
    </row>
    <row r="206" spans="1:10" x14ac:dyDescent="0.25">
      <c r="A206" s="22" t="s">
        <v>290</v>
      </c>
      <c r="B206" s="22" t="s">
        <v>640</v>
      </c>
      <c r="C206" s="22" t="s">
        <v>293</v>
      </c>
      <c r="D206" s="22" t="s">
        <v>641</v>
      </c>
      <c r="E206" s="22" t="s">
        <v>290</v>
      </c>
      <c r="F206" s="22" t="s">
        <v>106</v>
      </c>
      <c r="G206" s="22"/>
      <c r="H206" s="22" t="s">
        <v>298</v>
      </c>
      <c r="I206" s="22"/>
      <c r="J206" s="23" t="s">
        <v>314</v>
      </c>
    </row>
    <row r="207" spans="1:10" x14ac:dyDescent="0.25">
      <c r="A207" s="22" t="s">
        <v>290</v>
      </c>
      <c r="B207" s="22" t="s">
        <v>640</v>
      </c>
      <c r="C207" s="22" t="s">
        <v>293</v>
      </c>
      <c r="D207" s="22" t="s">
        <v>641</v>
      </c>
      <c r="E207" s="22" t="s">
        <v>290</v>
      </c>
      <c r="F207" s="22" t="s">
        <v>141</v>
      </c>
      <c r="G207" s="22"/>
      <c r="H207" s="22" t="s">
        <v>298</v>
      </c>
      <c r="I207" s="22"/>
      <c r="J207" s="23" t="s">
        <v>314</v>
      </c>
    </row>
    <row r="208" spans="1:10" x14ac:dyDescent="0.25">
      <c r="A208" s="22" t="s">
        <v>290</v>
      </c>
      <c r="B208" s="22" t="s">
        <v>640</v>
      </c>
      <c r="C208" s="22" t="s">
        <v>293</v>
      </c>
      <c r="D208" s="22" t="s">
        <v>641</v>
      </c>
      <c r="E208" s="22" t="s">
        <v>290</v>
      </c>
      <c r="F208" s="22" t="s">
        <v>754</v>
      </c>
      <c r="G208" s="22"/>
      <c r="H208" s="22" t="s">
        <v>627</v>
      </c>
      <c r="I208" s="22"/>
      <c r="J208" s="23" t="s">
        <v>304</v>
      </c>
    </row>
    <row r="209" spans="1:10" x14ac:dyDescent="0.25">
      <c r="A209" s="22" t="s">
        <v>290</v>
      </c>
      <c r="B209" s="22" t="s">
        <v>640</v>
      </c>
      <c r="C209" s="22" t="s">
        <v>293</v>
      </c>
      <c r="D209" s="22" t="s">
        <v>641</v>
      </c>
      <c r="E209" s="22" t="s">
        <v>290</v>
      </c>
      <c r="F209" s="22" t="s">
        <v>755</v>
      </c>
      <c r="G209" s="22"/>
      <c r="H209" s="22" t="s">
        <v>627</v>
      </c>
      <c r="I209" s="22"/>
      <c r="J209" s="23" t="s">
        <v>304</v>
      </c>
    </row>
    <row r="210" spans="1:10" x14ac:dyDescent="0.25">
      <c r="A210" s="22" t="s">
        <v>290</v>
      </c>
      <c r="B210" s="22" t="s">
        <v>640</v>
      </c>
      <c r="C210" s="22" t="s">
        <v>293</v>
      </c>
      <c r="D210" s="22" t="s">
        <v>641</v>
      </c>
      <c r="E210" s="22" t="s">
        <v>290</v>
      </c>
      <c r="F210" s="22" t="s">
        <v>756</v>
      </c>
      <c r="G210" s="22"/>
      <c r="H210" s="22" t="s">
        <v>627</v>
      </c>
      <c r="I210" s="22"/>
      <c r="J210" s="23" t="s">
        <v>304</v>
      </c>
    </row>
    <row r="211" spans="1:10" x14ac:dyDescent="0.25">
      <c r="A211" s="22" t="s">
        <v>290</v>
      </c>
      <c r="B211" s="22" t="s">
        <v>640</v>
      </c>
      <c r="C211" s="22" t="s">
        <v>293</v>
      </c>
      <c r="D211" s="22" t="s">
        <v>641</v>
      </c>
      <c r="E211" s="22" t="s">
        <v>290</v>
      </c>
      <c r="F211" s="22" t="s">
        <v>757</v>
      </c>
      <c r="G211" s="22"/>
      <c r="H211" s="22" t="s">
        <v>627</v>
      </c>
      <c r="I211" s="22"/>
      <c r="J211" s="23" t="s">
        <v>304</v>
      </c>
    </row>
    <row r="212" spans="1:10" x14ac:dyDescent="0.25">
      <c r="A212" s="22" t="s">
        <v>290</v>
      </c>
      <c r="B212" s="22" t="s">
        <v>640</v>
      </c>
      <c r="C212" s="22" t="s">
        <v>293</v>
      </c>
      <c r="D212" s="22" t="s">
        <v>641</v>
      </c>
      <c r="E212" s="22" t="s">
        <v>290</v>
      </c>
      <c r="F212" s="22" t="s">
        <v>124</v>
      </c>
      <c r="G212" s="22"/>
      <c r="H212" s="22" t="s">
        <v>627</v>
      </c>
      <c r="I212" s="22"/>
      <c r="J212" s="23" t="s">
        <v>304</v>
      </c>
    </row>
    <row r="213" spans="1:10" x14ac:dyDescent="0.25">
      <c r="A213" s="22" t="s">
        <v>290</v>
      </c>
      <c r="B213" s="22" t="s">
        <v>640</v>
      </c>
      <c r="C213" s="22" t="s">
        <v>293</v>
      </c>
      <c r="D213" s="22" t="s">
        <v>641</v>
      </c>
      <c r="E213" s="22" t="s">
        <v>290</v>
      </c>
      <c r="F213" s="22" t="s">
        <v>758</v>
      </c>
      <c r="G213" s="22"/>
      <c r="H213" s="22" t="s">
        <v>627</v>
      </c>
      <c r="I213" s="22"/>
      <c r="J213" s="23" t="s">
        <v>304</v>
      </c>
    </row>
    <row r="214" spans="1:10" x14ac:dyDescent="0.25">
      <c r="A214" s="22" t="s">
        <v>290</v>
      </c>
      <c r="B214" s="22" t="s">
        <v>640</v>
      </c>
      <c r="C214" s="22" t="s">
        <v>293</v>
      </c>
      <c r="D214" s="22" t="s">
        <v>641</v>
      </c>
      <c r="E214" s="22" t="s">
        <v>624</v>
      </c>
      <c r="F214" s="22" t="s">
        <v>759</v>
      </c>
      <c r="G214" s="22"/>
      <c r="H214" s="22" t="s">
        <v>298</v>
      </c>
      <c r="I214" s="22"/>
      <c r="J214" s="23" t="s">
        <v>298</v>
      </c>
    </row>
    <row r="215" spans="1:10" x14ac:dyDescent="0.25">
      <c r="A215" s="22" t="s">
        <v>290</v>
      </c>
      <c r="B215" s="22" t="s">
        <v>640</v>
      </c>
      <c r="C215" s="22" t="s">
        <v>293</v>
      </c>
      <c r="D215" s="22" t="s">
        <v>641</v>
      </c>
      <c r="E215" s="22" t="s">
        <v>622</v>
      </c>
      <c r="F215" s="22" t="s">
        <v>642</v>
      </c>
      <c r="G215" s="22"/>
      <c r="H215" s="22" t="s">
        <v>298</v>
      </c>
      <c r="I215" s="22"/>
      <c r="J215" s="23" t="s">
        <v>298</v>
      </c>
    </row>
    <row r="216" spans="1:10" x14ac:dyDescent="0.25">
      <c r="A216" s="22" t="s">
        <v>290</v>
      </c>
      <c r="B216" s="22" t="s">
        <v>640</v>
      </c>
      <c r="C216" s="22" t="s">
        <v>293</v>
      </c>
      <c r="D216" s="22" t="s">
        <v>641</v>
      </c>
      <c r="E216" s="22" t="s">
        <v>760</v>
      </c>
      <c r="F216" s="22" t="s">
        <v>761</v>
      </c>
      <c r="G216" s="22"/>
      <c r="H216" s="22" t="s">
        <v>298</v>
      </c>
      <c r="I216" s="22"/>
      <c r="J216" s="23" t="s">
        <v>298</v>
      </c>
    </row>
    <row r="217" spans="1:10" x14ac:dyDescent="0.25">
      <c r="A217" s="22" t="s">
        <v>290</v>
      </c>
      <c r="B217" s="22" t="s">
        <v>640</v>
      </c>
      <c r="C217" s="22" t="s">
        <v>293</v>
      </c>
      <c r="D217" s="22" t="s">
        <v>641</v>
      </c>
      <c r="E217" s="22" t="s">
        <v>762</v>
      </c>
      <c r="F217" s="22" t="s">
        <v>763</v>
      </c>
      <c r="G217" s="22"/>
      <c r="H217" s="22" t="s">
        <v>298</v>
      </c>
      <c r="I217" s="22"/>
      <c r="J217" s="23" t="s">
        <v>298</v>
      </c>
    </row>
    <row r="218" spans="1:10" x14ac:dyDescent="0.25">
      <c r="A218" s="22" t="s">
        <v>290</v>
      </c>
      <c r="B218" s="22" t="s">
        <v>640</v>
      </c>
      <c r="C218" s="22" t="s">
        <v>309</v>
      </c>
      <c r="D218" s="22" t="s">
        <v>641</v>
      </c>
      <c r="E218" s="22" t="s">
        <v>290</v>
      </c>
      <c r="F218" s="22" t="s">
        <v>160</v>
      </c>
      <c r="G218" s="22"/>
      <c r="H218" s="22" t="s">
        <v>555</v>
      </c>
      <c r="I218" s="22"/>
      <c r="J218" s="23" t="s">
        <v>629</v>
      </c>
    </row>
    <row r="219" spans="1:10" x14ac:dyDescent="0.25">
      <c r="A219" s="22" t="s">
        <v>290</v>
      </c>
      <c r="B219" s="22" t="s">
        <v>640</v>
      </c>
      <c r="C219" s="22" t="s">
        <v>309</v>
      </c>
      <c r="D219" s="22" t="s">
        <v>641</v>
      </c>
      <c r="E219" s="22" t="s">
        <v>290</v>
      </c>
      <c r="F219" s="22" t="s">
        <v>195</v>
      </c>
      <c r="G219" s="22"/>
      <c r="H219" s="22" t="s">
        <v>555</v>
      </c>
      <c r="I219" s="22"/>
      <c r="J219" s="23" t="s">
        <v>629</v>
      </c>
    </row>
    <row r="220" spans="1:10" x14ac:dyDescent="0.25">
      <c r="A220" s="22" t="s">
        <v>290</v>
      </c>
      <c r="B220" s="22" t="s">
        <v>640</v>
      </c>
      <c r="C220" s="22" t="s">
        <v>309</v>
      </c>
      <c r="D220" s="22" t="s">
        <v>641</v>
      </c>
      <c r="E220" s="22" t="s">
        <v>290</v>
      </c>
      <c r="F220" s="22" t="s">
        <v>157</v>
      </c>
      <c r="G220" s="22"/>
      <c r="H220" s="22" t="s">
        <v>555</v>
      </c>
      <c r="I220" s="22"/>
      <c r="J220" s="23" t="s">
        <v>629</v>
      </c>
    </row>
    <row r="221" spans="1:10" x14ac:dyDescent="0.25">
      <c r="A221" s="22" t="s">
        <v>290</v>
      </c>
      <c r="B221" s="22" t="s">
        <v>640</v>
      </c>
      <c r="C221" s="22" t="s">
        <v>309</v>
      </c>
      <c r="D221" s="22" t="s">
        <v>641</v>
      </c>
      <c r="E221" s="22" t="s">
        <v>290</v>
      </c>
      <c r="F221" s="22" t="s">
        <v>197</v>
      </c>
      <c r="G221" s="22"/>
      <c r="H221" s="22" t="s">
        <v>555</v>
      </c>
      <c r="I221" s="22"/>
      <c r="J221" s="23" t="s">
        <v>629</v>
      </c>
    </row>
    <row r="222" spans="1:10" x14ac:dyDescent="0.25">
      <c r="A222" s="22" t="s">
        <v>290</v>
      </c>
      <c r="B222" s="22" t="s">
        <v>640</v>
      </c>
      <c r="C222" s="22" t="s">
        <v>309</v>
      </c>
      <c r="D222" s="22" t="s">
        <v>641</v>
      </c>
      <c r="E222" s="22" t="s">
        <v>290</v>
      </c>
      <c r="F222" s="22" t="s">
        <v>189</v>
      </c>
      <c r="G222" s="22"/>
      <c r="H222" s="22" t="s">
        <v>555</v>
      </c>
      <c r="I222" s="22"/>
      <c r="J222" s="23" t="s">
        <v>629</v>
      </c>
    </row>
    <row r="223" spans="1:10" x14ac:dyDescent="0.25">
      <c r="A223" s="22" t="s">
        <v>290</v>
      </c>
      <c r="B223" s="22" t="s">
        <v>640</v>
      </c>
      <c r="C223" s="22" t="s">
        <v>309</v>
      </c>
      <c r="D223" s="22" t="s">
        <v>641</v>
      </c>
      <c r="E223" s="22" t="s">
        <v>290</v>
      </c>
      <c r="F223" s="22" t="s">
        <v>187</v>
      </c>
      <c r="G223" s="22"/>
      <c r="H223" s="22" t="s">
        <v>555</v>
      </c>
      <c r="I223" s="22"/>
      <c r="J223" s="23" t="s">
        <v>629</v>
      </c>
    </row>
    <row r="224" spans="1:10" x14ac:dyDescent="0.25">
      <c r="A224" s="22" t="s">
        <v>290</v>
      </c>
      <c r="B224" s="22" t="s">
        <v>640</v>
      </c>
      <c r="C224" s="22" t="s">
        <v>309</v>
      </c>
      <c r="D224" s="22" t="s">
        <v>641</v>
      </c>
      <c r="E224" s="22" t="s">
        <v>290</v>
      </c>
      <c r="F224" s="22" t="s">
        <v>193</v>
      </c>
      <c r="G224" s="22"/>
      <c r="H224" s="22" t="s">
        <v>555</v>
      </c>
      <c r="I224" s="22"/>
      <c r="J224" s="23" t="s">
        <v>629</v>
      </c>
    </row>
    <row r="225" spans="1:10" x14ac:dyDescent="0.25">
      <c r="A225" s="22" t="s">
        <v>290</v>
      </c>
      <c r="B225" s="22" t="s">
        <v>640</v>
      </c>
      <c r="C225" s="22" t="s">
        <v>309</v>
      </c>
      <c r="D225" s="22" t="s">
        <v>641</v>
      </c>
      <c r="E225" s="22" t="s">
        <v>290</v>
      </c>
      <c r="F225" s="22" t="s">
        <v>191</v>
      </c>
      <c r="G225" s="22"/>
      <c r="H225" s="22" t="s">
        <v>555</v>
      </c>
      <c r="I225" s="22"/>
      <c r="J225" s="23" t="s">
        <v>629</v>
      </c>
    </row>
    <row r="226" spans="1:10" x14ac:dyDescent="0.25">
      <c r="A226" s="22" t="s">
        <v>290</v>
      </c>
      <c r="B226" s="22" t="s">
        <v>640</v>
      </c>
      <c r="C226" s="22" t="s">
        <v>309</v>
      </c>
      <c r="D226" s="22" t="s">
        <v>641</v>
      </c>
      <c r="E226" s="22" t="s">
        <v>290</v>
      </c>
      <c r="F226" s="22" t="s">
        <v>653</v>
      </c>
      <c r="G226" s="22"/>
      <c r="H226" s="22" t="s">
        <v>555</v>
      </c>
      <c r="I226" s="22"/>
      <c r="J226" s="23" t="s">
        <v>555</v>
      </c>
    </row>
    <row r="227" spans="1:10" x14ac:dyDescent="0.25">
      <c r="A227" s="22" t="s">
        <v>290</v>
      </c>
      <c r="B227" s="22" t="s">
        <v>640</v>
      </c>
      <c r="C227" s="22" t="s">
        <v>309</v>
      </c>
      <c r="D227" s="22" t="s">
        <v>641</v>
      </c>
      <c r="E227" s="22" t="s">
        <v>290</v>
      </c>
      <c r="F227" s="22" t="s">
        <v>654</v>
      </c>
      <c r="G227" s="22"/>
      <c r="H227" s="22" t="s">
        <v>555</v>
      </c>
      <c r="I227" s="22"/>
      <c r="J227" s="23" t="s">
        <v>555</v>
      </c>
    </row>
    <row r="228" spans="1:10" x14ac:dyDescent="0.25">
      <c r="A228" s="22" t="s">
        <v>290</v>
      </c>
      <c r="B228" s="22" t="s">
        <v>640</v>
      </c>
      <c r="C228" s="22" t="s">
        <v>309</v>
      </c>
      <c r="D228" s="22" t="s">
        <v>641</v>
      </c>
      <c r="E228" s="22" t="s">
        <v>290</v>
      </c>
      <c r="F228" s="22" t="s">
        <v>184</v>
      </c>
      <c r="G228" s="22"/>
      <c r="H228" s="22" t="s">
        <v>555</v>
      </c>
      <c r="I228" s="22"/>
      <c r="J228" s="23" t="s">
        <v>555</v>
      </c>
    </row>
    <row r="229" spans="1:10" x14ac:dyDescent="0.25">
      <c r="A229" s="22" t="s">
        <v>290</v>
      </c>
      <c r="B229" s="22" t="s">
        <v>640</v>
      </c>
      <c r="C229" s="22" t="s">
        <v>309</v>
      </c>
      <c r="D229" s="22" t="s">
        <v>641</v>
      </c>
      <c r="E229" s="22" t="s">
        <v>290</v>
      </c>
      <c r="F229" s="22" t="s">
        <v>72</v>
      </c>
      <c r="G229" s="22"/>
      <c r="H229" s="22" t="s">
        <v>555</v>
      </c>
      <c r="I229" s="22"/>
      <c r="J229" s="23" t="s">
        <v>555</v>
      </c>
    </row>
    <row r="230" spans="1:10" x14ac:dyDescent="0.25">
      <c r="A230" s="22" t="s">
        <v>290</v>
      </c>
      <c r="B230" s="22" t="s">
        <v>640</v>
      </c>
      <c r="C230" s="22" t="s">
        <v>309</v>
      </c>
      <c r="D230" s="22" t="s">
        <v>641</v>
      </c>
      <c r="E230" s="22" t="s">
        <v>290</v>
      </c>
      <c r="F230" s="22" t="s">
        <v>655</v>
      </c>
      <c r="G230" s="22"/>
      <c r="H230" s="22" t="s">
        <v>555</v>
      </c>
      <c r="I230" s="22"/>
      <c r="J230" s="23" t="s">
        <v>555</v>
      </c>
    </row>
    <row r="231" spans="1:10" x14ac:dyDescent="0.25">
      <c r="A231" s="22" t="s">
        <v>290</v>
      </c>
      <c r="B231" s="22" t="s">
        <v>640</v>
      </c>
      <c r="C231" s="22" t="s">
        <v>309</v>
      </c>
      <c r="D231" s="22" t="s">
        <v>641</v>
      </c>
      <c r="E231" s="22" t="s">
        <v>290</v>
      </c>
      <c r="F231" s="22" t="s">
        <v>231</v>
      </c>
      <c r="G231" s="22"/>
      <c r="H231" s="22" t="s">
        <v>555</v>
      </c>
      <c r="I231" s="22"/>
      <c r="J231" s="23" t="s">
        <v>555</v>
      </c>
    </row>
    <row r="232" spans="1:10" x14ac:dyDescent="0.25">
      <c r="A232" s="22" t="s">
        <v>290</v>
      </c>
      <c r="B232" s="22" t="s">
        <v>640</v>
      </c>
      <c r="C232" s="22" t="s">
        <v>309</v>
      </c>
      <c r="D232" s="22" t="s">
        <v>641</v>
      </c>
      <c r="E232" s="22" t="s">
        <v>290</v>
      </c>
      <c r="F232" s="22" t="s">
        <v>656</v>
      </c>
      <c r="G232" s="22"/>
      <c r="H232" s="22" t="s">
        <v>555</v>
      </c>
      <c r="I232" s="22"/>
      <c r="J232" s="23" t="s">
        <v>555</v>
      </c>
    </row>
    <row r="233" spans="1:10" x14ac:dyDescent="0.25">
      <c r="A233" s="22" t="s">
        <v>290</v>
      </c>
      <c r="B233" s="22" t="s">
        <v>640</v>
      </c>
      <c r="C233" s="22" t="s">
        <v>309</v>
      </c>
      <c r="D233" s="22" t="s">
        <v>641</v>
      </c>
      <c r="E233" s="22" t="s">
        <v>290</v>
      </c>
      <c r="F233" s="22" t="s">
        <v>657</v>
      </c>
      <c r="G233" s="22"/>
      <c r="H233" s="22" t="s">
        <v>555</v>
      </c>
      <c r="I233" s="22"/>
      <c r="J233" s="23" t="s">
        <v>555</v>
      </c>
    </row>
    <row r="234" spans="1:10" x14ac:dyDescent="0.25">
      <c r="A234" s="22" t="s">
        <v>290</v>
      </c>
      <c r="B234" s="22" t="s">
        <v>640</v>
      </c>
      <c r="C234" s="22" t="s">
        <v>309</v>
      </c>
      <c r="D234" s="22" t="s">
        <v>641</v>
      </c>
      <c r="E234" s="22" t="s">
        <v>290</v>
      </c>
      <c r="F234" s="22" t="s">
        <v>658</v>
      </c>
      <c r="G234" s="22"/>
      <c r="H234" s="22" t="s">
        <v>555</v>
      </c>
      <c r="I234" s="22"/>
      <c r="J234" s="23" t="s">
        <v>555</v>
      </c>
    </row>
    <row r="235" spans="1:10" x14ac:dyDescent="0.25">
      <c r="A235" s="22" t="s">
        <v>290</v>
      </c>
      <c r="B235" s="22" t="s">
        <v>640</v>
      </c>
      <c r="C235" s="22" t="s">
        <v>309</v>
      </c>
      <c r="D235" s="22" t="s">
        <v>641</v>
      </c>
      <c r="E235" s="22" t="s">
        <v>290</v>
      </c>
      <c r="F235" s="22" t="s">
        <v>659</v>
      </c>
      <c r="G235" s="22"/>
      <c r="H235" s="22" t="s">
        <v>555</v>
      </c>
      <c r="I235" s="22"/>
      <c r="J235" s="23" t="s">
        <v>555</v>
      </c>
    </row>
    <row r="236" spans="1:10" x14ac:dyDescent="0.25">
      <c r="A236" s="22" t="s">
        <v>290</v>
      </c>
      <c r="B236" s="22" t="s">
        <v>640</v>
      </c>
      <c r="C236" s="22" t="s">
        <v>309</v>
      </c>
      <c r="D236" s="22" t="s">
        <v>641</v>
      </c>
      <c r="E236" s="22" t="s">
        <v>290</v>
      </c>
      <c r="F236" s="22" t="s">
        <v>660</v>
      </c>
      <c r="G236" s="22"/>
      <c r="H236" s="22" t="s">
        <v>555</v>
      </c>
      <c r="I236" s="22"/>
      <c r="J236" s="23" t="s">
        <v>555</v>
      </c>
    </row>
    <row r="237" spans="1:10" x14ac:dyDescent="0.25">
      <c r="A237" s="22" t="s">
        <v>290</v>
      </c>
      <c r="B237" s="22" t="s">
        <v>640</v>
      </c>
      <c r="C237" s="22" t="s">
        <v>309</v>
      </c>
      <c r="D237" s="22" t="s">
        <v>641</v>
      </c>
      <c r="E237" s="22" t="s">
        <v>290</v>
      </c>
      <c r="F237" s="22" t="s">
        <v>661</v>
      </c>
      <c r="G237" s="22"/>
      <c r="H237" s="22" t="s">
        <v>555</v>
      </c>
      <c r="I237" s="22"/>
      <c r="J237" s="23" t="s">
        <v>555</v>
      </c>
    </row>
    <row r="238" spans="1:10" x14ac:dyDescent="0.25">
      <c r="A238" s="22" t="s">
        <v>290</v>
      </c>
      <c r="B238" s="22" t="s">
        <v>640</v>
      </c>
      <c r="C238" s="22" t="s">
        <v>309</v>
      </c>
      <c r="D238" s="22" t="s">
        <v>641</v>
      </c>
      <c r="E238" s="22" t="s">
        <v>290</v>
      </c>
      <c r="F238" s="22" t="s">
        <v>662</v>
      </c>
      <c r="G238" s="22"/>
      <c r="H238" s="22" t="s">
        <v>555</v>
      </c>
      <c r="I238" s="22"/>
      <c r="J238" s="23" t="s">
        <v>555</v>
      </c>
    </row>
    <row r="239" spans="1:10" x14ac:dyDescent="0.25">
      <c r="A239" s="22" t="s">
        <v>290</v>
      </c>
      <c r="B239" s="22" t="s">
        <v>640</v>
      </c>
      <c r="C239" s="22" t="s">
        <v>309</v>
      </c>
      <c r="D239" s="22" t="s">
        <v>641</v>
      </c>
      <c r="E239" s="22" t="s">
        <v>290</v>
      </c>
      <c r="F239" s="22" t="s">
        <v>223</v>
      </c>
      <c r="G239" s="22"/>
      <c r="H239" s="22" t="s">
        <v>555</v>
      </c>
      <c r="I239" s="22"/>
      <c r="J239" s="23" t="s">
        <v>555</v>
      </c>
    </row>
    <row r="240" spans="1:10" x14ac:dyDescent="0.25">
      <c r="A240" s="22" t="s">
        <v>290</v>
      </c>
      <c r="B240" s="22" t="s">
        <v>640</v>
      </c>
      <c r="C240" s="22" t="s">
        <v>309</v>
      </c>
      <c r="D240" s="22" t="s">
        <v>641</v>
      </c>
      <c r="E240" s="22" t="s">
        <v>290</v>
      </c>
      <c r="F240" s="22" t="s">
        <v>663</v>
      </c>
      <c r="G240" s="22"/>
      <c r="H240" s="22" t="s">
        <v>555</v>
      </c>
      <c r="I240" s="22"/>
      <c r="J240" s="23" t="s">
        <v>555</v>
      </c>
    </row>
    <row r="241" spans="1:10" x14ac:dyDescent="0.25">
      <c r="A241" s="22" t="s">
        <v>290</v>
      </c>
      <c r="B241" s="22" t="s">
        <v>640</v>
      </c>
      <c r="C241" s="22" t="s">
        <v>309</v>
      </c>
      <c r="D241" s="22" t="s">
        <v>641</v>
      </c>
      <c r="E241" s="22" t="s">
        <v>290</v>
      </c>
      <c r="F241" s="22" t="s">
        <v>225</v>
      </c>
      <c r="G241" s="22"/>
      <c r="H241" s="22" t="s">
        <v>555</v>
      </c>
      <c r="I241" s="22"/>
      <c r="J241" s="23" t="s">
        <v>555</v>
      </c>
    </row>
    <row r="242" spans="1:10" x14ac:dyDescent="0.25">
      <c r="A242" s="22" t="s">
        <v>290</v>
      </c>
      <c r="B242" s="22" t="s">
        <v>640</v>
      </c>
      <c r="C242" s="22" t="s">
        <v>309</v>
      </c>
      <c r="D242" s="22" t="s">
        <v>641</v>
      </c>
      <c r="E242" s="22" t="s">
        <v>290</v>
      </c>
      <c r="F242" s="22" t="s">
        <v>664</v>
      </c>
      <c r="G242" s="22"/>
      <c r="H242" s="22" t="s">
        <v>555</v>
      </c>
      <c r="I242" s="22"/>
      <c r="J242" s="23" t="s">
        <v>555</v>
      </c>
    </row>
    <row r="243" spans="1:10" x14ac:dyDescent="0.25">
      <c r="A243" s="22" t="s">
        <v>290</v>
      </c>
      <c r="B243" s="22" t="s">
        <v>640</v>
      </c>
      <c r="C243" s="22" t="s">
        <v>309</v>
      </c>
      <c r="D243" s="22" t="s">
        <v>641</v>
      </c>
      <c r="E243" s="22" t="s">
        <v>290</v>
      </c>
      <c r="F243" s="22" t="s">
        <v>167</v>
      </c>
      <c r="G243" s="22"/>
      <c r="H243" s="22" t="s">
        <v>555</v>
      </c>
      <c r="I243" s="22"/>
      <c r="J243" s="23" t="s">
        <v>555</v>
      </c>
    </row>
    <row r="244" spans="1:10" x14ac:dyDescent="0.25">
      <c r="A244" s="22" t="s">
        <v>290</v>
      </c>
      <c r="B244" s="22" t="s">
        <v>640</v>
      </c>
      <c r="C244" s="22" t="s">
        <v>309</v>
      </c>
      <c r="D244" s="22" t="s">
        <v>641</v>
      </c>
      <c r="E244" s="22" t="s">
        <v>290</v>
      </c>
      <c r="F244" s="22" t="s">
        <v>665</v>
      </c>
      <c r="G244" s="22"/>
      <c r="H244" s="22" t="s">
        <v>555</v>
      </c>
      <c r="I244" s="22"/>
      <c r="J244" s="23" t="s">
        <v>555</v>
      </c>
    </row>
    <row r="245" spans="1:10" x14ac:dyDescent="0.25">
      <c r="A245" s="22" t="s">
        <v>290</v>
      </c>
      <c r="B245" s="22" t="s">
        <v>640</v>
      </c>
      <c r="C245" s="22" t="s">
        <v>309</v>
      </c>
      <c r="D245" s="22" t="s">
        <v>641</v>
      </c>
      <c r="E245" s="22" t="s">
        <v>290</v>
      </c>
      <c r="F245" s="22" t="s">
        <v>666</v>
      </c>
      <c r="G245" s="22"/>
      <c r="H245" s="22" t="s">
        <v>555</v>
      </c>
      <c r="I245" s="22"/>
      <c r="J245" s="23" t="s">
        <v>555</v>
      </c>
    </row>
    <row r="246" spans="1:10" x14ac:dyDescent="0.25">
      <c r="A246" s="22" t="s">
        <v>290</v>
      </c>
      <c r="B246" s="22" t="s">
        <v>640</v>
      </c>
      <c r="C246" s="22" t="s">
        <v>309</v>
      </c>
      <c r="D246" s="22" t="s">
        <v>641</v>
      </c>
      <c r="E246" s="22" t="s">
        <v>290</v>
      </c>
      <c r="F246" s="22" t="s">
        <v>667</v>
      </c>
      <c r="G246" s="22"/>
      <c r="H246" s="22" t="s">
        <v>555</v>
      </c>
      <c r="I246" s="22"/>
      <c r="J246" s="23" t="s">
        <v>555</v>
      </c>
    </row>
    <row r="247" spans="1:10" x14ac:dyDescent="0.25">
      <c r="A247" s="22" t="s">
        <v>290</v>
      </c>
      <c r="B247" s="22" t="s">
        <v>640</v>
      </c>
      <c r="C247" s="22" t="s">
        <v>309</v>
      </c>
      <c r="D247" s="22" t="s">
        <v>641</v>
      </c>
      <c r="E247" s="22" t="s">
        <v>290</v>
      </c>
      <c r="F247" s="22" t="s">
        <v>68</v>
      </c>
      <c r="G247" s="22"/>
      <c r="H247" s="22" t="s">
        <v>555</v>
      </c>
      <c r="I247" s="22"/>
      <c r="J247" s="23" t="s">
        <v>555</v>
      </c>
    </row>
    <row r="248" spans="1:10" x14ac:dyDescent="0.25">
      <c r="A248" s="22" t="s">
        <v>290</v>
      </c>
      <c r="B248" s="22" t="s">
        <v>640</v>
      </c>
      <c r="C248" s="22" t="s">
        <v>309</v>
      </c>
      <c r="D248" s="22" t="s">
        <v>641</v>
      </c>
      <c r="E248" s="22" t="s">
        <v>290</v>
      </c>
      <c r="F248" s="22" t="s">
        <v>668</v>
      </c>
      <c r="G248" s="22"/>
      <c r="H248" s="22" t="s">
        <v>555</v>
      </c>
      <c r="I248" s="22"/>
      <c r="J248" s="23" t="s">
        <v>555</v>
      </c>
    </row>
    <row r="249" spans="1:10" x14ac:dyDescent="0.25">
      <c r="A249" s="22" t="s">
        <v>290</v>
      </c>
      <c r="B249" s="22" t="s">
        <v>640</v>
      </c>
      <c r="C249" s="22" t="s">
        <v>309</v>
      </c>
      <c r="D249" s="22" t="s">
        <v>641</v>
      </c>
      <c r="E249" s="22" t="s">
        <v>290</v>
      </c>
      <c r="F249" s="22" t="s">
        <v>669</v>
      </c>
      <c r="G249" s="22"/>
      <c r="H249" s="22" t="s">
        <v>555</v>
      </c>
      <c r="I249" s="22"/>
      <c r="J249" s="23" t="s">
        <v>555</v>
      </c>
    </row>
    <row r="250" spans="1:10" x14ac:dyDescent="0.25">
      <c r="A250" s="22" t="s">
        <v>290</v>
      </c>
      <c r="B250" s="22" t="s">
        <v>640</v>
      </c>
      <c r="C250" s="22" t="s">
        <v>309</v>
      </c>
      <c r="D250" s="22" t="s">
        <v>641</v>
      </c>
      <c r="E250" s="22" t="s">
        <v>290</v>
      </c>
      <c r="F250" s="22" t="s">
        <v>227</v>
      </c>
      <c r="G250" s="22"/>
      <c r="H250" s="22" t="s">
        <v>555</v>
      </c>
      <c r="I250" s="22"/>
      <c r="J250" s="23" t="s">
        <v>555</v>
      </c>
    </row>
    <row r="251" spans="1:10" x14ac:dyDescent="0.25">
      <c r="A251" s="22" t="s">
        <v>290</v>
      </c>
      <c r="B251" s="22" t="s">
        <v>640</v>
      </c>
      <c r="C251" s="22" t="s">
        <v>309</v>
      </c>
      <c r="D251" s="22" t="s">
        <v>641</v>
      </c>
      <c r="E251" s="22" t="s">
        <v>290</v>
      </c>
      <c r="F251" s="22" t="s">
        <v>670</v>
      </c>
      <c r="G251" s="22"/>
      <c r="H251" s="22" t="s">
        <v>555</v>
      </c>
      <c r="I251" s="22"/>
      <c r="J251" s="23" t="s">
        <v>555</v>
      </c>
    </row>
    <row r="252" spans="1:10" x14ac:dyDescent="0.25">
      <c r="A252" s="22" t="s">
        <v>290</v>
      </c>
      <c r="B252" s="22" t="s">
        <v>640</v>
      </c>
      <c r="C252" s="22" t="s">
        <v>309</v>
      </c>
      <c r="D252" s="22" t="s">
        <v>641</v>
      </c>
      <c r="E252" s="22" t="s">
        <v>290</v>
      </c>
      <c r="F252" s="22" t="s">
        <v>81</v>
      </c>
      <c r="G252" s="22"/>
      <c r="H252" s="22" t="s">
        <v>555</v>
      </c>
      <c r="I252" s="22"/>
      <c r="J252" s="23" t="s">
        <v>555</v>
      </c>
    </row>
    <row r="253" spans="1:10" x14ac:dyDescent="0.25">
      <c r="A253" s="22" t="s">
        <v>290</v>
      </c>
      <c r="B253" s="22" t="s">
        <v>640</v>
      </c>
      <c r="C253" s="22" t="s">
        <v>309</v>
      </c>
      <c r="D253" s="22" t="s">
        <v>641</v>
      </c>
      <c r="E253" s="22" t="s">
        <v>290</v>
      </c>
      <c r="F253" s="22" t="s">
        <v>671</v>
      </c>
      <c r="G253" s="22"/>
      <c r="H253" s="22" t="s">
        <v>555</v>
      </c>
      <c r="I253" s="22"/>
      <c r="J253" s="23" t="s">
        <v>555</v>
      </c>
    </row>
    <row r="254" spans="1:10" x14ac:dyDescent="0.25">
      <c r="A254" s="22" t="s">
        <v>290</v>
      </c>
      <c r="B254" s="22" t="s">
        <v>640</v>
      </c>
      <c r="C254" s="22" t="s">
        <v>309</v>
      </c>
      <c r="D254" s="22" t="s">
        <v>641</v>
      </c>
      <c r="E254" s="22" t="s">
        <v>290</v>
      </c>
      <c r="F254" s="22" t="s">
        <v>173</v>
      </c>
      <c r="G254" s="22"/>
      <c r="H254" s="22" t="s">
        <v>555</v>
      </c>
      <c r="I254" s="22"/>
      <c r="J254" s="23" t="s">
        <v>555</v>
      </c>
    </row>
    <row r="255" spans="1:10" x14ac:dyDescent="0.25">
      <c r="A255" s="22" t="s">
        <v>290</v>
      </c>
      <c r="B255" s="22" t="s">
        <v>640</v>
      </c>
      <c r="C255" s="22" t="s">
        <v>309</v>
      </c>
      <c r="D255" s="22" t="s">
        <v>641</v>
      </c>
      <c r="E255" s="22" t="s">
        <v>290</v>
      </c>
      <c r="F255" s="22" t="s">
        <v>672</v>
      </c>
      <c r="G255" s="22"/>
      <c r="H255" s="22" t="s">
        <v>555</v>
      </c>
      <c r="I255" s="22"/>
      <c r="J255" s="23" t="s">
        <v>555</v>
      </c>
    </row>
    <row r="256" spans="1:10" x14ac:dyDescent="0.25">
      <c r="A256" s="22" t="s">
        <v>290</v>
      </c>
      <c r="B256" s="22" t="s">
        <v>640</v>
      </c>
      <c r="C256" s="22" t="s">
        <v>309</v>
      </c>
      <c r="D256" s="22" t="s">
        <v>641</v>
      </c>
      <c r="E256" s="22" t="s">
        <v>290</v>
      </c>
      <c r="F256" s="22" t="s">
        <v>137</v>
      </c>
      <c r="G256" s="22"/>
      <c r="H256" s="22" t="s">
        <v>555</v>
      </c>
      <c r="I256" s="22"/>
      <c r="J256" s="23" t="s">
        <v>555</v>
      </c>
    </row>
    <row r="257" spans="1:10" x14ac:dyDescent="0.25">
      <c r="A257" s="22" t="s">
        <v>290</v>
      </c>
      <c r="B257" s="22" t="s">
        <v>640</v>
      </c>
      <c r="C257" s="22" t="s">
        <v>309</v>
      </c>
      <c r="D257" s="22" t="s">
        <v>641</v>
      </c>
      <c r="E257" s="22" t="s">
        <v>290</v>
      </c>
      <c r="F257" s="22" t="s">
        <v>181</v>
      </c>
      <c r="G257" s="22"/>
      <c r="H257" s="22" t="s">
        <v>555</v>
      </c>
      <c r="I257" s="22"/>
      <c r="J257" s="23" t="s">
        <v>555</v>
      </c>
    </row>
    <row r="258" spans="1:10" x14ac:dyDescent="0.25">
      <c r="A258" s="22" t="s">
        <v>290</v>
      </c>
      <c r="B258" s="22" t="s">
        <v>640</v>
      </c>
      <c r="C258" s="22" t="s">
        <v>309</v>
      </c>
      <c r="D258" s="22" t="s">
        <v>641</v>
      </c>
      <c r="E258" s="22" t="s">
        <v>290</v>
      </c>
      <c r="F258" s="22" t="s">
        <v>673</v>
      </c>
      <c r="G258" s="22"/>
      <c r="H258" s="22" t="s">
        <v>555</v>
      </c>
      <c r="I258" s="22"/>
      <c r="J258" s="23" t="s">
        <v>555</v>
      </c>
    </row>
    <row r="259" spans="1:10" x14ac:dyDescent="0.25">
      <c r="A259" s="22" t="s">
        <v>290</v>
      </c>
      <c r="B259" s="22" t="s">
        <v>640</v>
      </c>
      <c r="C259" s="22" t="s">
        <v>309</v>
      </c>
      <c r="D259" s="22" t="s">
        <v>641</v>
      </c>
      <c r="E259" s="22" t="s">
        <v>290</v>
      </c>
      <c r="F259" s="22" t="s">
        <v>674</v>
      </c>
      <c r="G259" s="22"/>
      <c r="H259" s="22" t="s">
        <v>555</v>
      </c>
      <c r="I259" s="22"/>
      <c r="J259" s="23" t="s">
        <v>555</v>
      </c>
    </row>
    <row r="260" spans="1:10" x14ac:dyDescent="0.25">
      <c r="A260" s="22" t="s">
        <v>290</v>
      </c>
      <c r="B260" s="22" t="s">
        <v>640</v>
      </c>
      <c r="C260" s="22" t="s">
        <v>309</v>
      </c>
      <c r="D260" s="22" t="s">
        <v>641</v>
      </c>
      <c r="E260" s="22" t="s">
        <v>290</v>
      </c>
      <c r="F260" s="22" t="s">
        <v>675</v>
      </c>
      <c r="G260" s="22"/>
      <c r="H260" s="22" t="s">
        <v>627</v>
      </c>
      <c r="I260" s="22"/>
      <c r="J260" s="23" t="s">
        <v>555</v>
      </c>
    </row>
    <row r="261" spans="1:10" x14ac:dyDescent="0.25">
      <c r="A261" s="22" t="s">
        <v>290</v>
      </c>
      <c r="B261" s="22" t="s">
        <v>640</v>
      </c>
      <c r="C261" s="22" t="s">
        <v>309</v>
      </c>
      <c r="D261" s="22" t="s">
        <v>641</v>
      </c>
      <c r="E261" s="22" t="s">
        <v>290</v>
      </c>
      <c r="F261" s="22" t="s">
        <v>22</v>
      </c>
      <c r="G261" s="22"/>
      <c r="H261" s="22" t="s">
        <v>555</v>
      </c>
      <c r="I261" s="22"/>
      <c r="J261" s="23" t="s">
        <v>555</v>
      </c>
    </row>
    <row r="262" spans="1:10" x14ac:dyDescent="0.25">
      <c r="A262" s="22" t="s">
        <v>290</v>
      </c>
      <c r="B262" s="22" t="s">
        <v>640</v>
      </c>
      <c r="C262" s="22" t="s">
        <v>309</v>
      </c>
      <c r="D262" s="22" t="s">
        <v>641</v>
      </c>
      <c r="E262" s="22" t="s">
        <v>290</v>
      </c>
      <c r="F262" s="22" t="s">
        <v>33</v>
      </c>
      <c r="G262" s="22"/>
      <c r="H262" s="22" t="s">
        <v>627</v>
      </c>
      <c r="I262" s="22"/>
      <c r="J262" s="23" t="s">
        <v>627</v>
      </c>
    </row>
    <row r="263" spans="1:10" x14ac:dyDescent="0.25">
      <c r="A263" s="22" t="s">
        <v>290</v>
      </c>
      <c r="B263" s="22" t="s">
        <v>640</v>
      </c>
      <c r="C263" s="22" t="s">
        <v>309</v>
      </c>
      <c r="D263" s="22" t="s">
        <v>641</v>
      </c>
      <c r="E263" s="22" t="s">
        <v>290</v>
      </c>
      <c r="F263" s="22" t="s">
        <v>676</v>
      </c>
      <c r="G263" s="22"/>
      <c r="H263" s="22" t="s">
        <v>555</v>
      </c>
      <c r="I263" s="22"/>
      <c r="J263" s="23" t="s">
        <v>555</v>
      </c>
    </row>
    <row r="264" spans="1:10" x14ac:dyDescent="0.25">
      <c r="A264" s="22" t="s">
        <v>290</v>
      </c>
      <c r="B264" s="22" t="s">
        <v>640</v>
      </c>
      <c r="C264" s="22" t="s">
        <v>309</v>
      </c>
      <c r="D264" s="22" t="s">
        <v>641</v>
      </c>
      <c r="E264" s="22" t="s">
        <v>290</v>
      </c>
      <c r="F264" s="22" t="s">
        <v>677</v>
      </c>
      <c r="G264" s="22"/>
      <c r="H264" s="22" t="s">
        <v>555</v>
      </c>
      <c r="I264" s="22"/>
      <c r="J264" s="23" t="s">
        <v>555</v>
      </c>
    </row>
    <row r="265" spans="1:10" x14ac:dyDescent="0.25">
      <c r="A265" s="22" t="s">
        <v>290</v>
      </c>
      <c r="B265" s="22" t="s">
        <v>640</v>
      </c>
      <c r="C265" s="22" t="s">
        <v>309</v>
      </c>
      <c r="D265" s="22" t="s">
        <v>641</v>
      </c>
      <c r="E265" s="22" t="s">
        <v>290</v>
      </c>
      <c r="F265" s="22" t="s">
        <v>678</v>
      </c>
      <c r="G265" s="22"/>
      <c r="H265" s="22" t="s">
        <v>555</v>
      </c>
      <c r="I265" s="22"/>
      <c r="J265" s="23" t="s">
        <v>555</v>
      </c>
    </row>
    <row r="266" spans="1:10" x14ac:dyDescent="0.25">
      <c r="A266" s="22" t="s">
        <v>290</v>
      </c>
      <c r="B266" s="22" t="s">
        <v>640</v>
      </c>
      <c r="C266" s="22" t="s">
        <v>309</v>
      </c>
      <c r="D266" s="22" t="s">
        <v>641</v>
      </c>
      <c r="E266" s="22" t="s">
        <v>290</v>
      </c>
      <c r="F266" s="22" t="s">
        <v>205</v>
      </c>
      <c r="G266" s="22"/>
      <c r="H266" s="22" t="s">
        <v>555</v>
      </c>
      <c r="I266" s="22"/>
      <c r="J266" s="23" t="s">
        <v>555</v>
      </c>
    </row>
    <row r="267" spans="1:10" x14ac:dyDescent="0.25">
      <c r="A267" s="22" t="s">
        <v>290</v>
      </c>
      <c r="B267" s="22" t="s">
        <v>640</v>
      </c>
      <c r="C267" s="22" t="s">
        <v>309</v>
      </c>
      <c r="D267" s="22" t="s">
        <v>641</v>
      </c>
      <c r="E267" s="22" t="s">
        <v>290</v>
      </c>
      <c r="F267" s="22" t="s">
        <v>199</v>
      </c>
      <c r="G267" s="22"/>
      <c r="H267" s="22" t="s">
        <v>555</v>
      </c>
      <c r="I267" s="22"/>
      <c r="J267" s="23" t="s">
        <v>555</v>
      </c>
    </row>
    <row r="268" spans="1:10" x14ac:dyDescent="0.25">
      <c r="A268" s="22" t="s">
        <v>290</v>
      </c>
      <c r="B268" s="22" t="s">
        <v>640</v>
      </c>
      <c r="C268" s="22" t="s">
        <v>309</v>
      </c>
      <c r="D268" s="22" t="s">
        <v>641</v>
      </c>
      <c r="E268" s="22" t="s">
        <v>290</v>
      </c>
      <c r="F268" s="22" t="s">
        <v>201</v>
      </c>
      <c r="G268" s="22"/>
      <c r="H268" s="22" t="s">
        <v>555</v>
      </c>
      <c r="I268" s="22"/>
      <c r="J268" s="23" t="s">
        <v>555</v>
      </c>
    </row>
    <row r="269" spans="1:10" x14ac:dyDescent="0.25">
      <c r="A269" s="22" t="s">
        <v>290</v>
      </c>
      <c r="B269" s="22" t="s">
        <v>640</v>
      </c>
      <c r="C269" s="22" t="s">
        <v>309</v>
      </c>
      <c r="D269" s="22" t="s">
        <v>641</v>
      </c>
      <c r="E269" s="22" t="s">
        <v>290</v>
      </c>
      <c r="F269" s="22" t="s">
        <v>679</v>
      </c>
      <c r="G269" s="22"/>
      <c r="H269" s="22" t="s">
        <v>555</v>
      </c>
      <c r="I269" s="22"/>
      <c r="J269" s="23" t="s">
        <v>555</v>
      </c>
    </row>
    <row r="270" spans="1:10" x14ac:dyDescent="0.25">
      <c r="A270" s="22" t="s">
        <v>290</v>
      </c>
      <c r="B270" s="22" t="s">
        <v>640</v>
      </c>
      <c r="C270" s="22" t="s">
        <v>309</v>
      </c>
      <c r="D270" s="22" t="s">
        <v>641</v>
      </c>
      <c r="E270" s="22" t="s">
        <v>290</v>
      </c>
      <c r="F270" s="22" t="s">
        <v>46</v>
      </c>
      <c r="G270" s="22"/>
      <c r="H270" s="22" t="s">
        <v>555</v>
      </c>
      <c r="I270" s="22"/>
      <c r="J270" s="23" t="s">
        <v>555</v>
      </c>
    </row>
    <row r="271" spans="1:10" x14ac:dyDescent="0.25">
      <c r="A271" s="22" t="s">
        <v>290</v>
      </c>
      <c r="B271" s="22" t="s">
        <v>640</v>
      </c>
      <c r="C271" s="22" t="s">
        <v>309</v>
      </c>
      <c r="D271" s="22" t="s">
        <v>641</v>
      </c>
      <c r="E271" s="22" t="s">
        <v>290</v>
      </c>
      <c r="F271" s="22" t="s">
        <v>680</v>
      </c>
      <c r="G271" s="22"/>
      <c r="H271" s="22" t="s">
        <v>555</v>
      </c>
      <c r="I271" s="22"/>
      <c r="J271" s="23" t="s">
        <v>555</v>
      </c>
    </row>
    <row r="272" spans="1:10" x14ac:dyDescent="0.25">
      <c r="A272" s="22" t="s">
        <v>290</v>
      </c>
      <c r="B272" s="22" t="s">
        <v>640</v>
      </c>
      <c r="C272" s="22" t="s">
        <v>309</v>
      </c>
      <c r="D272" s="22" t="s">
        <v>641</v>
      </c>
      <c r="E272" s="22" t="s">
        <v>290</v>
      </c>
      <c r="F272" s="22" t="s">
        <v>681</v>
      </c>
      <c r="G272" s="22"/>
      <c r="H272" s="22" t="s">
        <v>555</v>
      </c>
      <c r="I272" s="22"/>
      <c r="J272" s="23" t="s">
        <v>555</v>
      </c>
    </row>
    <row r="273" spans="1:10" x14ac:dyDescent="0.25">
      <c r="A273" s="22" t="s">
        <v>290</v>
      </c>
      <c r="B273" s="22" t="s">
        <v>640</v>
      </c>
      <c r="C273" s="22" t="s">
        <v>309</v>
      </c>
      <c r="D273" s="22" t="s">
        <v>641</v>
      </c>
      <c r="E273" s="22" t="s">
        <v>290</v>
      </c>
      <c r="F273" s="22" t="s">
        <v>682</v>
      </c>
      <c r="G273" s="22"/>
      <c r="H273" s="22" t="s">
        <v>555</v>
      </c>
      <c r="I273" s="22"/>
      <c r="J273" s="23" t="s">
        <v>555</v>
      </c>
    </row>
    <row r="274" spans="1:10" x14ac:dyDescent="0.25">
      <c r="A274" s="22" t="s">
        <v>290</v>
      </c>
      <c r="B274" s="22" t="s">
        <v>640</v>
      </c>
      <c r="C274" s="22" t="s">
        <v>309</v>
      </c>
      <c r="D274" s="22" t="s">
        <v>641</v>
      </c>
      <c r="E274" s="22" t="s">
        <v>290</v>
      </c>
      <c r="F274" s="22" t="s">
        <v>683</v>
      </c>
      <c r="G274" s="22"/>
      <c r="H274" s="22" t="s">
        <v>555</v>
      </c>
      <c r="I274" s="22"/>
      <c r="J274" s="23" t="s">
        <v>555</v>
      </c>
    </row>
    <row r="275" spans="1:10" x14ac:dyDescent="0.25">
      <c r="A275" s="22" t="s">
        <v>290</v>
      </c>
      <c r="B275" s="22" t="s">
        <v>640</v>
      </c>
      <c r="C275" s="22" t="s">
        <v>309</v>
      </c>
      <c r="D275" s="22" t="s">
        <v>641</v>
      </c>
      <c r="E275" s="22" t="s">
        <v>290</v>
      </c>
      <c r="F275" s="22" t="s">
        <v>684</v>
      </c>
      <c r="G275" s="22"/>
      <c r="H275" s="22" t="s">
        <v>555</v>
      </c>
      <c r="I275" s="22"/>
      <c r="J275" s="23" t="s">
        <v>555</v>
      </c>
    </row>
    <row r="276" spans="1:10" x14ac:dyDescent="0.25">
      <c r="A276" s="22" t="s">
        <v>290</v>
      </c>
      <c r="B276" s="22" t="s">
        <v>640</v>
      </c>
      <c r="C276" s="22" t="s">
        <v>309</v>
      </c>
      <c r="D276" s="22" t="s">
        <v>641</v>
      </c>
      <c r="E276" s="22" t="s">
        <v>290</v>
      </c>
      <c r="F276" s="22" t="s">
        <v>685</v>
      </c>
      <c r="G276" s="22"/>
      <c r="H276" s="22" t="s">
        <v>555</v>
      </c>
      <c r="I276" s="22"/>
      <c r="J276" s="23" t="s">
        <v>555</v>
      </c>
    </row>
    <row r="277" spans="1:10" x14ac:dyDescent="0.25">
      <c r="A277" s="22" t="s">
        <v>290</v>
      </c>
      <c r="B277" s="22" t="s">
        <v>640</v>
      </c>
      <c r="C277" s="22" t="s">
        <v>309</v>
      </c>
      <c r="D277" s="22" t="s">
        <v>641</v>
      </c>
      <c r="E277" s="22" t="s">
        <v>290</v>
      </c>
      <c r="F277" s="22" t="s">
        <v>686</v>
      </c>
      <c r="G277" s="22"/>
      <c r="H277" s="22" t="s">
        <v>555</v>
      </c>
      <c r="I277" s="22"/>
      <c r="J277" s="23" t="s">
        <v>555</v>
      </c>
    </row>
    <row r="278" spans="1:10" x14ac:dyDescent="0.25">
      <c r="A278" s="22" t="s">
        <v>290</v>
      </c>
      <c r="B278" s="22" t="s">
        <v>640</v>
      </c>
      <c r="C278" s="22" t="s">
        <v>309</v>
      </c>
      <c r="D278" s="22" t="s">
        <v>641</v>
      </c>
      <c r="E278" s="22" t="s">
        <v>290</v>
      </c>
      <c r="F278" s="22" t="s">
        <v>687</v>
      </c>
      <c r="G278" s="22"/>
      <c r="H278" s="22" t="s">
        <v>555</v>
      </c>
      <c r="I278" s="22"/>
      <c r="J278" s="23" t="s">
        <v>555</v>
      </c>
    </row>
    <row r="279" spans="1:10" x14ac:dyDescent="0.25">
      <c r="A279" s="22" t="s">
        <v>290</v>
      </c>
      <c r="B279" s="22" t="s">
        <v>640</v>
      </c>
      <c r="C279" s="22" t="s">
        <v>309</v>
      </c>
      <c r="D279" s="22" t="s">
        <v>641</v>
      </c>
      <c r="E279" s="22" t="s">
        <v>290</v>
      </c>
      <c r="F279" s="22" t="s">
        <v>101</v>
      </c>
      <c r="G279" s="22"/>
      <c r="H279" s="22" t="s">
        <v>555</v>
      </c>
      <c r="I279" s="22"/>
      <c r="J279" s="23" t="s">
        <v>555</v>
      </c>
    </row>
    <row r="280" spans="1:10" x14ac:dyDescent="0.25">
      <c r="A280" s="22" t="s">
        <v>290</v>
      </c>
      <c r="B280" s="22" t="s">
        <v>640</v>
      </c>
      <c r="C280" s="22" t="s">
        <v>309</v>
      </c>
      <c r="D280" s="22" t="s">
        <v>641</v>
      </c>
      <c r="E280" s="22" t="s">
        <v>290</v>
      </c>
      <c r="F280" s="22" t="s">
        <v>203</v>
      </c>
      <c r="G280" s="22"/>
      <c r="H280" s="22" t="s">
        <v>555</v>
      </c>
      <c r="I280" s="22"/>
      <c r="J280" s="23" t="s">
        <v>555</v>
      </c>
    </row>
    <row r="281" spans="1:10" x14ac:dyDescent="0.25">
      <c r="A281" s="22" t="s">
        <v>290</v>
      </c>
      <c r="B281" s="22" t="s">
        <v>640</v>
      </c>
      <c r="C281" s="22" t="s">
        <v>309</v>
      </c>
      <c r="D281" s="22" t="s">
        <v>641</v>
      </c>
      <c r="E281" s="22" t="s">
        <v>290</v>
      </c>
      <c r="F281" s="22" t="s">
        <v>115</v>
      </c>
      <c r="G281" s="22"/>
      <c r="H281" s="22" t="s">
        <v>555</v>
      </c>
      <c r="I281" s="22"/>
      <c r="J281" s="23" t="s">
        <v>555</v>
      </c>
    </row>
    <row r="282" spans="1:10" x14ac:dyDescent="0.25">
      <c r="A282" s="22" t="s">
        <v>290</v>
      </c>
      <c r="B282" s="22" t="s">
        <v>640</v>
      </c>
      <c r="C282" s="22" t="s">
        <v>309</v>
      </c>
      <c r="D282" s="22" t="s">
        <v>641</v>
      </c>
      <c r="E282" s="22" t="s">
        <v>290</v>
      </c>
      <c r="F282" s="22" t="s">
        <v>688</v>
      </c>
      <c r="G282" s="22"/>
      <c r="H282" s="22" t="s">
        <v>555</v>
      </c>
      <c r="I282" s="22"/>
      <c r="J282" s="23" t="s">
        <v>555</v>
      </c>
    </row>
    <row r="283" spans="1:10" x14ac:dyDescent="0.25">
      <c r="A283" s="22" t="s">
        <v>290</v>
      </c>
      <c r="B283" s="22" t="s">
        <v>640</v>
      </c>
      <c r="C283" s="22" t="s">
        <v>309</v>
      </c>
      <c r="D283" s="22" t="s">
        <v>641</v>
      </c>
      <c r="E283" s="22" t="s">
        <v>290</v>
      </c>
      <c r="F283" s="22" t="s">
        <v>689</v>
      </c>
      <c r="G283" s="22"/>
      <c r="H283" s="22" t="s">
        <v>555</v>
      </c>
      <c r="I283" s="22"/>
      <c r="J283" s="23" t="s">
        <v>555</v>
      </c>
    </row>
    <row r="284" spans="1:10" x14ac:dyDescent="0.25">
      <c r="A284" s="22" t="s">
        <v>290</v>
      </c>
      <c r="B284" s="22" t="s">
        <v>640</v>
      </c>
      <c r="C284" s="22" t="s">
        <v>309</v>
      </c>
      <c r="D284" s="22" t="s">
        <v>641</v>
      </c>
      <c r="E284" s="22" t="s">
        <v>290</v>
      </c>
      <c r="F284" s="22" t="s">
        <v>690</v>
      </c>
      <c r="G284" s="22"/>
      <c r="H284" s="22" t="s">
        <v>555</v>
      </c>
      <c r="I284" s="22"/>
      <c r="J284" s="23" t="s">
        <v>555</v>
      </c>
    </row>
    <row r="285" spans="1:10" x14ac:dyDescent="0.25">
      <c r="A285" s="22" t="s">
        <v>290</v>
      </c>
      <c r="B285" s="22" t="s">
        <v>640</v>
      </c>
      <c r="C285" s="22" t="s">
        <v>309</v>
      </c>
      <c r="D285" s="22" t="s">
        <v>641</v>
      </c>
      <c r="E285" s="22" t="s">
        <v>290</v>
      </c>
      <c r="F285" s="22" t="s">
        <v>691</v>
      </c>
      <c r="G285" s="22"/>
      <c r="H285" s="22" t="s">
        <v>555</v>
      </c>
      <c r="I285" s="22"/>
      <c r="J285" s="23" t="s">
        <v>555</v>
      </c>
    </row>
    <row r="286" spans="1:10" x14ac:dyDescent="0.25">
      <c r="A286" s="22" t="s">
        <v>290</v>
      </c>
      <c r="B286" s="22" t="s">
        <v>640</v>
      </c>
      <c r="C286" s="22" t="s">
        <v>309</v>
      </c>
      <c r="D286" s="22" t="s">
        <v>641</v>
      </c>
      <c r="E286" s="22" t="s">
        <v>290</v>
      </c>
      <c r="F286" s="22" t="s">
        <v>692</v>
      </c>
      <c r="G286" s="22"/>
      <c r="H286" s="22" t="s">
        <v>555</v>
      </c>
      <c r="I286" s="22"/>
      <c r="J286" s="23" t="s">
        <v>555</v>
      </c>
    </row>
    <row r="287" spans="1:10" x14ac:dyDescent="0.25">
      <c r="A287" s="22" t="s">
        <v>290</v>
      </c>
      <c r="B287" s="22" t="s">
        <v>640</v>
      </c>
      <c r="C287" s="22" t="s">
        <v>309</v>
      </c>
      <c r="D287" s="22" t="s">
        <v>641</v>
      </c>
      <c r="E287" s="22" t="s">
        <v>290</v>
      </c>
      <c r="F287" s="22" t="s">
        <v>147</v>
      </c>
      <c r="G287" s="22"/>
      <c r="H287" s="22" t="s">
        <v>555</v>
      </c>
      <c r="I287" s="22"/>
      <c r="J287" s="23" t="s">
        <v>555</v>
      </c>
    </row>
    <row r="288" spans="1:10" x14ac:dyDescent="0.25">
      <c r="A288" s="22" t="s">
        <v>290</v>
      </c>
      <c r="B288" s="22" t="s">
        <v>640</v>
      </c>
      <c r="C288" s="22" t="s">
        <v>309</v>
      </c>
      <c r="D288" s="22" t="s">
        <v>641</v>
      </c>
      <c r="E288" s="22" t="s">
        <v>290</v>
      </c>
      <c r="F288" s="22" t="s">
        <v>693</v>
      </c>
      <c r="G288" s="22"/>
      <c r="H288" s="22" t="s">
        <v>627</v>
      </c>
      <c r="I288" s="22"/>
      <c r="J288" s="23" t="s">
        <v>627</v>
      </c>
    </row>
    <row r="289" spans="1:10" x14ac:dyDescent="0.25">
      <c r="A289" s="22" t="s">
        <v>290</v>
      </c>
      <c r="B289" s="22" t="s">
        <v>640</v>
      </c>
      <c r="C289" s="22" t="s">
        <v>309</v>
      </c>
      <c r="D289" s="22" t="s">
        <v>641</v>
      </c>
      <c r="E289" s="22" t="s">
        <v>290</v>
      </c>
      <c r="F289" s="22" t="s">
        <v>80</v>
      </c>
      <c r="G289" s="22"/>
      <c r="H289" s="22" t="s">
        <v>627</v>
      </c>
      <c r="I289" s="22"/>
      <c r="J289" s="23" t="s">
        <v>627</v>
      </c>
    </row>
    <row r="290" spans="1:10" x14ac:dyDescent="0.25">
      <c r="A290" s="22" t="s">
        <v>290</v>
      </c>
      <c r="B290" s="22" t="s">
        <v>640</v>
      </c>
      <c r="C290" s="22" t="s">
        <v>309</v>
      </c>
      <c r="D290" s="22" t="s">
        <v>641</v>
      </c>
      <c r="E290" s="22" t="s">
        <v>290</v>
      </c>
      <c r="F290" s="22" t="s">
        <v>694</v>
      </c>
      <c r="G290" s="22"/>
      <c r="H290" s="22" t="s">
        <v>627</v>
      </c>
      <c r="I290" s="22"/>
      <c r="J290" s="23" t="s">
        <v>627</v>
      </c>
    </row>
    <row r="291" spans="1:10" x14ac:dyDescent="0.25">
      <c r="A291" s="22" t="s">
        <v>290</v>
      </c>
      <c r="B291" s="22" t="s">
        <v>640</v>
      </c>
      <c r="C291" s="22" t="s">
        <v>309</v>
      </c>
      <c r="D291" s="22" t="s">
        <v>641</v>
      </c>
      <c r="E291" s="22" t="s">
        <v>290</v>
      </c>
      <c r="F291" s="22" t="s">
        <v>99</v>
      </c>
      <c r="G291" s="22"/>
      <c r="H291" s="22" t="s">
        <v>627</v>
      </c>
      <c r="I291" s="22"/>
      <c r="J291" s="23" t="s">
        <v>627</v>
      </c>
    </row>
    <row r="292" spans="1:10" x14ac:dyDescent="0.25">
      <c r="A292" s="22" t="s">
        <v>290</v>
      </c>
      <c r="B292" s="22" t="s">
        <v>640</v>
      </c>
      <c r="C292" s="22" t="s">
        <v>309</v>
      </c>
      <c r="D292" s="22" t="s">
        <v>641</v>
      </c>
      <c r="E292" s="22" t="s">
        <v>290</v>
      </c>
      <c r="F292" s="22" t="s">
        <v>695</v>
      </c>
      <c r="G292" s="22"/>
      <c r="H292" s="22" t="s">
        <v>627</v>
      </c>
      <c r="I292" s="22"/>
      <c r="J292" s="23" t="s">
        <v>627</v>
      </c>
    </row>
    <row r="293" spans="1:10" x14ac:dyDescent="0.25">
      <c r="A293" s="22" t="s">
        <v>290</v>
      </c>
      <c r="B293" s="22" t="s">
        <v>640</v>
      </c>
      <c r="C293" s="22" t="s">
        <v>309</v>
      </c>
      <c r="D293" s="22" t="s">
        <v>641</v>
      </c>
      <c r="E293" s="22" t="s">
        <v>290</v>
      </c>
      <c r="F293" s="22" t="s">
        <v>221</v>
      </c>
      <c r="G293" s="22"/>
      <c r="H293" s="22" t="s">
        <v>627</v>
      </c>
      <c r="I293" s="22"/>
      <c r="J293" s="23" t="s">
        <v>627</v>
      </c>
    </row>
    <row r="294" spans="1:10" x14ac:dyDescent="0.25">
      <c r="A294" s="22" t="s">
        <v>290</v>
      </c>
      <c r="B294" s="22" t="s">
        <v>640</v>
      </c>
      <c r="C294" s="22" t="s">
        <v>309</v>
      </c>
      <c r="D294" s="22" t="s">
        <v>641</v>
      </c>
      <c r="E294" s="22" t="s">
        <v>290</v>
      </c>
      <c r="F294" s="22" t="s">
        <v>696</v>
      </c>
      <c r="G294" s="22"/>
      <c r="H294" s="22" t="s">
        <v>627</v>
      </c>
      <c r="I294" s="22"/>
      <c r="J294" s="23" t="s">
        <v>627</v>
      </c>
    </row>
    <row r="295" spans="1:10" x14ac:dyDescent="0.25">
      <c r="A295" s="22" t="s">
        <v>290</v>
      </c>
      <c r="B295" s="22" t="s">
        <v>640</v>
      </c>
      <c r="C295" s="22" t="s">
        <v>309</v>
      </c>
      <c r="D295" s="22" t="s">
        <v>641</v>
      </c>
      <c r="E295" s="22" t="s">
        <v>290</v>
      </c>
      <c r="F295" s="22" t="s">
        <v>697</v>
      </c>
      <c r="G295" s="22"/>
      <c r="H295" s="22" t="s">
        <v>627</v>
      </c>
      <c r="I295" s="22"/>
      <c r="J295" s="23" t="s">
        <v>627</v>
      </c>
    </row>
    <row r="296" spans="1:10" x14ac:dyDescent="0.25">
      <c r="A296" s="22" t="s">
        <v>290</v>
      </c>
      <c r="B296" s="22" t="s">
        <v>640</v>
      </c>
      <c r="C296" s="22" t="s">
        <v>309</v>
      </c>
      <c r="D296" s="22" t="s">
        <v>641</v>
      </c>
      <c r="E296" s="22" t="s">
        <v>290</v>
      </c>
      <c r="F296" s="22" t="s">
        <v>40</v>
      </c>
      <c r="G296" s="22"/>
      <c r="H296" s="22" t="s">
        <v>627</v>
      </c>
      <c r="I296" s="22"/>
      <c r="J296" s="23" t="s">
        <v>627</v>
      </c>
    </row>
    <row r="297" spans="1:10" x14ac:dyDescent="0.25">
      <c r="A297" s="22" t="s">
        <v>290</v>
      </c>
      <c r="B297" s="22" t="s">
        <v>640</v>
      </c>
      <c r="C297" s="22" t="s">
        <v>309</v>
      </c>
      <c r="D297" s="22" t="s">
        <v>641</v>
      </c>
      <c r="E297" s="22" t="s">
        <v>290</v>
      </c>
      <c r="F297" s="22" t="s">
        <v>54</v>
      </c>
      <c r="G297" s="22"/>
      <c r="H297" s="22" t="s">
        <v>627</v>
      </c>
      <c r="I297" s="22"/>
      <c r="J297" s="23" t="s">
        <v>627</v>
      </c>
    </row>
    <row r="298" spans="1:10" x14ac:dyDescent="0.25">
      <c r="A298" s="22" t="s">
        <v>290</v>
      </c>
      <c r="B298" s="22" t="s">
        <v>640</v>
      </c>
      <c r="C298" s="22" t="s">
        <v>309</v>
      </c>
      <c r="D298" s="22" t="s">
        <v>641</v>
      </c>
      <c r="E298" s="22" t="s">
        <v>290</v>
      </c>
      <c r="F298" s="22" t="s">
        <v>175</v>
      </c>
      <c r="G298" s="22"/>
      <c r="H298" s="22" t="s">
        <v>627</v>
      </c>
      <c r="I298" s="22"/>
      <c r="J298" s="23" t="s">
        <v>627</v>
      </c>
    </row>
    <row r="299" spans="1:10" x14ac:dyDescent="0.25">
      <c r="A299" s="22" t="s">
        <v>290</v>
      </c>
      <c r="B299" s="22" t="s">
        <v>640</v>
      </c>
      <c r="C299" s="22" t="s">
        <v>309</v>
      </c>
      <c r="D299" s="22" t="s">
        <v>641</v>
      </c>
      <c r="E299" s="22" t="s">
        <v>290</v>
      </c>
      <c r="F299" s="22" t="s">
        <v>92</v>
      </c>
      <c r="G299" s="22"/>
      <c r="H299" s="22" t="s">
        <v>627</v>
      </c>
      <c r="I299" s="22"/>
      <c r="J299" s="23" t="s">
        <v>627</v>
      </c>
    </row>
    <row r="300" spans="1:10" x14ac:dyDescent="0.25">
      <c r="A300" s="22" t="s">
        <v>290</v>
      </c>
      <c r="B300" s="22" t="s">
        <v>640</v>
      </c>
      <c r="C300" s="22" t="s">
        <v>309</v>
      </c>
      <c r="D300" s="22" t="s">
        <v>641</v>
      </c>
      <c r="E300" s="22" t="s">
        <v>290</v>
      </c>
      <c r="F300" s="22" t="s">
        <v>96</v>
      </c>
      <c r="G300" s="22"/>
      <c r="H300" s="22" t="s">
        <v>627</v>
      </c>
      <c r="I300" s="22"/>
      <c r="J300" s="23" t="s">
        <v>627</v>
      </c>
    </row>
    <row r="301" spans="1:10" x14ac:dyDescent="0.25">
      <c r="A301" s="22" t="s">
        <v>290</v>
      </c>
      <c r="B301" s="22" t="s">
        <v>640</v>
      </c>
      <c r="C301" s="22" t="s">
        <v>309</v>
      </c>
      <c r="D301" s="22" t="s">
        <v>641</v>
      </c>
      <c r="E301" s="22" t="s">
        <v>290</v>
      </c>
      <c r="F301" s="22" t="s">
        <v>179</v>
      </c>
      <c r="G301" s="22"/>
      <c r="H301" s="22" t="s">
        <v>627</v>
      </c>
      <c r="I301" s="22"/>
      <c r="J301" s="23" t="s">
        <v>627</v>
      </c>
    </row>
    <row r="302" spans="1:10" x14ac:dyDescent="0.25">
      <c r="A302" s="22" t="s">
        <v>290</v>
      </c>
      <c r="B302" s="22" t="s">
        <v>640</v>
      </c>
      <c r="C302" s="22" t="s">
        <v>309</v>
      </c>
      <c r="D302" s="22" t="s">
        <v>641</v>
      </c>
      <c r="E302" s="22" t="s">
        <v>290</v>
      </c>
      <c r="F302" s="22" t="s">
        <v>135</v>
      </c>
      <c r="G302" s="22"/>
      <c r="H302" s="22" t="s">
        <v>627</v>
      </c>
      <c r="I302" s="22"/>
      <c r="J302" s="23" t="s">
        <v>627</v>
      </c>
    </row>
    <row r="303" spans="1:10" x14ac:dyDescent="0.25">
      <c r="A303" s="22" t="s">
        <v>290</v>
      </c>
      <c r="B303" s="22" t="s">
        <v>640</v>
      </c>
      <c r="C303" s="22" t="s">
        <v>309</v>
      </c>
      <c r="D303" s="22" t="s">
        <v>641</v>
      </c>
      <c r="E303" s="22" t="s">
        <v>290</v>
      </c>
      <c r="F303" s="22" t="s">
        <v>139</v>
      </c>
      <c r="G303" s="22"/>
      <c r="H303" s="22" t="s">
        <v>627</v>
      </c>
      <c r="I303" s="22"/>
      <c r="J303" s="23" t="s">
        <v>627</v>
      </c>
    </row>
    <row r="304" spans="1:10" x14ac:dyDescent="0.25">
      <c r="A304" s="22" t="s">
        <v>290</v>
      </c>
      <c r="B304" s="22" t="s">
        <v>640</v>
      </c>
      <c r="C304" s="22" t="s">
        <v>309</v>
      </c>
      <c r="D304" s="22" t="s">
        <v>641</v>
      </c>
      <c r="E304" s="22" t="s">
        <v>290</v>
      </c>
      <c r="F304" s="22" t="s">
        <v>698</v>
      </c>
      <c r="G304" s="22"/>
      <c r="H304" s="22" t="s">
        <v>555</v>
      </c>
      <c r="I304" s="22"/>
      <c r="J304" s="23" t="s">
        <v>555</v>
      </c>
    </row>
    <row r="305" spans="1:10" x14ac:dyDescent="0.25">
      <c r="A305" s="22" t="s">
        <v>290</v>
      </c>
      <c r="B305" s="22" t="s">
        <v>640</v>
      </c>
      <c r="C305" s="22" t="s">
        <v>309</v>
      </c>
      <c r="D305" s="22" t="s">
        <v>641</v>
      </c>
      <c r="E305" s="22" t="s">
        <v>290</v>
      </c>
      <c r="F305" s="22" t="s">
        <v>699</v>
      </c>
      <c r="G305" s="22"/>
      <c r="H305" s="22" t="s">
        <v>555</v>
      </c>
      <c r="I305" s="22"/>
      <c r="J305" s="23" t="s">
        <v>555</v>
      </c>
    </row>
    <row r="306" spans="1:10" x14ac:dyDescent="0.25">
      <c r="A306" s="22" t="s">
        <v>290</v>
      </c>
      <c r="B306" s="22" t="s">
        <v>640</v>
      </c>
      <c r="C306" s="22" t="s">
        <v>309</v>
      </c>
      <c r="D306" s="22" t="s">
        <v>641</v>
      </c>
      <c r="E306" s="22" t="s">
        <v>290</v>
      </c>
      <c r="F306" s="22" t="s">
        <v>700</v>
      </c>
      <c r="G306" s="22"/>
      <c r="H306" s="22" t="s">
        <v>555</v>
      </c>
      <c r="I306" s="22"/>
      <c r="J306" s="23" t="s">
        <v>555</v>
      </c>
    </row>
    <row r="307" spans="1:10" x14ac:dyDescent="0.25">
      <c r="A307" s="22" t="s">
        <v>290</v>
      </c>
      <c r="B307" s="22" t="s">
        <v>640</v>
      </c>
      <c r="C307" s="22" t="s">
        <v>309</v>
      </c>
      <c r="D307" s="22" t="s">
        <v>641</v>
      </c>
      <c r="E307" s="22" t="s">
        <v>290</v>
      </c>
      <c r="F307" s="22" t="s">
        <v>43</v>
      </c>
      <c r="G307" s="22"/>
      <c r="H307" s="22" t="s">
        <v>555</v>
      </c>
      <c r="I307" s="22"/>
      <c r="J307" s="23" t="s">
        <v>555</v>
      </c>
    </row>
    <row r="308" spans="1:10" x14ac:dyDescent="0.25">
      <c r="A308" s="22" t="s">
        <v>290</v>
      </c>
      <c r="B308" s="22" t="s">
        <v>640</v>
      </c>
      <c r="C308" s="22" t="s">
        <v>309</v>
      </c>
      <c r="D308" s="22" t="s">
        <v>641</v>
      </c>
      <c r="E308" s="22" t="s">
        <v>290</v>
      </c>
      <c r="F308" s="22" t="s">
        <v>701</v>
      </c>
      <c r="G308" s="22"/>
      <c r="H308" s="22" t="s">
        <v>555</v>
      </c>
      <c r="I308" s="22"/>
      <c r="J308" s="23" t="s">
        <v>555</v>
      </c>
    </row>
    <row r="309" spans="1:10" x14ac:dyDescent="0.25">
      <c r="A309" s="22" t="s">
        <v>290</v>
      </c>
      <c r="B309" s="22" t="s">
        <v>640</v>
      </c>
      <c r="C309" s="22" t="s">
        <v>309</v>
      </c>
      <c r="D309" s="22" t="s">
        <v>641</v>
      </c>
      <c r="E309" s="22" t="s">
        <v>290</v>
      </c>
      <c r="F309" s="22" t="s">
        <v>702</v>
      </c>
      <c r="G309" s="22"/>
      <c r="H309" s="22" t="s">
        <v>555</v>
      </c>
      <c r="I309" s="22"/>
      <c r="J309" s="23" t="s">
        <v>555</v>
      </c>
    </row>
    <row r="310" spans="1:10" x14ac:dyDescent="0.25">
      <c r="A310" s="22" t="s">
        <v>290</v>
      </c>
      <c r="B310" s="22" t="s">
        <v>640</v>
      </c>
      <c r="C310" s="22" t="s">
        <v>309</v>
      </c>
      <c r="D310" s="22" t="s">
        <v>641</v>
      </c>
      <c r="E310" s="22" t="s">
        <v>290</v>
      </c>
      <c r="F310" s="22" t="s">
        <v>703</v>
      </c>
      <c r="G310" s="22"/>
      <c r="H310" s="22" t="s">
        <v>555</v>
      </c>
      <c r="I310" s="22"/>
      <c r="J310" s="23" t="s">
        <v>555</v>
      </c>
    </row>
    <row r="311" spans="1:10" x14ac:dyDescent="0.25">
      <c r="A311" s="22" t="s">
        <v>290</v>
      </c>
      <c r="B311" s="22" t="s">
        <v>640</v>
      </c>
      <c r="C311" s="22" t="s">
        <v>309</v>
      </c>
      <c r="D311" s="22" t="s">
        <v>641</v>
      </c>
      <c r="E311" s="22" t="s">
        <v>290</v>
      </c>
      <c r="F311" s="22" t="s">
        <v>65</v>
      </c>
      <c r="G311" s="22"/>
      <c r="H311" s="22" t="s">
        <v>555</v>
      </c>
      <c r="I311" s="22"/>
      <c r="J311" s="23" t="s">
        <v>555</v>
      </c>
    </row>
    <row r="312" spans="1:10" x14ac:dyDescent="0.25">
      <c r="A312" s="22" t="s">
        <v>290</v>
      </c>
      <c r="B312" s="22" t="s">
        <v>640</v>
      </c>
      <c r="C312" s="22" t="s">
        <v>309</v>
      </c>
      <c r="D312" s="22" t="s">
        <v>641</v>
      </c>
      <c r="E312" s="22" t="s">
        <v>290</v>
      </c>
      <c r="F312" s="22" t="s">
        <v>704</v>
      </c>
      <c r="G312" s="22"/>
      <c r="H312" s="22" t="s">
        <v>555</v>
      </c>
      <c r="I312" s="22"/>
      <c r="J312" s="23" t="s">
        <v>555</v>
      </c>
    </row>
    <row r="313" spans="1:10" x14ac:dyDescent="0.25">
      <c r="A313" s="22" t="s">
        <v>290</v>
      </c>
      <c r="B313" s="22" t="s">
        <v>640</v>
      </c>
      <c r="C313" s="22" t="s">
        <v>309</v>
      </c>
      <c r="D313" s="22" t="s">
        <v>641</v>
      </c>
      <c r="E313" s="22" t="s">
        <v>290</v>
      </c>
      <c r="F313" s="22" t="s">
        <v>705</v>
      </c>
      <c r="G313" s="22"/>
      <c r="H313" s="22" t="s">
        <v>555</v>
      </c>
      <c r="I313" s="22"/>
      <c r="J313" s="23" t="s">
        <v>555</v>
      </c>
    </row>
    <row r="314" spans="1:10" x14ac:dyDescent="0.25">
      <c r="A314" s="22" t="s">
        <v>290</v>
      </c>
      <c r="B314" s="22" t="s">
        <v>640</v>
      </c>
      <c r="C314" s="22" t="s">
        <v>309</v>
      </c>
      <c r="D314" s="22" t="s">
        <v>641</v>
      </c>
      <c r="E314" s="22" t="s">
        <v>290</v>
      </c>
      <c r="F314" s="22" t="s">
        <v>706</v>
      </c>
      <c r="G314" s="22"/>
      <c r="H314" s="22" t="s">
        <v>555</v>
      </c>
      <c r="I314" s="22"/>
      <c r="J314" s="23" t="s">
        <v>555</v>
      </c>
    </row>
    <row r="315" spans="1:10" x14ac:dyDescent="0.25">
      <c r="A315" s="22" t="s">
        <v>290</v>
      </c>
      <c r="B315" s="22" t="s">
        <v>640</v>
      </c>
      <c r="C315" s="22" t="s">
        <v>309</v>
      </c>
      <c r="D315" s="22" t="s">
        <v>641</v>
      </c>
      <c r="E315" s="22" t="s">
        <v>290</v>
      </c>
      <c r="F315" s="22" t="s">
        <v>707</v>
      </c>
      <c r="G315" s="22"/>
      <c r="H315" s="22" t="s">
        <v>555</v>
      </c>
      <c r="I315" s="22"/>
      <c r="J315" s="23" t="s">
        <v>555</v>
      </c>
    </row>
    <row r="316" spans="1:10" x14ac:dyDescent="0.25">
      <c r="A316" s="22" t="s">
        <v>290</v>
      </c>
      <c r="B316" s="22" t="s">
        <v>640</v>
      </c>
      <c r="C316" s="22" t="s">
        <v>309</v>
      </c>
      <c r="D316" s="22" t="s">
        <v>641</v>
      </c>
      <c r="E316" s="22" t="s">
        <v>290</v>
      </c>
      <c r="F316" s="22" t="s">
        <v>708</v>
      </c>
      <c r="G316" s="22"/>
      <c r="H316" s="22" t="s">
        <v>555</v>
      </c>
      <c r="I316" s="22"/>
      <c r="J316" s="23" t="s">
        <v>555</v>
      </c>
    </row>
    <row r="317" spans="1:10" x14ac:dyDescent="0.25">
      <c r="A317" s="22" t="s">
        <v>290</v>
      </c>
      <c r="B317" s="22" t="s">
        <v>640</v>
      </c>
      <c r="C317" s="22" t="s">
        <v>309</v>
      </c>
      <c r="D317" s="22" t="s">
        <v>641</v>
      </c>
      <c r="E317" s="22" t="s">
        <v>290</v>
      </c>
      <c r="F317" s="22" t="s">
        <v>709</v>
      </c>
      <c r="G317" s="22"/>
      <c r="H317" s="22" t="s">
        <v>555</v>
      </c>
      <c r="I317" s="22"/>
      <c r="J317" s="23" t="s">
        <v>555</v>
      </c>
    </row>
    <row r="318" spans="1:10" x14ac:dyDescent="0.25">
      <c r="A318" s="22" t="s">
        <v>290</v>
      </c>
      <c r="B318" s="22" t="s">
        <v>640</v>
      </c>
      <c r="C318" s="22" t="s">
        <v>309</v>
      </c>
      <c r="D318" s="22" t="s">
        <v>641</v>
      </c>
      <c r="E318" s="22" t="s">
        <v>290</v>
      </c>
      <c r="F318" s="22" t="s">
        <v>219</v>
      </c>
      <c r="G318" s="22"/>
      <c r="H318" s="22" t="s">
        <v>555</v>
      </c>
      <c r="I318" s="22"/>
      <c r="J318" s="23" t="s">
        <v>555</v>
      </c>
    </row>
    <row r="319" spans="1:10" x14ac:dyDescent="0.25">
      <c r="A319" s="22" t="s">
        <v>290</v>
      </c>
      <c r="B319" s="22" t="s">
        <v>640</v>
      </c>
      <c r="C319" s="22" t="s">
        <v>309</v>
      </c>
      <c r="D319" s="22" t="s">
        <v>641</v>
      </c>
      <c r="E319" s="22" t="s">
        <v>290</v>
      </c>
      <c r="F319" s="22" t="s">
        <v>710</v>
      </c>
      <c r="G319" s="22"/>
      <c r="H319" s="22" t="s">
        <v>298</v>
      </c>
      <c r="I319" s="22"/>
      <c r="J319" s="23" t="s">
        <v>298</v>
      </c>
    </row>
    <row r="320" spans="1:10" x14ac:dyDescent="0.25">
      <c r="A320" s="22" t="s">
        <v>290</v>
      </c>
      <c r="B320" s="22" t="s">
        <v>640</v>
      </c>
      <c r="C320" s="22" t="s">
        <v>309</v>
      </c>
      <c r="D320" s="22" t="s">
        <v>641</v>
      </c>
      <c r="E320" s="22" t="s">
        <v>290</v>
      </c>
      <c r="F320" s="22" t="s">
        <v>711</v>
      </c>
      <c r="G320" s="22"/>
      <c r="H320" s="22" t="s">
        <v>627</v>
      </c>
      <c r="I320" s="22"/>
      <c r="J320" s="23" t="s">
        <v>627</v>
      </c>
    </row>
    <row r="321" spans="1:10" x14ac:dyDescent="0.25">
      <c r="A321" s="22" t="s">
        <v>290</v>
      </c>
      <c r="B321" s="22" t="s">
        <v>640</v>
      </c>
      <c r="C321" s="22" t="s">
        <v>309</v>
      </c>
      <c r="D321" s="22" t="s">
        <v>641</v>
      </c>
      <c r="E321" s="22" t="s">
        <v>290</v>
      </c>
      <c r="F321" s="22" t="s">
        <v>57</v>
      </c>
      <c r="G321" s="22"/>
      <c r="H321" s="22" t="s">
        <v>627</v>
      </c>
      <c r="I321" s="22"/>
      <c r="J321" s="23" t="s">
        <v>627</v>
      </c>
    </row>
    <row r="322" spans="1:10" x14ac:dyDescent="0.25">
      <c r="A322" s="22" t="s">
        <v>290</v>
      </c>
      <c r="B322" s="22" t="s">
        <v>640</v>
      </c>
      <c r="C322" s="22" t="s">
        <v>309</v>
      </c>
      <c r="D322" s="22" t="s">
        <v>641</v>
      </c>
      <c r="E322" s="22" t="s">
        <v>290</v>
      </c>
      <c r="F322" s="22" t="s">
        <v>712</v>
      </c>
      <c r="G322" s="22"/>
      <c r="H322" s="22" t="s">
        <v>627</v>
      </c>
      <c r="I322" s="22"/>
      <c r="J322" s="23" t="s">
        <v>627</v>
      </c>
    </row>
    <row r="323" spans="1:10" x14ac:dyDescent="0.25">
      <c r="A323" s="22" t="s">
        <v>290</v>
      </c>
      <c r="B323" s="22" t="s">
        <v>640</v>
      </c>
      <c r="C323" s="22" t="s">
        <v>309</v>
      </c>
      <c r="D323" s="22" t="s">
        <v>641</v>
      </c>
      <c r="E323" s="22" t="s">
        <v>290</v>
      </c>
      <c r="F323" s="22" t="s">
        <v>713</v>
      </c>
      <c r="G323" s="22"/>
      <c r="H323" s="22" t="s">
        <v>627</v>
      </c>
      <c r="I323" s="22"/>
      <c r="J323" s="23" t="s">
        <v>627</v>
      </c>
    </row>
    <row r="324" spans="1:10" x14ac:dyDescent="0.25">
      <c r="A324" s="22" t="s">
        <v>290</v>
      </c>
      <c r="B324" s="22" t="s">
        <v>640</v>
      </c>
      <c r="C324" s="22" t="s">
        <v>309</v>
      </c>
      <c r="D324" s="22" t="s">
        <v>641</v>
      </c>
      <c r="E324" s="22" t="s">
        <v>290</v>
      </c>
      <c r="F324" s="22" t="s">
        <v>714</v>
      </c>
      <c r="G324" s="22"/>
      <c r="H324" s="22" t="s">
        <v>627</v>
      </c>
      <c r="I324" s="22"/>
      <c r="J324" s="23" t="s">
        <v>627</v>
      </c>
    </row>
    <row r="325" spans="1:10" x14ac:dyDescent="0.25">
      <c r="A325" s="22" t="s">
        <v>290</v>
      </c>
      <c r="B325" s="22" t="s">
        <v>640</v>
      </c>
      <c r="C325" s="22" t="s">
        <v>309</v>
      </c>
      <c r="D325" s="22" t="s">
        <v>641</v>
      </c>
      <c r="E325" s="22" t="s">
        <v>290</v>
      </c>
      <c r="F325" s="22" t="s">
        <v>715</v>
      </c>
      <c r="G325" s="22"/>
      <c r="H325" s="22" t="s">
        <v>627</v>
      </c>
      <c r="I325" s="22"/>
      <c r="J325" s="23" t="s">
        <v>627</v>
      </c>
    </row>
    <row r="326" spans="1:10" x14ac:dyDescent="0.25">
      <c r="A326" s="22" t="s">
        <v>290</v>
      </c>
      <c r="B326" s="22" t="s">
        <v>640</v>
      </c>
      <c r="C326" s="22" t="s">
        <v>309</v>
      </c>
      <c r="D326" s="22" t="s">
        <v>641</v>
      </c>
      <c r="E326" s="22" t="s">
        <v>290</v>
      </c>
      <c r="F326" s="22" t="s">
        <v>129</v>
      </c>
      <c r="G326" s="22"/>
      <c r="H326" s="22" t="s">
        <v>627</v>
      </c>
      <c r="I326" s="22"/>
      <c r="J326" s="23" t="s">
        <v>627</v>
      </c>
    </row>
    <row r="327" spans="1:10" x14ac:dyDescent="0.25">
      <c r="A327" s="22" t="s">
        <v>290</v>
      </c>
      <c r="B327" s="22" t="s">
        <v>640</v>
      </c>
      <c r="C327" s="22" t="s">
        <v>309</v>
      </c>
      <c r="D327" s="22" t="s">
        <v>641</v>
      </c>
      <c r="E327" s="22" t="s">
        <v>290</v>
      </c>
      <c r="F327" s="22" t="s">
        <v>61</v>
      </c>
      <c r="G327" s="22"/>
      <c r="H327" s="22" t="s">
        <v>555</v>
      </c>
      <c r="I327" s="22"/>
      <c r="J327" s="23" t="s">
        <v>555</v>
      </c>
    </row>
    <row r="328" spans="1:10" x14ac:dyDescent="0.25">
      <c r="A328" s="22" t="s">
        <v>290</v>
      </c>
      <c r="B328" s="22" t="s">
        <v>640</v>
      </c>
      <c r="C328" s="22" t="s">
        <v>309</v>
      </c>
      <c r="D328" s="22" t="s">
        <v>641</v>
      </c>
      <c r="E328" s="22" t="s">
        <v>290</v>
      </c>
      <c r="F328" s="22" t="s">
        <v>716</v>
      </c>
      <c r="G328" s="22"/>
      <c r="H328" s="22" t="s">
        <v>555</v>
      </c>
      <c r="I328" s="22"/>
      <c r="J328" s="23" t="s">
        <v>555</v>
      </c>
    </row>
    <row r="329" spans="1:10" x14ac:dyDescent="0.25">
      <c r="A329" s="22" t="s">
        <v>290</v>
      </c>
      <c r="B329" s="22" t="s">
        <v>640</v>
      </c>
      <c r="C329" s="22" t="s">
        <v>309</v>
      </c>
      <c r="D329" s="22" t="s">
        <v>641</v>
      </c>
      <c r="E329" s="22" t="s">
        <v>290</v>
      </c>
      <c r="F329" s="22" t="s">
        <v>717</v>
      </c>
      <c r="G329" s="22"/>
      <c r="H329" s="22" t="s">
        <v>555</v>
      </c>
      <c r="I329" s="22"/>
      <c r="J329" s="23" t="s">
        <v>555</v>
      </c>
    </row>
    <row r="330" spans="1:10" x14ac:dyDescent="0.25">
      <c r="A330" s="22" t="s">
        <v>290</v>
      </c>
      <c r="B330" s="22" t="s">
        <v>640</v>
      </c>
      <c r="C330" s="22" t="s">
        <v>309</v>
      </c>
      <c r="D330" s="22" t="s">
        <v>641</v>
      </c>
      <c r="E330" s="22" t="s">
        <v>290</v>
      </c>
      <c r="F330" s="22" t="s">
        <v>131</v>
      </c>
      <c r="G330" s="22"/>
      <c r="H330" s="22" t="s">
        <v>555</v>
      </c>
      <c r="I330" s="22"/>
      <c r="J330" s="23" t="s">
        <v>555</v>
      </c>
    </row>
    <row r="331" spans="1:10" x14ac:dyDescent="0.25">
      <c r="A331" s="22" t="s">
        <v>290</v>
      </c>
      <c r="B331" s="22" t="s">
        <v>640</v>
      </c>
      <c r="C331" s="22" t="s">
        <v>309</v>
      </c>
      <c r="D331" s="22" t="s">
        <v>641</v>
      </c>
      <c r="E331" s="22" t="s">
        <v>290</v>
      </c>
      <c r="F331" s="22" t="s">
        <v>718</v>
      </c>
      <c r="G331" s="22"/>
      <c r="H331" s="22" t="s">
        <v>555</v>
      </c>
      <c r="I331" s="22"/>
      <c r="J331" s="23" t="s">
        <v>555</v>
      </c>
    </row>
    <row r="332" spans="1:10" x14ac:dyDescent="0.25">
      <c r="A332" s="22" t="s">
        <v>290</v>
      </c>
      <c r="B332" s="22" t="s">
        <v>640</v>
      </c>
      <c r="C332" s="22" t="s">
        <v>309</v>
      </c>
      <c r="D332" s="22" t="s">
        <v>641</v>
      </c>
      <c r="E332" s="22" t="s">
        <v>290</v>
      </c>
      <c r="F332" s="22" t="s">
        <v>70</v>
      </c>
      <c r="G332" s="22"/>
      <c r="H332" s="22" t="s">
        <v>555</v>
      </c>
      <c r="I332" s="22"/>
      <c r="J332" s="23" t="s">
        <v>555</v>
      </c>
    </row>
    <row r="333" spans="1:10" x14ac:dyDescent="0.25">
      <c r="A333" s="22" t="s">
        <v>290</v>
      </c>
      <c r="B333" s="22" t="s">
        <v>640</v>
      </c>
      <c r="C333" s="22" t="s">
        <v>309</v>
      </c>
      <c r="D333" s="22" t="s">
        <v>641</v>
      </c>
      <c r="E333" s="22" t="s">
        <v>290</v>
      </c>
      <c r="F333" s="22" t="s">
        <v>719</v>
      </c>
      <c r="G333" s="22"/>
      <c r="H333" s="22" t="s">
        <v>627</v>
      </c>
      <c r="I333" s="22"/>
      <c r="J333" s="23" t="s">
        <v>627</v>
      </c>
    </row>
    <row r="334" spans="1:10" x14ac:dyDescent="0.25">
      <c r="A334" s="22" t="s">
        <v>290</v>
      </c>
      <c r="B334" s="22" t="s">
        <v>640</v>
      </c>
      <c r="C334" s="22" t="s">
        <v>309</v>
      </c>
      <c r="D334" s="22" t="s">
        <v>641</v>
      </c>
      <c r="E334" s="22" t="s">
        <v>290</v>
      </c>
      <c r="F334" s="22" t="s">
        <v>720</v>
      </c>
      <c r="G334" s="22"/>
      <c r="H334" s="22" t="s">
        <v>627</v>
      </c>
      <c r="I334" s="22"/>
      <c r="J334" s="23" t="s">
        <v>627</v>
      </c>
    </row>
    <row r="335" spans="1:10" x14ac:dyDescent="0.25">
      <c r="A335" s="22" t="s">
        <v>290</v>
      </c>
      <c r="B335" s="22" t="s">
        <v>640</v>
      </c>
      <c r="C335" s="22" t="s">
        <v>309</v>
      </c>
      <c r="D335" s="22" t="s">
        <v>641</v>
      </c>
      <c r="E335" s="22" t="s">
        <v>290</v>
      </c>
      <c r="F335" s="22" t="s">
        <v>721</v>
      </c>
      <c r="G335" s="22"/>
      <c r="H335" s="22" t="s">
        <v>627</v>
      </c>
      <c r="I335" s="22"/>
      <c r="J335" s="23" t="s">
        <v>627</v>
      </c>
    </row>
    <row r="336" spans="1:10" x14ac:dyDescent="0.25">
      <c r="A336" s="22" t="s">
        <v>290</v>
      </c>
      <c r="B336" s="22" t="s">
        <v>640</v>
      </c>
      <c r="C336" s="22" t="s">
        <v>309</v>
      </c>
      <c r="D336" s="22" t="s">
        <v>641</v>
      </c>
      <c r="E336" s="22" t="s">
        <v>290</v>
      </c>
      <c r="F336" s="22" t="s">
        <v>722</v>
      </c>
      <c r="G336" s="22"/>
      <c r="H336" s="22" t="s">
        <v>627</v>
      </c>
      <c r="I336" s="22"/>
      <c r="J336" s="23" t="s">
        <v>627</v>
      </c>
    </row>
    <row r="337" spans="1:10" x14ac:dyDescent="0.25">
      <c r="A337" s="22" t="s">
        <v>290</v>
      </c>
      <c r="B337" s="22" t="s">
        <v>640</v>
      </c>
      <c r="C337" s="22" t="s">
        <v>309</v>
      </c>
      <c r="D337" s="22" t="s">
        <v>641</v>
      </c>
      <c r="E337" s="22" t="s">
        <v>290</v>
      </c>
      <c r="F337" s="22" t="s">
        <v>88</v>
      </c>
      <c r="G337" s="22"/>
      <c r="H337" s="22" t="s">
        <v>627</v>
      </c>
      <c r="I337" s="22"/>
      <c r="J337" s="23" t="s">
        <v>627</v>
      </c>
    </row>
    <row r="338" spans="1:10" x14ac:dyDescent="0.25">
      <c r="A338" s="22" t="s">
        <v>290</v>
      </c>
      <c r="B338" s="22" t="s">
        <v>640</v>
      </c>
      <c r="C338" s="22" t="s">
        <v>309</v>
      </c>
      <c r="D338" s="22" t="s">
        <v>641</v>
      </c>
      <c r="E338" s="22" t="s">
        <v>290</v>
      </c>
      <c r="F338" s="22" t="s">
        <v>723</v>
      </c>
      <c r="G338" s="22"/>
      <c r="H338" s="22" t="s">
        <v>627</v>
      </c>
      <c r="I338" s="22"/>
      <c r="J338" s="23" t="s">
        <v>627</v>
      </c>
    </row>
    <row r="339" spans="1:10" x14ac:dyDescent="0.25">
      <c r="A339" s="22" t="s">
        <v>290</v>
      </c>
      <c r="B339" s="22" t="s">
        <v>640</v>
      </c>
      <c r="C339" s="22" t="s">
        <v>309</v>
      </c>
      <c r="D339" s="22" t="s">
        <v>641</v>
      </c>
      <c r="E339" s="22" t="s">
        <v>290</v>
      </c>
      <c r="F339" s="22" t="s">
        <v>724</v>
      </c>
      <c r="G339" s="22"/>
      <c r="H339" s="22" t="s">
        <v>627</v>
      </c>
      <c r="I339" s="22"/>
      <c r="J339" s="23" t="s">
        <v>627</v>
      </c>
    </row>
    <row r="340" spans="1:10" x14ac:dyDescent="0.25">
      <c r="A340" s="22" t="s">
        <v>290</v>
      </c>
      <c r="B340" s="22" t="s">
        <v>640</v>
      </c>
      <c r="C340" s="22" t="s">
        <v>309</v>
      </c>
      <c r="D340" s="22" t="s">
        <v>641</v>
      </c>
      <c r="E340" s="22" t="s">
        <v>290</v>
      </c>
      <c r="F340" s="22" t="s">
        <v>207</v>
      </c>
      <c r="G340" s="22"/>
      <c r="H340" s="22" t="s">
        <v>627</v>
      </c>
      <c r="I340" s="22"/>
      <c r="J340" s="23" t="s">
        <v>627</v>
      </c>
    </row>
    <row r="341" spans="1:10" x14ac:dyDescent="0.25">
      <c r="A341" s="22" t="s">
        <v>290</v>
      </c>
      <c r="B341" s="22" t="s">
        <v>640</v>
      </c>
      <c r="C341" s="22" t="s">
        <v>309</v>
      </c>
      <c r="D341" s="22" t="s">
        <v>641</v>
      </c>
      <c r="E341" s="22" t="s">
        <v>290</v>
      </c>
      <c r="F341" s="22" t="s">
        <v>725</v>
      </c>
      <c r="G341" s="22"/>
      <c r="H341" s="22" t="s">
        <v>627</v>
      </c>
      <c r="I341" s="22"/>
      <c r="J341" s="23" t="s">
        <v>627</v>
      </c>
    </row>
    <row r="342" spans="1:10" x14ac:dyDescent="0.25">
      <c r="A342" s="22" t="s">
        <v>290</v>
      </c>
      <c r="B342" s="22" t="s">
        <v>640</v>
      </c>
      <c r="C342" s="22" t="s">
        <v>309</v>
      </c>
      <c r="D342" s="22" t="s">
        <v>641</v>
      </c>
      <c r="E342" s="22" t="s">
        <v>290</v>
      </c>
      <c r="F342" s="22" t="s">
        <v>209</v>
      </c>
      <c r="G342" s="22"/>
      <c r="H342" s="22" t="s">
        <v>627</v>
      </c>
      <c r="I342" s="22"/>
      <c r="J342" s="23" t="s">
        <v>627</v>
      </c>
    </row>
    <row r="343" spans="1:10" x14ac:dyDescent="0.25">
      <c r="A343" s="22" t="s">
        <v>290</v>
      </c>
      <c r="B343" s="22" t="s">
        <v>640</v>
      </c>
      <c r="C343" s="22" t="s">
        <v>309</v>
      </c>
      <c r="D343" s="22" t="s">
        <v>641</v>
      </c>
      <c r="E343" s="22" t="s">
        <v>290</v>
      </c>
      <c r="F343" s="22" t="s">
        <v>211</v>
      </c>
      <c r="G343" s="22"/>
      <c r="H343" s="22" t="s">
        <v>627</v>
      </c>
      <c r="I343" s="22"/>
      <c r="J343" s="23" t="s">
        <v>627</v>
      </c>
    </row>
    <row r="344" spans="1:10" x14ac:dyDescent="0.25">
      <c r="A344" s="22" t="s">
        <v>290</v>
      </c>
      <c r="B344" s="22" t="s">
        <v>640</v>
      </c>
      <c r="C344" s="22" t="s">
        <v>309</v>
      </c>
      <c r="D344" s="22" t="s">
        <v>641</v>
      </c>
      <c r="E344" s="22" t="s">
        <v>290</v>
      </c>
      <c r="F344" s="22" t="s">
        <v>213</v>
      </c>
      <c r="G344" s="22"/>
      <c r="H344" s="22" t="s">
        <v>627</v>
      </c>
      <c r="I344" s="22"/>
      <c r="J344" s="23" t="s">
        <v>627</v>
      </c>
    </row>
    <row r="345" spans="1:10" x14ac:dyDescent="0.25">
      <c r="A345" s="22" t="s">
        <v>290</v>
      </c>
      <c r="B345" s="22" t="s">
        <v>640</v>
      </c>
      <c r="C345" s="22" t="s">
        <v>309</v>
      </c>
      <c r="D345" s="22" t="s">
        <v>641</v>
      </c>
      <c r="E345" s="22" t="s">
        <v>290</v>
      </c>
      <c r="F345" s="22" t="s">
        <v>75</v>
      </c>
      <c r="G345" s="22"/>
      <c r="H345" s="22" t="s">
        <v>627</v>
      </c>
      <c r="I345" s="22"/>
      <c r="J345" s="23" t="s">
        <v>627</v>
      </c>
    </row>
    <row r="346" spans="1:10" x14ac:dyDescent="0.25">
      <c r="A346" s="22" t="s">
        <v>290</v>
      </c>
      <c r="B346" s="22" t="s">
        <v>640</v>
      </c>
      <c r="C346" s="22" t="s">
        <v>309</v>
      </c>
      <c r="D346" s="22" t="s">
        <v>641</v>
      </c>
      <c r="E346" s="22" t="s">
        <v>290</v>
      </c>
      <c r="F346" s="22" t="s">
        <v>726</v>
      </c>
      <c r="G346" s="22"/>
      <c r="H346" s="22" t="s">
        <v>627</v>
      </c>
      <c r="I346" s="22"/>
      <c r="J346" s="23" t="s">
        <v>627</v>
      </c>
    </row>
    <row r="347" spans="1:10" x14ac:dyDescent="0.25">
      <c r="A347" s="22" t="s">
        <v>290</v>
      </c>
      <c r="B347" s="22" t="s">
        <v>640</v>
      </c>
      <c r="C347" s="22" t="s">
        <v>309</v>
      </c>
      <c r="D347" s="22" t="s">
        <v>641</v>
      </c>
      <c r="E347" s="22" t="s">
        <v>290</v>
      </c>
      <c r="F347" s="22" t="s">
        <v>215</v>
      </c>
      <c r="G347" s="22"/>
      <c r="H347" s="22" t="s">
        <v>627</v>
      </c>
      <c r="I347" s="22"/>
      <c r="J347" s="23" t="s">
        <v>627</v>
      </c>
    </row>
    <row r="348" spans="1:10" x14ac:dyDescent="0.25">
      <c r="A348" s="22" t="s">
        <v>290</v>
      </c>
      <c r="B348" s="22" t="s">
        <v>640</v>
      </c>
      <c r="C348" s="22" t="s">
        <v>309</v>
      </c>
      <c r="D348" s="22" t="s">
        <v>641</v>
      </c>
      <c r="E348" s="22" t="s">
        <v>290</v>
      </c>
      <c r="F348" s="22" t="s">
        <v>727</v>
      </c>
      <c r="G348" s="22"/>
      <c r="H348" s="22" t="s">
        <v>627</v>
      </c>
      <c r="I348" s="22"/>
      <c r="J348" s="23" t="s">
        <v>627</v>
      </c>
    </row>
    <row r="349" spans="1:10" x14ac:dyDescent="0.25">
      <c r="A349" s="22" t="s">
        <v>290</v>
      </c>
      <c r="B349" s="22" t="s">
        <v>640</v>
      </c>
      <c r="C349" s="22" t="s">
        <v>309</v>
      </c>
      <c r="D349" s="22" t="s">
        <v>641</v>
      </c>
      <c r="E349" s="22" t="s">
        <v>290</v>
      </c>
      <c r="F349" s="22" t="s">
        <v>126</v>
      </c>
      <c r="G349" s="22"/>
      <c r="H349" s="22" t="s">
        <v>627</v>
      </c>
      <c r="I349" s="22"/>
      <c r="J349" s="23" t="s">
        <v>627</v>
      </c>
    </row>
    <row r="350" spans="1:10" x14ac:dyDescent="0.25">
      <c r="A350" s="22" t="s">
        <v>290</v>
      </c>
      <c r="B350" s="22" t="s">
        <v>640</v>
      </c>
      <c r="C350" s="22" t="s">
        <v>309</v>
      </c>
      <c r="D350" s="22" t="s">
        <v>641</v>
      </c>
      <c r="E350" s="22" t="s">
        <v>290</v>
      </c>
      <c r="F350" s="22" t="s">
        <v>728</v>
      </c>
      <c r="G350" s="22"/>
      <c r="H350" s="22" t="s">
        <v>627</v>
      </c>
      <c r="I350" s="22"/>
      <c r="J350" s="23" t="s">
        <v>627</v>
      </c>
    </row>
    <row r="351" spans="1:10" x14ac:dyDescent="0.25">
      <c r="A351" s="22" t="s">
        <v>290</v>
      </c>
      <c r="B351" s="22" t="s">
        <v>640</v>
      </c>
      <c r="C351" s="22" t="s">
        <v>309</v>
      </c>
      <c r="D351" s="22" t="s">
        <v>641</v>
      </c>
      <c r="E351" s="22" t="s">
        <v>290</v>
      </c>
      <c r="F351" s="22" t="s">
        <v>163</v>
      </c>
      <c r="G351" s="22"/>
      <c r="H351" s="22" t="s">
        <v>555</v>
      </c>
      <c r="I351" s="22"/>
      <c r="J351" s="23" t="s">
        <v>555</v>
      </c>
    </row>
    <row r="352" spans="1:10" x14ac:dyDescent="0.25">
      <c r="A352" s="22" t="s">
        <v>290</v>
      </c>
      <c r="B352" s="22" t="s">
        <v>640</v>
      </c>
      <c r="C352" s="22" t="s">
        <v>309</v>
      </c>
      <c r="D352" s="22" t="s">
        <v>641</v>
      </c>
      <c r="E352" s="22" t="s">
        <v>290</v>
      </c>
      <c r="F352" s="22" t="s">
        <v>77</v>
      </c>
      <c r="G352" s="22"/>
      <c r="H352" s="22" t="s">
        <v>555</v>
      </c>
      <c r="I352" s="22"/>
      <c r="J352" s="23" t="s">
        <v>555</v>
      </c>
    </row>
    <row r="353" spans="1:10" x14ac:dyDescent="0.25">
      <c r="A353" s="22" t="s">
        <v>290</v>
      </c>
      <c r="B353" s="22" t="s">
        <v>640</v>
      </c>
      <c r="C353" s="22" t="s">
        <v>309</v>
      </c>
      <c r="D353" s="22" t="s">
        <v>641</v>
      </c>
      <c r="E353" s="22" t="s">
        <v>290</v>
      </c>
      <c r="F353" s="22" t="s">
        <v>122</v>
      </c>
      <c r="G353" s="22"/>
      <c r="H353" s="22" t="s">
        <v>555</v>
      </c>
      <c r="I353" s="22"/>
      <c r="J353" s="23" t="s">
        <v>555</v>
      </c>
    </row>
    <row r="354" spans="1:10" x14ac:dyDescent="0.25">
      <c r="A354" s="22" t="s">
        <v>290</v>
      </c>
      <c r="B354" s="22" t="s">
        <v>640</v>
      </c>
      <c r="C354" s="22" t="s">
        <v>309</v>
      </c>
      <c r="D354" s="22" t="s">
        <v>641</v>
      </c>
      <c r="E354" s="22" t="s">
        <v>290</v>
      </c>
      <c r="F354" s="22" t="s">
        <v>153</v>
      </c>
      <c r="G354" s="22"/>
      <c r="H354" s="22" t="s">
        <v>555</v>
      </c>
      <c r="I354" s="22"/>
      <c r="J354" s="23" t="s">
        <v>555</v>
      </c>
    </row>
    <row r="355" spans="1:10" x14ac:dyDescent="0.25">
      <c r="A355" s="22" t="s">
        <v>290</v>
      </c>
      <c r="B355" s="22" t="s">
        <v>640</v>
      </c>
      <c r="C355" s="22" t="s">
        <v>309</v>
      </c>
      <c r="D355" s="22" t="s">
        <v>641</v>
      </c>
      <c r="E355" s="22" t="s">
        <v>290</v>
      </c>
      <c r="F355" s="22" t="s">
        <v>36</v>
      </c>
      <c r="G355" s="22"/>
      <c r="H355" s="22" t="s">
        <v>555</v>
      </c>
      <c r="I355" s="22"/>
      <c r="J355" s="23" t="s">
        <v>555</v>
      </c>
    </row>
    <row r="356" spans="1:10" x14ac:dyDescent="0.25">
      <c r="A356" s="22" t="s">
        <v>290</v>
      </c>
      <c r="B356" s="22" t="s">
        <v>640</v>
      </c>
      <c r="C356" s="22" t="s">
        <v>309</v>
      </c>
      <c r="D356" s="22" t="s">
        <v>641</v>
      </c>
      <c r="E356" s="22" t="s">
        <v>290</v>
      </c>
      <c r="F356" s="22" t="s">
        <v>165</v>
      </c>
      <c r="G356" s="22"/>
      <c r="H356" s="22" t="s">
        <v>555</v>
      </c>
      <c r="I356" s="22"/>
      <c r="J356" s="23" t="s">
        <v>555</v>
      </c>
    </row>
    <row r="357" spans="1:10" x14ac:dyDescent="0.25">
      <c r="A357" s="22" t="s">
        <v>290</v>
      </c>
      <c r="B357" s="22" t="s">
        <v>640</v>
      </c>
      <c r="C357" s="22" t="s">
        <v>309</v>
      </c>
      <c r="D357" s="22" t="s">
        <v>641</v>
      </c>
      <c r="E357" s="22" t="s">
        <v>290</v>
      </c>
      <c r="F357" s="22" t="s">
        <v>50</v>
      </c>
      <c r="G357" s="22"/>
      <c r="H357" s="22" t="s">
        <v>555</v>
      </c>
      <c r="I357" s="22"/>
      <c r="J357" s="23" t="s">
        <v>555</v>
      </c>
    </row>
    <row r="358" spans="1:10" x14ac:dyDescent="0.25">
      <c r="A358" s="22" t="s">
        <v>290</v>
      </c>
      <c r="B358" s="22" t="s">
        <v>640</v>
      </c>
      <c r="C358" s="22" t="s">
        <v>309</v>
      </c>
      <c r="D358" s="22" t="s">
        <v>641</v>
      </c>
      <c r="E358" s="22" t="s">
        <v>290</v>
      </c>
      <c r="F358" s="22" t="s">
        <v>63</v>
      </c>
      <c r="G358" s="22"/>
      <c r="H358" s="22" t="s">
        <v>555</v>
      </c>
      <c r="I358" s="22"/>
      <c r="J358" s="23" t="s">
        <v>555</v>
      </c>
    </row>
    <row r="359" spans="1:10" x14ac:dyDescent="0.25">
      <c r="A359" s="22" t="s">
        <v>290</v>
      </c>
      <c r="B359" s="22" t="s">
        <v>640</v>
      </c>
      <c r="C359" s="22" t="s">
        <v>309</v>
      </c>
      <c r="D359" s="22" t="s">
        <v>641</v>
      </c>
      <c r="E359" s="22" t="s">
        <v>290</v>
      </c>
      <c r="F359" s="22" t="s">
        <v>729</v>
      </c>
      <c r="G359" s="22"/>
      <c r="H359" s="22" t="s">
        <v>555</v>
      </c>
      <c r="I359" s="22"/>
      <c r="J359" s="23" t="s">
        <v>555</v>
      </c>
    </row>
    <row r="360" spans="1:10" x14ac:dyDescent="0.25">
      <c r="A360" s="22" t="s">
        <v>290</v>
      </c>
      <c r="B360" s="22" t="s">
        <v>640</v>
      </c>
      <c r="C360" s="22" t="s">
        <v>309</v>
      </c>
      <c r="D360" s="22" t="s">
        <v>641</v>
      </c>
      <c r="E360" s="22" t="s">
        <v>290</v>
      </c>
      <c r="F360" s="22" t="s">
        <v>114</v>
      </c>
      <c r="G360" s="22"/>
      <c r="H360" s="22" t="s">
        <v>555</v>
      </c>
      <c r="I360" s="22"/>
      <c r="J360" s="23" t="s">
        <v>555</v>
      </c>
    </row>
    <row r="361" spans="1:10" x14ac:dyDescent="0.25">
      <c r="A361" s="22" t="s">
        <v>290</v>
      </c>
      <c r="B361" s="22" t="s">
        <v>640</v>
      </c>
      <c r="C361" s="22" t="s">
        <v>309</v>
      </c>
      <c r="D361" s="22" t="s">
        <v>641</v>
      </c>
      <c r="E361" s="22" t="s">
        <v>290</v>
      </c>
      <c r="F361" s="22" t="s">
        <v>145</v>
      </c>
      <c r="G361" s="22"/>
      <c r="H361" s="22" t="s">
        <v>555</v>
      </c>
      <c r="I361" s="22"/>
      <c r="J361" s="23" t="s">
        <v>555</v>
      </c>
    </row>
    <row r="362" spans="1:10" x14ac:dyDescent="0.25">
      <c r="A362" s="22" t="s">
        <v>290</v>
      </c>
      <c r="B362" s="22" t="s">
        <v>640</v>
      </c>
      <c r="C362" s="22" t="s">
        <v>309</v>
      </c>
      <c r="D362" s="22" t="s">
        <v>641</v>
      </c>
      <c r="E362" s="22" t="s">
        <v>290</v>
      </c>
      <c r="F362" s="22" t="s">
        <v>151</v>
      </c>
      <c r="G362" s="22"/>
      <c r="H362" s="22" t="s">
        <v>555</v>
      </c>
      <c r="I362" s="22"/>
      <c r="J362" s="23" t="s">
        <v>555</v>
      </c>
    </row>
    <row r="363" spans="1:10" x14ac:dyDescent="0.25">
      <c r="A363" s="22" t="s">
        <v>290</v>
      </c>
      <c r="B363" s="22" t="s">
        <v>640</v>
      </c>
      <c r="C363" s="22" t="s">
        <v>309</v>
      </c>
      <c r="D363" s="22" t="s">
        <v>641</v>
      </c>
      <c r="E363" s="22" t="s">
        <v>290</v>
      </c>
      <c r="F363" s="22" t="s">
        <v>730</v>
      </c>
      <c r="G363" s="22"/>
      <c r="H363" s="22" t="s">
        <v>627</v>
      </c>
      <c r="I363" s="22"/>
      <c r="J363" s="23" t="s">
        <v>627</v>
      </c>
    </row>
    <row r="364" spans="1:10" x14ac:dyDescent="0.25">
      <c r="A364" s="22" t="s">
        <v>290</v>
      </c>
      <c r="B364" s="22" t="s">
        <v>640</v>
      </c>
      <c r="C364" s="22" t="s">
        <v>309</v>
      </c>
      <c r="D364" s="22" t="s">
        <v>641</v>
      </c>
      <c r="E364" s="22" t="s">
        <v>290</v>
      </c>
      <c r="F364" s="22" t="s">
        <v>731</v>
      </c>
      <c r="G364" s="22"/>
      <c r="H364" s="22" t="s">
        <v>627</v>
      </c>
      <c r="I364" s="22"/>
      <c r="J364" s="23" t="s">
        <v>627</v>
      </c>
    </row>
    <row r="365" spans="1:10" x14ac:dyDescent="0.25">
      <c r="A365" s="22" t="s">
        <v>290</v>
      </c>
      <c r="B365" s="22" t="s">
        <v>640</v>
      </c>
      <c r="C365" s="22" t="s">
        <v>309</v>
      </c>
      <c r="D365" s="22" t="s">
        <v>641</v>
      </c>
      <c r="E365" s="22" t="s">
        <v>290</v>
      </c>
      <c r="F365" s="22" t="s">
        <v>112</v>
      </c>
      <c r="G365" s="22"/>
      <c r="H365" s="22" t="s">
        <v>627</v>
      </c>
      <c r="I365" s="22"/>
      <c r="J365" s="23" t="s">
        <v>627</v>
      </c>
    </row>
    <row r="366" spans="1:10" x14ac:dyDescent="0.25">
      <c r="A366" s="22" t="s">
        <v>290</v>
      </c>
      <c r="B366" s="22" t="s">
        <v>640</v>
      </c>
      <c r="C366" s="22" t="s">
        <v>309</v>
      </c>
      <c r="D366" s="22" t="s">
        <v>641</v>
      </c>
      <c r="E366" s="22" t="s">
        <v>290</v>
      </c>
      <c r="F366" s="22" t="s">
        <v>26</v>
      </c>
      <c r="G366" s="22"/>
      <c r="H366" s="22" t="s">
        <v>555</v>
      </c>
      <c r="I366" s="22"/>
      <c r="J366" s="23" t="s">
        <v>627</v>
      </c>
    </row>
    <row r="367" spans="1:10" x14ac:dyDescent="0.25">
      <c r="A367" s="22" t="s">
        <v>290</v>
      </c>
      <c r="B367" s="22" t="s">
        <v>640</v>
      </c>
      <c r="C367" s="22" t="s">
        <v>309</v>
      </c>
      <c r="D367" s="22" t="s">
        <v>641</v>
      </c>
      <c r="E367" s="22" t="s">
        <v>290</v>
      </c>
      <c r="F367" s="22" t="s">
        <v>48</v>
      </c>
      <c r="G367" s="22"/>
      <c r="H367" s="22" t="s">
        <v>555</v>
      </c>
      <c r="I367" s="22"/>
      <c r="J367" s="23" t="s">
        <v>627</v>
      </c>
    </row>
    <row r="368" spans="1:10" x14ac:dyDescent="0.25">
      <c r="A368" s="22" t="s">
        <v>290</v>
      </c>
      <c r="B368" s="22" t="s">
        <v>640</v>
      </c>
      <c r="C368" s="22" t="s">
        <v>309</v>
      </c>
      <c r="D368" s="22" t="s">
        <v>641</v>
      </c>
      <c r="E368" s="22" t="s">
        <v>290</v>
      </c>
      <c r="F368" s="22" t="s">
        <v>52</v>
      </c>
      <c r="G368" s="22"/>
      <c r="H368" s="22" t="s">
        <v>555</v>
      </c>
      <c r="I368" s="22"/>
      <c r="J368" s="23" t="s">
        <v>627</v>
      </c>
    </row>
    <row r="369" spans="1:10" x14ac:dyDescent="0.25">
      <c r="A369" s="22" t="s">
        <v>290</v>
      </c>
      <c r="B369" s="22" t="s">
        <v>640</v>
      </c>
      <c r="C369" s="22" t="s">
        <v>309</v>
      </c>
      <c r="D369" s="22" t="s">
        <v>641</v>
      </c>
      <c r="E369" s="22" t="s">
        <v>290</v>
      </c>
      <c r="F369" s="22" t="s">
        <v>169</v>
      </c>
      <c r="G369" s="22"/>
      <c r="H369" s="22" t="s">
        <v>555</v>
      </c>
      <c r="I369" s="22"/>
      <c r="J369" s="23" t="s">
        <v>627</v>
      </c>
    </row>
    <row r="370" spans="1:10" x14ac:dyDescent="0.25">
      <c r="A370" s="22" t="s">
        <v>290</v>
      </c>
      <c r="B370" s="22" t="s">
        <v>640</v>
      </c>
      <c r="C370" s="22" t="s">
        <v>309</v>
      </c>
      <c r="D370" s="22" t="s">
        <v>641</v>
      </c>
      <c r="E370" s="22" t="s">
        <v>290</v>
      </c>
      <c r="F370" s="22" t="s">
        <v>171</v>
      </c>
      <c r="G370" s="22"/>
      <c r="H370" s="22" t="s">
        <v>555</v>
      </c>
      <c r="I370" s="22"/>
      <c r="J370" s="23" t="s">
        <v>627</v>
      </c>
    </row>
    <row r="371" spans="1:10" x14ac:dyDescent="0.25">
      <c r="A371" s="22" t="s">
        <v>290</v>
      </c>
      <c r="B371" s="22" t="s">
        <v>640</v>
      </c>
      <c r="C371" s="22" t="s">
        <v>309</v>
      </c>
      <c r="D371" s="22" t="s">
        <v>641</v>
      </c>
      <c r="E371" s="22" t="s">
        <v>290</v>
      </c>
      <c r="F371" s="22" t="s">
        <v>732</v>
      </c>
      <c r="G371" s="22"/>
      <c r="H371" s="22" t="s">
        <v>555</v>
      </c>
      <c r="I371" s="22"/>
      <c r="J371" s="23" t="s">
        <v>627</v>
      </c>
    </row>
    <row r="372" spans="1:10" x14ac:dyDescent="0.25">
      <c r="A372" s="22" t="s">
        <v>290</v>
      </c>
      <c r="B372" s="22" t="s">
        <v>640</v>
      </c>
      <c r="C372" s="22" t="s">
        <v>309</v>
      </c>
      <c r="D372" s="22" t="s">
        <v>641</v>
      </c>
      <c r="E372" s="22" t="s">
        <v>290</v>
      </c>
      <c r="F372" s="22" t="s">
        <v>83</v>
      </c>
      <c r="G372" s="22"/>
      <c r="H372" s="22" t="s">
        <v>555</v>
      </c>
      <c r="I372" s="22"/>
      <c r="J372" s="23" t="s">
        <v>627</v>
      </c>
    </row>
    <row r="373" spans="1:10" x14ac:dyDescent="0.25">
      <c r="A373" s="22" t="s">
        <v>290</v>
      </c>
      <c r="B373" s="22" t="s">
        <v>640</v>
      </c>
      <c r="C373" s="22" t="s">
        <v>309</v>
      </c>
      <c r="D373" s="22" t="s">
        <v>641</v>
      </c>
      <c r="E373" s="22" t="s">
        <v>290</v>
      </c>
      <c r="F373" s="22" t="s">
        <v>85</v>
      </c>
      <c r="G373" s="22"/>
      <c r="H373" s="22" t="s">
        <v>555</v>
      </c>
      <c r="I373" s="22"/>
      <c r="J373" s="23" t="s">
        <v>627</v>
      </c>
    </row>
    <row r="374" spans="1:10" x14ac:dyDescent="0.25">
      <c r="A374" s="22" t="s">
        <v>290</v>
      </c>
      <c r="B374" s="22" t="s">
        <v>640</v>
      </c>
      <c r="C374" s="22" t="s">
        <v>309</v>
      </c>
      <c r="D374" s="22" t="s">
        <v>641</v>
      </c>
      <c r="E374" s="22" t="s">
        <v>290</v>
      </c>
      <c r="F374" s="22" t="s">
        <v>90</v>
      </c>
      <c r="G374" s="22"/>
      <c r="H374" s="22" t="s">
        <v>555</v>
      </c>
      <c r="I374" s="22"/>
      <c r="J374" s="23" t="s">
        <v>627</v>
      </c>
    </row>
    <row r="375" spans="1:10" x14ac:dyDescent="0.25">
      <c r="A375" s="22" t="s">
        <v>290</v>
      </c>
      <c r="B375" s="22" t="s">
        <v>640</v>
      </c>
      <c r="C375" s="22" t="s">
        <v>309</v>
      </c>
      <c r="D375" s="22" t="s">
        <v>641</v>
      </c>
      <c r="E375" s="22" t="s">
        <v>290</v>
      </c>
      <c r="F375" s="22" t="s">
        <v>177</v>
      </c>
      <c r="G375" s="22"/>
      <c r="H375" s="22" t="s">
        <v>555</v>
      </c>
      <c r="I375" s="22"/>
      <c r="J375" s="23" t="s">
        <v>627</v>
      </c>
    </row>
    <row r="376" spans="1:10" x14ac:dyDescent="0.25">
      <c r="A376" s="22" t="s">
        <v>290</v>
      </c>
      <c r="B376" s="22" t="s">
        <v>640</v>
      </c>
      <c r="C376" s="22" t="s">
        <v>309</v>
      </c>
      <c r="D376" s="22" t="s">
        <v>641</v>
      </c>
      <c r="E376" s="22" t="s">
        <v>290</v>
      </c>
      <c r="F376" s="22" t="s">
        <v>94</v>
      </c>
      <c r="G376" s="22"/>
      <c r="H376" s="22" t="s">
        <v>555</v>
      </c>
      <c r="I376" s="22"/>
      <c r="J376" s="23" t="s">
        <v>627</v>
      </c>
    </row>
    <row r="377" spans="1:10" x14ac:dyDescent="0.25">
      <c r="A377" s="22" t="s">
        <v>290</v>
      </c>
      <c r="B377" s="22" t="s">
        <v>640</v>
      </c>
      <c r="C377" s="22" t="s">
        <v>309</v>
      </c>
      <c r="D377" s="22" t="s">
        <v>641</v>
      </c>
      <c r="E377" s="22" t="s">
        <v>290</v>
      </c>
      <c r="F377" s="22" t="s">
        <v>103</v>
      </c>
      <c r="G377" s="22"/>
      <c r="H377" s="22" t="s">
        <v>555</v>
      </c>
      <c r="I377" s="22"/>
      <c r="J377" s="23" t="s">
        <v>627</v>
      </c>
    </row>
    <row r="378" spans="1:10" x14ac:dyDescent="0.25">
      <c r="A378" s="22" t="s">
        <v>290</v>
      </c>
      <c r="B378" s="22" t="s">
        <v>640</v>
      </c>
      <c r="C378" s="22" t="s">
        <v>309</v>
      </c>
      <c r="D378" s="22" t="s">
        <v>641</v>
      </c>
      <c r="E378" s="22" t="s">
        <v>290</v>
      </c>
      <c r="F378" s="22" t="s">
        <v>108</v>
      </c>
      <c r="G378" s="22"/>
      <c r="H378" s="22" t="s">
        <v>555</v>
      </c>
      <c r="I378" s="22"/>
      <c r="J378" s="23" t="s">
        <v>627</v>
      </c>
    </row>
    <row r="379" spans="1:10" x14ac:dyDescent="0.25">
      <c r="A379" s="22" t="s">
        <v>290</v>
      </c>
      <c r="B379" s="22" t="s">
        <v>640</v>
      </c>
      <c r="C379" s="22" t="s">
        <v>309</v>
      </c>
      <c r="D379" s="22" t="s">
        <v>641</v>
      </c>
      <c r="E379" s="22" t="s">
        <v>290</v>
      </c>
      <c r="F379" s="22" t="s">
        <v>733</v>
      </c>
      <c r="G379" s="22"/>
      <c r="H379" s="22" t="s">
        <v>627</v>
      </c>
      <c r="I379" s="22"/>
      <c r="J379" s="23" t="s">
        <v>627</v>
      </c>
    </row>
    <row r="380" spans="1:10" x14ac:dyDescent="0.25">
      <c r="A380" s="22" t="s">
        <v>290</v>
      </c>
      <c r="B380" s="22" t="s">
        <v>640</v>
      </c>
      <c r="C380" s="22" t="s">
        <v>309</v>
      </c>
      <c r="D380" s="22" t="s">
        <v>641</v>
      </c>
      <c r="E380" s="22" t="s">
        <v>290</v>
      </c>
      <c r="F380" s="22" t="s">
        <v>133</v>
      </c>
      <c r="G380" s="22"/>
      <c r="H380" s="22" t="s">
        <v>627</v>
      </c>
      <c r="I380" s="22"/>
      <c r="J380" s="23" t="s">
        <v>627</v>
      </c>
    </row>
    <row r="381" spans="1:10" x14ac:dyDescent="0.25">
      <c r="A381" s="22" t="s">
        <v>290</v>
      </c>
      <c r="B381" s="22" t="s">
        <v>640</v>
      </c>
      <c r="C381" s="22" t="s">
        <v>309</v>
      </c>
      <c r="D381" s="22" t="s">
        <v>641</v>
      </c>
      <c r="E381" s="22" t="s">
        <v>290</v>
      </c>
      <c r="F381" s="22" t="s">
        <v>734</v>
      </c>
      <c r="G381" s="22"/>
      <c r="H381" s="22" t="s">
        <v>555</v>
      </c>
      <c r="I381" s="22"/>
      <c r="J381" s="23" t="s">
        <v>555</v>
      </c>
    </row>
    <row r="382" spans="1:10" x14ac:dyDescent="0.25">
      <c r="A382" s="22" t="s">
        <v>290</v>
      </c>
      <c r="B382" s="22" t="s">
        <v>640</v>
      </c>
      <c r="C382" s="22" t="s">
        <v>309</v>
      </c>
      <c r="D382" s="22" t="s">
        <v>641</v>
      </c>
      <c r="E382" s="22" t="s">
        <v>290</v>
      </c>
      <c r="F382" s="22" t="s">
        <v>735</v>
      </c>
      <c r="G382" s="22"/>
      <c r="H382" s="22" t="s">
        <v>555</v>
      </c>
      <c r="I382" s="22"/>
      <c r="J382" s="23" t="s">
        <v>555</v>
      </c>
    </row>
    <row r="383" spans="1:10" x14ac:dyDescent="0.25">
      <c r="A383" s="22" t="s">
        <v>290</v>
      </c>
      <c r="B383" s="22" t="s">
        <v>640</v>
      </c>
      <c r="C383" s="22" t="s">
        <v>309</v>
      </c>
      <c r="D383" s="22" t="s">
        <v>641</v>
      </c>
      <c r="E383" s="22" t="s">
        <v>290</v>
      </c>
      <c r="F383" s="22" t="s">
        <v>736</v>
      </c>
      <c r="G383" s="22"/>
      <c r="H383" s="22" t="s">
        <v>555</v>
      </c>
      <c r="I383" s="22"/>
      <c r="J383" s="23" t="s">
        <v>555</v>
      </c>
    </row>
    <row r="384" spans="1:10" x14ac:dyDescent="0.25">
      <c r="A384" s="22" t="s">
        <v>290</v>
      </c>
      <c r="B384" s="22" t="s">
        <v>640</v>
      </c>
      <c r="C384" s="22" t="s">
        <v>309</v>
      </c>
      <c r="D384" s="22" t="s">
        <v>641</v>
      </c>
      <c r="E384" s="22" t="s">
        <v>290</v>
      </c>
      <c r="F384" s="22" t="s">
        <v>30</v>
      </c>
      <c r="G384" s="22"/>
      <c r="H384" s="22" t="s">
        <v>555</v>
      </c>
      <c r="I384" s="22"/>
      <c r="J384" s="23" t="s">
        <v>555</v>
      </c>
    </row>
    <row r="385" spans="1:10" x14ac:dyDescent="0.25">
      <c r="A385" s="22" t="s">
        <v>290</v>
      </c>
      <c r="B385" s="22" t="s">
        <v>640</v>
      </c>
      <c r="C385" s="22" t="s">
        <v>309</v>
      </c>
      <c r="D385" s="22" t="s">
        <v>641</v>
      </c>
      <c r="E385" s="22" t="s">
        <v>290</v>
      </c>
      <c r="F385" s="22" t="s">
        <v>737</v>
      </c>
      <c r="G385" s="22"/>
      <c r="H385" s="22" t="s">
        <v>555</v>
      </c>
      <c r="I385" s="22"/>
      <c r="J385" s="23" t="s">
        <v>555</v>
      </c>
    </row>
    <row r="386" spans="1:10" x14ac:dyDescent="0.25">
      <c r="A386" s="22" t="s">
        <v>290</v>
      </c>
      <c r="B386" s="22" t="s">
        <v>640</v>
      </c>
      <c r="C386" s="22" t="s">
        <v>309</v>
      </c>
      <c r="D386" s="22" t="s">
        <v>641</v>
      </c>
      <c r="E386" s="22" t="s">
        <v>290</v>
      </c>
      <c r="F386" s="22" t="s">
        <v>738</v>
      </c>
      <c r="G386" s="22"/>
      <c r="H386" s="22" t="s">
        <v>555</v>
      </c>
      <c r="I386" s="22"/>
      <c r="J386" s="23" t="s">
        <v>555</v>
      </c>
    </row>
    <row r="387" spans="1:10" x14ac:dyDescent="0.25">
      <c r="A387" s="22" t="s">
        <v>290</v>
      </c>
      <c r="B387" s="22" t="s">
        <v>640</v>
      </c>
      <c r="C387" s="22" t="s">
        <v>309</v>
      </c>
      <c r="D387" s="22" t="s">
        <v>641</v>
      </c>
      <c r="E387" s="22" t="s">
        <v>290</v>
      </c>
      <c r="F387" s="22" t="s">
        <v>739</v>
      </c>
      <c r="G387" s="22"/>
      <c r="H387" s="22" t="s">
        <v>555</v>
      </c>
      <c r="I387" s="22"/>
      <c r="J387" s="23" t="s">
        <v>555</v>
      </c>
    </row>
    <row r="388" spans="1:10" x14ac:dyDescent="0.25">
      <c r="A388" s="22" t="s">
        <v>290</v>
      </c>
      <c r="B388" s="22" t="s">
        <v>640</v>
      </c>
      <c r="C388" s="22" t="s">
        <v>309</v>
      </c>
      <c r="D388" s="22" t="s">
        <v>641</v>
      </c>
      <c r="E388" s="22" t="s">
        <v>290</v>
      </c>
      <c r="F388" s="22" t="s">
        <v>740</v>
      </c>
      <c r="G388" s="22"/>
      <c r="H388" s="22" t="s">
        <v>555</v>
      </c>
      <c r="I388" s="22"/>
      <c r="J388" s="23" t="s">
        <v>555</v>
      </c>
    </row>
    <row r="389" spans="1:10" x14ac:dyDescent="0.25">
      <c r="A389" s="22" t="s">
        <v>290</v>
      </c>
      <c r="B389" s="22" t="s">
        <v>640</v>
      </c>
      <c r="C389" s="22" t="s">
        <v>309</v>
      </c>
      <c r="D389" s="22" t="s">
        <v>641</v>
      </c>
      <c r="E389" s="22" t="s">
        <v>290</v>
      </c>
      <c r="F389" s="22" t="s">
        <v>741</v>
      </c>
      <c r="G389" s="22"/>
      <c r="H389" s="22" t="s">
        <v>555</v>
      </c>
      <c r="I389" s="22"/>
      <c r="J389" s="23" t="s">
        <v>555</v>
      </c>
    </row>
    <row r="390" spans="1:10" x14ac:dyDescent="0.25">
      <c r="A390" s="22" t="s">
        <v>290</v>
      </c>
      <c r="B390" s="22" t="s">
        <v>640</v>
      </c>
      <c r="C390" s="22" t="s">
        <v>309</v>
      </c>
      <c r="D390" s="22" t="s">
        <v>641</v>
      </c>
      <c r="E390" s="22" t="s">
        <v>290</v>
      </c>
      <c r="F390" s="22" t="s">
        <v>233</v>
      </c>
      <c r="G390" s="22"/>
      <c r="H390" s="22" t="s">
        <v>555</v>
      </c>
      <c r="I390" s="22"/>
      <c r="J390" s="23" t="s">
        <v>555</v>
      </c>
    </row>
    <row r="391" spans="1:10" x14ac:dyDescent="0.25">
      <c r="A391" s="22" t="s">
        <v>290</v>
      </c>
      <c r="B391" s="22" t="s">
        <v>640</v>
      </c>
      <c r="C391" s="22" t="s">
        <v>309</v>
      </c>
      <c r="D391" s="22" t="s">
        <v>641</v>
      </c>
      <c r="E391" s="22" t="s">
        <v>290</v>
      </c>
      <c r="F391" s="22" t="s">
        <v>742</v>
      </c>
      <c r="G391" s="22"/>
      <c r="H391" s="22" t="s">
        <v>555</v>
      </c>
      <c r="I391" s="22"/>
      <c r="J391" s="23" t="s">
        <v>555</v>
      </c>
    </row>
    <row r="392" spans="1:10" x14ac:dyDescent="0.25">
      <c r="A392" s="22" t="s">
        <v>290</v>
      </c>
      <c r="B392" s="22" t="s">
        <v>640</v>
      </c>
      <c r="C392" s="22" t="s">
        <v>309</v>
      </c>
      <c r="D392" s="22" t="s">
        <v>641</v>
      </c>
      <c r="E392" s="22" t="s">
        <v>290</v>
      </c>
      <c r="F392" s="22" t="s">
        <v>743</v>
      </c>
      <c r="G392" s="22"/>
      <c r="H392" s="22" t="s">
        <v>555</v>
      </c>
      <c r="I392" s="22"/>
      <c r="J392" s="23" t="s">
        <v>555</v>
      </c>
    </row>
    <row r="393" spans="1:10" x14ac:dyDescent="0.25">
      <c r="A393" s="22" t="s">
        <v>290</v>
      </c>
      <c r="B393" s="22" t="s">
        <v>640</v>
      </c>
      <c r="C393" s="22" t="s">
        <v>309</v>
      </c>
      <c r="D393" s="22" t="s">
        <v>641</v>
      </c>
      <c r="E393" s="22" t="s">
        <v>290</v>
      </c>
      <c r="F393" s="22" t="s">
        <v>744</v>
      </c>
      <c r="G393" s="22"/>
      <c r="H393" s="22" t="s">
        <v>555</v>
      </c>
      <c r="I393" s="22"/>
      <c r="J393" s="23" t="s">
        <v>555</v>
      </c>
    </row>
    <row r="394" spans="1:10" x14ac:dyDescent="0.25">
      <c r="A394" s="22" t="s">
        <v>290</v>
      </c>
      <c r="B394" s="22" t="s">
        <v>640</v>
      </c>
      <c r="C394" s="22" t="s">
        <v>309</v>
      </c>
      <c r="D394" s="22" t="s">
        <v>641</v>
      </c>
      <c r="E394" s="22" t="s">
        <v>290</v>
      </c>
      <c r="F394" s="22" t="s">
        <v>745</v>
      </c>
      <c r="G394" s="22"/>
      <c r="H394" s="22" t="s">
        <v>555</v>
      </c>
      <c r="I394" s="22"/>
      <c r="J394" s="23" t="s">
        <v>555</v>
      </c>
    </row>
    <row r="395" spans="1:10" x14ac:dyDescent="0.25">
      <c r="A395" s="22" t="s">
        <v>290</v>
      </c>
      <c r="B395" s="22" t="s">
        <v>640</v>
      </c>
      <c r="C395" s="22" t="s">
        <v>309</v>
      </c>
      <c r="D395" s="22" t="s">
        <v>641</v>
      </c>
      <c r="E395" s="22" t="s">
        <v>290</v>
      </c>
      <c r="F395" s="22" t="s">
        <v>97</v>
      </c>
      <c r="G395" s="22"/>
      <c r="H395" s="22" t="s">
        <v>555</v>
      </c>
      <c r="I395" s="22"/>
      <c r="J395" s="23" t="s">
        <v>555</v>
      </c>
    </row>
    <row r="396" spans="1:10" x14ac:dyDescent="0.25">
      <c r="A396" s="22" t="s">
        <v>290</v>
      </c>
      <c r="B396" s="22" t="s">
        <v>640</v>
      </c>
      <c r="C396" s="22" t="s">
        <v>309</v>
      </c>
      <c r="D396" s="22" t="s">
        <v>641</v>
      </c>
      <c r="E396" s="22" t="s">
        <v>290</v>
      </c>
      <c r="F396" s="22" t="s">
        <v>110</v>
      </c>
      <c r="G396" s="22"/>
      <c r="H396" s="22" t="s">
        <v>555</v>
      </c>
      <c r="I396" s="22"/>
      <c r="J396" s="23" t="s">
        <v>555</v>
      </c>
    </row>
    <row r="397" spans="1:10" x14ac:dyDescent="0.25">
      <c r="A397" s="22" t="s">
        <v>290</v>
      </c>
      <c r="B397" s="22" t="s">
        <v>640</v>
      </c>
      <c r="C397" s="22" t="s">
        <v>309</v>
      </c>
      <c r="D397" s="22" t="s">
        <v>641</v>
      </c>
      <c r="E397" s="22" t="s">
        <v>290</v>
      </c>
      <c r="F397" s="22" t="s">
        <v>746</v>
      </c>
      <c r="G397" s="22"/>
      <c r="H397" s="22" t="s">
        <v>555</v>
      </c>
      <c r="I397" s="22"/>
      <c r="J397" s="23" t="s">
        <v>555</v>
      </c>
    </row>
    <row r="398" spans="1:10" x14ac:dyDescent="0.25">
      <c r="A398" s="22" t="s">
        <v>290</v>
      </c>
      <c r="B398" s="22" t="s">
        <v>640</v>
      </c>
      <c r="C398" s="22" t="s">
        <v>309</v>
      </c>
      <c r="D398" s="22" t="s">
        <v>641</v>
      </c>
      <c r="E398" s="22" t="s">
        <v>290</v>
      </c>
      <c r="F398" s="22" t="s">
        <v>747</v>
      </c>
      <c r="G398" s="22"/>
      <c r="H398" s="22" t="s">
        <v>555</v>
      </c>
      <c r="I398" s="22"/>
      <c r="J398" s="23" t="s">
        <v>555</v>
      </c>
    </row>
    <row r="399" spans="1:10" x14ac:dyDescent="0.25">
      <c r="A399" s="22" t="s">
        <v>290</v>
      </c>
      <c r="B399" s="22" t="s">
        <v>640</v>
      </c>
      <c r="C399" s="22" t="s">
        <v>309</v>
      </c>
      <c r="D399" s="22" t="s">
        <v>641</v>
      </c>
      <c r="E399" s="22" t="s">
        <v>290</v>
      </c>
      <c r="F399" s="22" t="s">
        <v>748</v>
      </c>
      <c r="G399" s="22"/>
      <c r="H399" s="22" t="s">
        <v>555</v>
      </c>
      <c r="I399" s="22"/>
      <c r="J399" s="23" t="s">
        <v>555</v>
      </c>
    </row>
    <row r="400" spans="1:10" x14ac:dyDescent="0.25">
      <c r="A400" s="22" t="s">
        <v>290</v>
      </c>
      <c r="B400" s="22" t="s">
        <v>640</v>
      </c>
      <c r="C400" s="22" t="s">
        <v>309</v>
      </c>
      <c r="D400" s="22" t="s">
        <v>641</v>
      </c>
      <c r="E400" s="22" t="s">
        <v>290</v>
      </c>
      <c r="F400" s="22" t="s">
        <v>749</v>
      </c>
      <c r="G400" s="22"/>
      <c r="H400" s="22" t="s">
        <v>555</v>
      </c>
      <c r="I400" s="22"/>
      <c r="J400" s="23" t="s">
        <v>555</v>
      </c>
    </row>
    <row r="401" spans="1:10" x14ac:dyDescent="0.25">
      <c r="A401" s="22" t="s">
        <v>290</v>
      </c>
      <c r="B401" s="22" t="s">
        <v>640</v>
      </c>
      <c r="C401" s="22" t="s">
        <v>309</v>
      </c>
      <c r="D401" s="22" t="s">
        <v>641</v>
      </c>
      <c r="E401" s="22" t="s">
        <v>290</v>
      </c>
      <c r="F401" s="22" t="s">
        <v>130</v>
      </c>
      <c r="G401" s="22"/>
      <c r="H401" s="22" t="s">
        <v>555</v>
      </c>
      <c r="I401" s="22"/>
      <c r="J401" s="23" t="s">
        <v>555</v>
      </c>
    </row>
    <row r="402" spans="1:10" x14ac:dyDescent="0.25">
      <c r="A402" s="22" t="s">
        <v>290</v>
      </c>
      <c r="B402" s="22" t="s">
        <v>640</v>
      </c>
      <c r="C402" s="22" t="s">
        <v>309</v>
      </c>
      <c r="D402" s="22" t="s">
        <v>641</v>
      </c>
      <c r="E402" s="22" t="s">
        <v>290</v>
      </c>
      <c r="F402" s="22" t="s">
        <v>750</v>
      </c>
      <c r="G402" s="22"/>
      <c r="H402" s="22" t="s">
        <v>555</v>
      </c>
      <c r="I402" s="22"/>
      <c r="J402" s="23" t="s">
        <v>555</v>
      </c>
    </row>
    <row r="403" spans="1:10" x14ac:dyDescent="0.25">
      <c r="A403" s="22" t="s">
        <v>290</v>
      </c>
      <c r="B403" s="22" t="s">
        <v>640</v>
      </c>
      <c r="C403" s="22" t="s">
        <v>309</v>
      </c>
      <c r="D403" s="22" t="s">
        <v>641</v>
      </c>
      <c r="E403" s="22" t="s">
        <v>290</v>
      </c>
      <c r="F403" s="22" t="s">
        <v>751</v>
      </c>
      <c r="G403" s="22"/>
      <c r="H403" s="22" t="s">
        <v>555</v>
      </c>
      <c r="I403" s="22"/>
      <c r="J403" s="23" t="s">
        <v>555</v>
      </c>
    </row>
    <row r="404" spans="1:10" x14ac:dyDescent="0.25">
      <c r="A404" s="22" t="s">
        <v>290</v>
      </c>
      <c r="B404" s="22" t="s">
        <v>640</v>
      </c>
      <c r="C404" s="22" t="s">
        <v>309</v>
      </c>
      <c r="D404" s="22" t="s">
        <v>641</v>
      </c>
      <c r="E404" s="22" t="s">
        <v>290</v>
      </c>
      <c r="F404" s="22" t="s">
        <v>143</v>
      </c>
      <c r="G404" s="22"/>
      <c r="H404" s="22" t="s">
        <v>555</v>
      </c>
      <c r="I404" s="22"/>
      <c r="J404" s="23" t="s">
        <v>555</v>
      </c>
    </row>
    <row r="405" spans="1:10" x14ac:dyDescent="0.25">
      <c r="A405" s="22" t="s">
        <v>290</v>
      </c>
      <c r="B405" s="22" t="s">
        <v>640</v>
      </c>
      <c r="C405" s="22" t="s">
        <v>309</v>
      </c>
      <c r="D405" s="22" t="s">
        <v>641</v>
      </c>
      <c r="E405" s="22" t="s">
        <v>290</v>
      </c>
      <c r="F405" s="22" t="s">
        <v>752</v>
      </c>
      <c r="G405" s="22"/>
      <c r="H405" s="22" t="s">
        <v>555</v>
      </c>
      <c r="I405" s="22"/>
      <c r="J405" s="23" t="s">
        <v>555</v>
      </c>
    </row>
    <row r="406" spans="1:10" x14ac:dyDescent="0.25">
      <c r="A406" s="22" t="s">
        <v>290</v>
      </c>
      <c r="B406" s="22" t="s">
        <v>640</v>
      </c>
      <c r="C406" s="22" t="s">
        <v>309</v>
      </c>
      <c r="D406" s="22" t="s">
        <v>641</v>
      </c>
      <c r="E406" s="22" t="s">
        <v>290</v>
      </c>
      <c r="F406" s="22" t="s">
        <v>118</v>
      </c>
      <c r="G406" s="22"/>
      <c r="H406" s="22" t="s">
        <v>627</v>
      </c>
      <c r="I406" s="22"/>
      <c r="J406" s="23" t="s">
        <v>627</v>
      </c>
    </row>
    <row r="407" spans="1:10" x14ac:dyDescent="0.25">
      <c r="A407" s="22" t="s">
        <v>290</v>
      </c>
      <c r="B407" s="22" t="s">
        <v>640</v>
      </c>
      <c r="C407" s="22" t="s">
        <v>309</v>
      </c>
      <c r="D407" s="22" t="s">
        <v>641</v>
      </c>
      <c r="E407" s="22" t="s">
        <v>290</v>
      </c>
      <c r="F407" s="22" t="s">
        <v>217</v>
      </c>
      <c r="G407" s="22"/>
      <c r="H407" s="22" t="s">
        <v>627</v>
      </c>
      <c r="I407" s="22"/>
      <c r="J407" s="23" t="s">
        <v>627</v>
      </c>
    </row>
    <row r="408" spans="1:10" x14ac:dyDescent="0.25">
      <c r="A408" s="22" t="s">
        <v>290</v>
      </c>
      <c r="B408" s="22" t="s">
        <v>640</v>
      </c>
      <c r="C408" s="22" t="s">
        <v>309</v>
      </c>
      <c r="D408" s="22" t="s">
        <v>641</v>
      </c>
      <c r="E408" s="22" t="s">
        <v>290</v>
      </c>
      <c r="F408" s="22" t="s">
        <v>753</v>
      </c>
      <c r="G408" s="22"/>
      <c r="H408" s="22" t="s">
        <v>627</v>
      </c>
      <c r="I408" s="22"/>
      <c r="J408" s="23" t="s">
        <v>627</v>
      </c>
    </row>
    <row r="409" spans="1:10" x14ac:dyDescent="0.25">
      <c r="A409" s="22" t="s">
        <v>290</v>
      </c>
      <c r="B409" s="22" t="s">
        <v>640</v>
      </c>
      <c r="C409" s="22" t="s">
        <v>309</v>
      </c>
      <c r="D409" s="22" t="s">
        <v>641</v>
      </c>
      <c r="E409" s="22" t="s">
        <v>290</v>
      </c>
      <c r="F409" s="22" t="s">
        <v>120</v>
      </c>
      <c r="G409" s="22"/>
      <c r="H409" s="22" t="s">
        <v>627</v>
      </c>
      <c r="I409" s="22"/>
      <c r="J409" s="23" t="s">
        <v>627</v>
      </c>
    </row>
    <row r="410" spans="1:10" x14ac:dyDescent="0.25">
      <c r="A410" s="22" t="s">
        <v>290</v>
      </c>
      <c r="B410" s="22" t="s">
        <v>640</v>
      </c>
      <c r="C410" s="22" t="s">
        <v>309</v>
      </c>
      <c r="D410" s="22" t="s">
        <v>641</v>
      </c>
      <c r="E410" s="22" t="s">
        <v>290</v>
      </c>
      <c r="F410" s="22" t="s">
        <v>149</v>
      </c>
      <c r="G410" s="22"/>
      <c r="H410" s="22" t="s">
        <v>627</v>
      </c>
      <c r="I410" s="22"/>
      <c r="J410" s="23" t="s">
        <v>627</v>
      </c>
    </row>
    <row r="411" spans="1:10" x14ac:dyDescent="0.25">
      <c r="A411" s="22" t="s">
        <v>290</v>
      </c>
      <c r="B411" s="22" t="s">
        <v>640</v>
      </c>
      <c r="C411" s="22" t="s">
        <v>309</v>
      </c>
      <c r="D411" s="22" t="s">
        <v>641</v>
      </c>
      <c r="E411" s="22" t="s">
        <v>290</v>
      </c>
      <c r="F411" s="22" t="s">
        <v>106</v>
      </c>
      <c r="G411" s="22"/>
      <c r="H411" s="22" t="s">
        <v>298</v>
      </c>
      <c r="I411" s="22"/>
      <c r="J411" s="23" t="s">
        <v>627</v>
      </c>
    </row>
    <row r="412" spans="1:10" x14ac:dyDescent="0.25">
      <c r="A412" s="22" t="s">
        <v>290</v>
      </c>
      <c r="B412" s="22" t="s">
        <v>640</v>
      </c>
      <c r="C412" s="22" t="s">
        <v>309</v>
      </c>
      <c r="D412" s="22" t="s">
        <v>641</v>
      </c>
      <c r="E412" s="22" t="s">
        <v>290</v>
      </c>
      <c r="F412" s="22" t="s">
        <v>141</v>
      </c>
      <c r="G412" s="22"/>
      <c r="H412" s="22" t="s">
        <v>298</v>
      </c>
      <c r="I412" s="22"/>
      <c r="J412" s="23" t="s">
        <v>627</v>
      </c>
    </row>
    <row r="413" spans="1:10" x14ac:dyDescent="0.25">
      <c r="A413" s="22" t="s">
        <v>290</v>
      </c>
      <c r="B413" s="22" t="s">
        <v>640</v>
      </c>
      <c r="C413" s="22" t="s">
        <v>309</v>
      </c>
      <c r="D413" s="22" t="s">
        <v>641</v>
      </c>
      <c r="E413" s="22" t="s">
        <v>290</v>
      </c>
      <c r="F413" s="22" t="s">
        <v>754</v>
      </c>
      <c r="G413" s="22"/>
      <c r="H413" s="22" t="s">
        <v>627</v>
      </c>
      <c r="I413" s="22"/>
      <c r="J413" s="23" t="s">
        <v>627</v>
      </c>
    </row>
    <row r="414" spans="1:10" x14ac:dyDescent="0.25">
      <c r="A414" s="22" t="s">
        <v>290</v>
      </c>
      <c r="B414" s="22" t="s">
        <v>640</v>
      </c>
      <c r="C414" s="22" t="s">
        <v>309</v>
      </c>
      <c r="D414" s="22" t="s">
        <v>641</v>
      </c>
      <c r="E414" s="22" t="s">
        <v>290</v>
      </c>
      <c r="F414" s="22" t="s">
        <v>755</v>
      </c>
      <c r="G414" s="22"/>
      <c r="H414" s="22" t="s">
        <v>627</v>
      </c>
      <c r="I414" s="22"/>
      <c r="J414" s="23" t="s">
        <v>627</v>
      </c>
    </row>
    <row r="415" spans="1:10" x14ac:dyDescent="0.25">
      <c r="A415" s="22" t="s">
        <v>290</v>
      </c>
      <c r="B415" s="22" t="s">
        <v>640</v>
      </c>
      <c r="C415" s="22" t="s">
        <v>309</v>
      </c>
      <c r="D415" s="22" t="s">
        <v>641</v>
      </c>
      <c r="E415" s="22" t="s">
        <v>290</v>
      </c>
      <c r="F415" s="22" t="s">
        <v>756</v>
      </c>
      <c r="G415" s="22"/>
      <c r="H415" s="22" t="s">
        <v>627</v>
      </c>
      <c r="I415" s="22"/>
      <c r="J415" s="23" t="s">
        <v>627</v>
      </c>
    </row>
    <row r="416" spans="1:10" x14ac:dyDescent="0.25">
      <c r="A416" s="22" t="s">
        <v>290</v>
      </c>
      <c r="B416" s="22" t="s">
        <v>640</v>
      </c>
      <c r="C416" s="22" t="s">
        <v>309</v>
      </c>
      <c r="D416" s="22" t="s">
        <v>641</v>
      </c>
      <c r="E416" s="22" t="s">
        <v>290</v>
      </c>
      <c r="F416" s="22" t="s">
        <v>757</v>
      </c>
      <c r="G416" s="22"/>
      <c r="H416" s="22" t="s">
        <v>627</v>
      </c>
      <c r="I416" s="22"/>
      <c r="J416" s="23" t="s">
        <v>627</v>
      </c>
    </row>
    <row r="417" spans="1:10" x14ac:dyDescent="0.25">
      <c r="A417" s="22" t="s">
        <v>290</v>
      </c>
      <c r="B417" s="22" t="s">
        <v>640</v>
      </c>
      <c r="C417" s="22" t="s">
        <v>309</v>
      </c>
      <c r="D417" s="22" t="s">
        <v>641</v>
      </c>
      <c r="E417" s="22" t="s">
        <v>290</v>
      </c>
      <c r="F417" s="22" t="s">
        <v>124</v>
      </c>
      <c r="G417" s="22"/>
      <c r="H417" s="22" t="s">
        <v>627</v>
      </c>
      <c r="I417" s="22"/>
      <c r="J417" s="23" t="s">
        <v>627</v>
      </c>
    </row>
    <row r="418" spans="1:10" x14ac:dyDescent="0.25">
      <c r="A418" s="22" t="s">
        <v>290</v>
      </c>
      <c r="B418" s="22" t="s">
        <v>640</v>
      </c>
      <c r="C418" s="22" t="s">
        <v>309</v>
      </c>
      <c r="D418" s="22" t="s">
        <v>641</v>
      </c>
      <c r="E418" s="22" t="s">
        <v>290</v>
      </c>
      <c r="F418" s="22" t="s">
        <v>758</v>
      </c>
      <c r="G418" s="22"/>
      <c r="H418" s="22" t="s">
        <v>627</v>
      </c>
      <c r="I418" s="22"/>
      <c r="J418" s="23" t="s">
        <v>627</v>
      </c>
    </row>
    <row r="419" spans="1:10" x14ac:dyDescent="0.25">
      <c r="A419" s="22" t="s">
        <v>290</v>
      </c>
      <c r="B419" s="22" t="s">
        <v>640</v>
      </c>
      <c r="C419" s="22" t="s">
        <v>309</v>
      </c>
      <c r="D419" s="22" t="s">
        <v>641</v>
      </c>
      <c r="E419" s="22" t="s">
        <v>624</v>
      </c>
      <c r="F419" s="22" t="s">
        <v>759</v>
      </c>
      <c r="G419" s="22"/>
      <c r="H419" s="22" t="s">
        <v>298</v>
      </c>
      <c r="I419" s="22"/>
      <c r="J419" s="23" t="s">
        <v>298</v>
      </c>
    </row>
    <row r="420" spans="1:10" x14ac:dyDescent="0.25">
      <c r="A420" s="22" t="s">
        <v>290</v>
      </c>
      <c r="B420" s="22" t="s">
        <v>640</v>
      </c>
      <c r="C420" s="22" t="s">
        <v>309</v>
      </c>
      <c r="D420" s="22" t="s">
        <v>641</v>
      </c>
      <c r="E420" s="22" t="s">
        <v>622</v>
      </c>
      <c r="F420" s="22" t="s">
        <v>642</v>
      </c>
      <c r="G420" s="22"/>
      <c r="H420" s="22" t="s">
        <v>298</v>
      </c>
      <c r="I420" s="22"/>
      <c r="J420" s="23" t="s">
        <v>298</v>
      </c>
    </row>
    <row r="421" spans="1:10" x14ac:dyDescent="0.25">
      <c r="A421" s="22" t="s">
        <v>290</v>
      </c>
      <c r="B421" s="22" t="s">
        <v>640</v>
      </c>
      <c r="C421" s="22" t="s">
        <v>309</v>
      </c>
      <c r="D421" s="22" t="s">
        <v>641</v>
      </c>
      <c r="E421" s="22" t="s">
        <v>760</v>
      </c>
      <c r="F421" s="22" t="s">
        <v>761</v>
      </c>
      <c r="G421" s="22"/>
      <c r="H421" s="22" t="s">
        <v>298</v>
      </c>
      <c r="I421" s="22"/>
      <c r="J421" s="23" t="s">
        <v>298</v>
      </c>
    </row>
    <row r="422" spans="1:10" x14ac:dyDescent="0.25">
      <c r="A422" s="22" t="s">
        <v>290</v>
      </c>
      <c r="B422" s="22" t="s">
        <v>640</v>
      </c>
      <c r="C422" s="22" t="s">
        <v>309</v>
      </c>
      <c r="D422" s="22" t="s">
        <v>641</v>
      </c>
      <c r="E422" s="22" t="s">
        <v>762</v>
      </c>
      <c r="F422" s="22" t="s">
        <v>763</v>
      </c>
      <c r="G422" s="22"/>
      <c r="H422" s="22" t="s">
        <v>298</v>
      </c>
      <c r="I422" s="22"/>
      <c r="J422" s="23" t="s">
        <v>298</v>
      </c>
    </row>
  </sheetData>
  <autoFilter ref="A1:J422" xr:uid="{00000000-0009-0000-0000-000006000000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RBDocument_7YR" ma:contentTypeID="0x0101002D77D615B76CBB4B889C0FF9C96FB4AD00D435277B91E21347B9D752467D1A509C" ma:contentTypeVersion="11" ma:contentTypeDescription="Create a new document." ma:contentTypeScope="" ma:versionID="5249397ff506996b1b216dac247722c3">
  <xsd:schema xmlns:xsd="http://www.w3.org/2001/XMLSchema" xmlns:xs="http://www.w3.org/2001/XMLSchema" xmlns:p="http://schemas.microsoft.com/office/2006/metadata/properties" xmlns:ns2="49099896-f45f-453a-825a-9fe8f98b935c" xmlns:ns3="c08b3372-8e87-483d-bcd9-ba74a6f764c4" targetNamespace="http://schemas.microsoft.com/office/2006/metadata/properties" ma:root="true" ma:fieldsID="cc230631337d793f9b547802bdeebb18" ns2:_="" ns3:_="">
    <xsd:import namespace="49099896-f45f-453a-825a-9fe8f98b935c"/>
    <xsd:import namespace="c08b3372-8e87-483d-bcd9-ba74a6f764c4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099896-f45f-453a-825a-9fe8f98b935c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8" nillable="true" ma:displayName="Image Tags_0" ma:hidden="true" ma:internalName="lcf76f155ced4ddcb4097134ff3c332f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8b3372-8e87-483d-bcd9-ba74a6f764c4" elementFormDefault="qualified">
    <xsd:import namespace="http://schemas.microsoft.com/office/2006/documentManagement/types"/>
    <xsd:import namespace="http://schemas.microsoft.com/office/infopath/2007/PartnerControls"/>
    <xsd:element name="TaxCatchAll" ma:index="9" nillable="true" ma:displayName="Taxonomy Catch All Column" ma:hidden="true" ma:list="{706e85b1-a2a4-43e0-a89c-50274cff4c54}" ma:internalName="TaxCatchAll" ma:showField="CatchAllData" ma:web="a7072add-5868-4e10-a10f-8ff2930a3f4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9099896-f45f-453a-825a-9fe8f98b935c" xsi:nil="true"/>
    <TaxCatchAll xmlns="c08b3372-8e87-483d-bcd9-ba74a6f764c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/>
</file>

<file path=customXml/itemProps1.xml><?xml version="1.0" encoding="utf-8"?>
<ds:datastoreItem xmlns:ds="http://schemas.openxmlformats.org/officeDocument/2006/customXml" ds:itemID="{91E975C8-5B87-4CD0-92EC-281F8DDAB76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099896-f45f-453a-825a-9fe8f98b935c"/>
    <ds:schemaRef ds:uri="c08b3372-8e87-483d-bcd9-ba74a6f764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EE81F87-DDFD-481A-9191-7EFA948FDA79}">
  <ds:schemaRefs>
    <ds:schemaRef ds:uri="http://schemas.microsoft.com/office/2006/metadata/properties"/>
    <ds:schemaRef ds:uri="http://schemas.microsoft.com/office/infopath/2007/PartnerControls"/>
    <ds:schemaRef ds:uri="49099896-f45f-453a-825a-9fe8f98b935c"/>
    <ds:schemaRef ds:uri="c08b3372-8e87-483d-bcd9-ba74a6f764c4"/>
  </ds:schemaRefs>
</ds:datastoreItem>
</file>

<file path=customXml/itemProps3.xml><?xml version="1.0" encoding="utf-8"?>
<ds:datastoreItem xmlns:ds="http://schemas.openxmlformats.org/officeDocument/2006/customXml" ds:itemID="{125BA625-CD51-4109-ABF6-68E2A74D93D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4EA1B1A-35AB-4878-AA34-919CC65C4B8C}">
  <ds:schemaRefs>
    <ds:schemaRef ds:uri="http://schemas.microsoft.com/sharepoint/events"/>
  </ds:schemaRefs>
</ds:datastoreItem>
</file>

<file path=docMetadata/LabelInfo.xml><?xml version="1.0" encoding="utf-8"?>
<clbl:labelList xmlns:clbl="http://schemas.microsoft.com/office/2020/mipLabelMetadata">
  <clbl:label id="{95e66ecc-f2c2-464b-84d9-8fda407bc923}" enabled="0" method="" siteId="{95e66ecc-f2c2-464b-84d9-8fda407bc923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Tarifario</vt:lpstr>
      <vt:lpstr>B_Tarifas</vt:lpstr>
      <vt:lpstr>Aumentos</vt:lpstr>
      <vt:lpstr>Extracostos</vt:lpstr>
      <vt:lpstr>Rutas</vt:lpstr>
      <vt:lpstr>Locations</vt:lpstr>
      <vt:lpstr>SAP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Gomez, Fernando</dc:creator>
  <cp:lastModifiedBy>Gomez, Fernando</cp:lastModifiedBy>
  <dcterms:created xsi:type="dcterms:W3CDTF">2018-12-12T15:31:47Z</dcterms:created>
  <dcterms:modified xsi:type="dcterms:W3CDTF">2025-11-04T14:45:03Z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0x0101002D77D615B76CBB4B889C0FF9C96FB4AD00D435277B91E21347B9D752467D1A509C</vt:lpwstr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