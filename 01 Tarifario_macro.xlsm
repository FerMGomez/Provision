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slicers/slicer2.xml" ContentType="application/vnd.ms-excel.slicer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gomez\Desktop\PY\SAP_PY\Provision\"/>
    </mc:Choice>
  </mc:AlternateContent>
  <xr:revisionPtr revIDLastSave="0" documentId="13_ncr:1_{FE011A4B-0195-41EA-84C8-F5D9EC4CA22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arifario" sheetId="1" r:id="rId1"/>
    <sheet name="B_Tarifas" sheetId="2" r:id="rId2"/>
    <sheet name="Aumentos" sheetId="3" r:id="rId3"/>
    <sheet name="Hoja1" sheetId="8" r:id="rId4"/>
    <sheet name="Extracostos" sheetId="4" r:id="rId5"/>
    <sheet name="Rutas" sheetId="9" r:id="rId6"/>
    <sheet name="Locations" sheetId="5" r:id="rId7"/>
    <sheet name="SAP" sheetId="7" state="hidden" r:id="rId8"/>
  </sheets>
  <definedNames>
    <definedName name="_xlnm._FilterDatabase" localSheetId="2" hidden="1">Aumentos!$A$12:$AE$243</definedName>
    <definedName name="_xlnm._FilterDatabase" localSheetId="4" hidden="1">Extracostos!$A$2:$P$51</definedName>
    <definedName name="_xlnm._FilterDatabase" localSheetId="5" hidden="1">Rutas!$I$3:$L$206</definedName>
    <definedName name="_xlnm._FilterDatabase" localSheetId="7" hidden="1">SAP!$A$1:$J$422</definedName>
    <definedName name="_xleta.OR" hidden="1" xlm="1">#NAME?</definedName>
    <definedName name="SegmentaciónDeDatos_CARRIER">#N/A</definedName>
    <definedName name="SegmentaciónDeDatos_CARRIER1">#N/A</definedName>
    <definedName name="SegmentaciónDeDatos_CITY_FOS">#N/A</definedName>
    <definedName name="SegmentaciónDeDatos_PROVINCE">#N/A</definedName>
  </definedNames>
  <calcPr calcId="191029"/>
  <pivotCaches>
    <pivotCache cacheId="5" r:id="rId9"/>
    <pivotCache cacheId="6" r:id="rId10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1"/>
        <x14:slicerCache r:id="rId12"/>
        <x14:slicerCache r:id="rId13"/>
        <x14:slicerCache r:id="rId14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8" i="2" l="1"/>
  <c r="K227" i="2"/>
  <c r="Q6" i="8"/>
  <c r="G16" i="8"/>
  <c r="G6" i="8"/>
  <c r="H6" i="8" s="1"/>
  <c r="I6" i="8" s="1"/>
  <c r="J6" i="8" s="1"/>
  <c r="K6" i="8" s="1"/>
  <c r="L6" i="8" s="1"/>
  <c r="M6" i="8" s="1"/>
  <c r="N6" i="8" s="1"/>
  <c r="O6" i="8" s="1"/>
  <c r="I9" i="8"/>
  <c r="J9" i="8" s="1"/>
  <c r="K9" i="8" s="1"/>
  <c r="L9" i="8" s="1"/>
  <c r="M9" i="8" s="1"/>
  <c r="N9" i="8" s="1"/>
  <c r="O9" i="8" s="1"/>
  <c r="H9" i="8"/>
  <c r="G9" i="8"/>
  <c r="Q4" i="8" a="1"/>
  <c r="Q4" i="8" s="1"/>
  <c r="L8" i="8"/>
  <c r="I8" i="8"/>
  <c r="H8" i="8"/>
  <c r="G8" i="8"/>
  <c r="J8" i="8" l="1"/>
  <c r="K8" i="8"/>
  <c r="K191" i="2" l="1"/>
  <c r="K225" i="2" l="1"/>
  <c r="M5" i="8" l="1"/>
  <c r="K79" i="2"/>
  <c r="K54" i="2"/>
  <c r="K24" i="2"/>
  <c r="K23" i="2"/>
  <c r="K32" i="2"/>
  <c r="K239" i="2"/>
  <c r="K229" i="2"/>
  <c r="K230" i="2"/>
  <c r="K29" i="2"/>
  <c r="K21" i="2"/>
  <c r="K22" i="2"/>
  <c r="K20" i="2"/>
  <c r="K48" i="2"/>
  <c r="K82" i="2"/>
  <c r="K19" i="2"/>
  <c r="K33" i="2"/>
  <c r="K36" i="2"/>
  <c r="K53" i="2"/>
  <c r="K5" i="2"/>
  <c r="K34" i="2"/>
  <c r="K57" i="2"/>
  <c r="K3" i="2"/>
  <c r="K28" i="2"/>
  <c r="N5" i="8" l="1"/>
  <c r="M8" i="8"/>
  <c r="R2" i="3" a="1"/>
  <c r="R2" i="3" s="1"/>
  <c r="T5" i="3" s="1"/>
  <c r="T4" i="3"/>
  <c r="K108" i="2"/>
  <c r="K107" i="2"/>
  <c r="K106" i="2"/>
  <c r="K190" i="2"/>
  <c r="K188" i="2"/>
  <c r="O5" i="8" l="1"/>
  <c r="N8" i="8"/>
  <c r="O7" i="3"/>
  <c r="O4" i="3"/>
  <c r="K240" i="2"/>
  <c r="R3" i="5"/>
  <c r="M3" i="5"/>
  <c r="R5" i="5"/>
  <c r="M5" i="5"/>
  <c r="R7" i="5"/>
  <c r="M7" i="5"/>
  <c r="R95" i="5"/>
  <c r="M95" i="5"/>
  <c r="R94" i="5"/>
  <c r="M94" i="5"/>
  <c r="R93" i="5"/>
  <c r="M93" i="5"/>
  <c r="R92" i="5"/>
  <c r="M92" i="5"/>
  <c r="R91" i="5"/>
  <c r="M91" i="5"/>
  <c r="R90" i="5"/>
  <c r="M90" i="5"/>
  <c r="R89" i="5"/>
  <c r="M89" i="5"/>
  <c r="R88" i="5"/>
  <c r="M88" i="5"/>
  <c r="R87" i="5"/>
  <c r="M87" i="5"/>
  <c r="R86" i="5"/>
  <c r="M86" i="5"/>
  <c r="R85" i="5"/>
  <c r="M85" i="5"/>
  <c r="R84" i="5"/>
  <c r="M84" i="5"/>
  <c r="R83" i="5"/>
  <c r="M83" i="5"/>
  <c r="R82" i="5"/>
  <c r="M82" i="5"/>
  <c r="R81" i="5"/>
  <c r="M81" i="5"/>
  <c r="R80" i="5"/>
  <c r="M80" i="5"/>
  <c r="R79" i="5"/>
  <c r="M79" i="5"/>
  <c r="R78" i="5"/>
  <c r="M78" i="5"/>
  <c r="R77" i="5"/>
  <c r="M77" i="5"/>
  <c r="R76" i="5"/>
  <c r="M76" i="5"/>
  <c r="R75" i="5"/>
  <c r="M75" i="5"/>
  <c r="R74" i="5"/>
  <c r="M74" i="5"/>
  <c r="R73" i="5"/>
  <c r="M73" i="5"/>
  <c r="R72" i="5"/>
  <c r="M72" i="5"/>
  <c r="R71" i="5"/>
  <c r="M71" i="5"/>
  <c r="R70" i="5"/>
  <c r="M70" i="5"/>
  <c r="R69" i="5"/>
  <c r="M69" i="5"/>
  <c r="R68" i="5"/>
  <c r="M68" i="5"/>
  <c r="R67" i="5"/>
  <c r="M67" i="5"/>
  <c r="R66" i="5"/>
  <c r="M66" i="5"/>
  <c r="R65" i="5"/>
  <c r="M65" i="5"/>
  <c r="R64" i="5"/>
  <c r="M64" i="5"/>
  <c r="R63" i="5"/>
  <c r="M63" i="5"/>
  <c r="R62" i="5"/>
  <c r="M62" i="5"/>
  <c r="R61" i="5"/>
  <c r="M61" i="5"/>
  <c r="R60" i="5"/>
  <c r="M60" i="5"/>
  <c r="R23" i="5"/>
  <c r="M23" i="5"/>
  <c r="R22" i="5"/>
  <c r="M22" i="5"/>
  <c r="R21" i="5"/>
  <c r="M21" i="5"/>
  <c r="R20" i="5"/>
  <c r="M20" i="5"/>
  <c r="R19" i="5"/>
  <c r="M19" i="5"/>
  <c r="R18" i="5"/>
  <c r="M18" i="5"/>
  <c r="R17" i="5"/>
  <c r="M17" i="5"/>
  <c r="R16" i="5"/>
  <c r="M16" i="5"/>
  <c r="R97" i="5"/>
  <c r="M97" i="5"/>
  <c r="R147" i="5"/>
  <c r="M147" i="5"/>
  <c r="R146" i="5"/>
  <c r="M146" i="5"/>
  <c r="R145" i="5"/>
  <c r="M145" i="5"/>
  <c r="R144" i="5"/>
  <c r="M144" i="5"/>
  <c r="R143" i="5"/>
  <c r="M143" i="5"/>
  <c r="R142" i="5"/>
  <c r="M142" i="5"/>
  <c r="R141" i="5"/>
  <c r="M141" i="5"/>
  <c r="R140" i="5"/>
  <c r="M140" i="5"/>
  <c r="R139" i="5"/>
  <c r="M139" i="5"/>
  <c r="R138" i="5"/>
  <c r="M138" i="5"/>
  <c r="R137" i="5"/>
  <c r="M137" i="5"/>
  <c r="R136" i="5"/>
  <c r="M136" i="5"/>
  <c r="R135" i="5"/>
  <c r="M135" i="5"/>
  <c r="R134" i="5"/>
  <c r="M134" i="5"/>
  <c r="R133" i="5"/>
  <c r="M133" i="5"/>
  <c r="R132" i="5"/>
  <c r="M132" i="5"/>
  <c r="R131" i="5"/>
  <c r="M131" i="5"/>
  <c r="R130" i="5"/>
  <c r="M130" i="5"/>
  <c r="R129" i="5"/>
  <c r="M129" i="5"/>
  <c r="R128" i="5"/>
  <c r="M128" i="5"/>
  <c r="R127" i="5"/>
  <c r="M127" i="5"/>
  <c r="R126" i="5"/>
  <c r="M126" i="5"/>
  <c r="R125" i="5"/>
  <c r="M125" i="5"/>
  <c r="R124" i="5"/>
  <c r="M124" i="5"/>
  <c r="R123" i="5"/>
  <c r="M123" i="5"/>
  <c r="R153" i="5"/>
  <c r="M153" i="5"/>
  <c r="R152" i="5"/>
  <c r="M152" i="5"/>
  <c r="R151" i="5"/>
  <c r="M151" i="5"/>
  <c r="R183" i="5"/>
  <c r="M183" i="5"/>
  <c r="R182" i="5"/>
  <c r="M182" i="5"/>
  <c r="R181" i="5"/>
  <c r="M181" i="5"/>
  <c r="R180" i="5"/>
  <c r="M180" i="5"/>
  <c r="R179" i="5"/>
  <c r="M179" i="5"/>
  <c r="R178" i="5"/>
  <c r="M178" i="5"/>
  <c r="R177" i="5"/>
  <c r="M177" i="5"/>
  <c r="R176" i="5"/>
  <c r="M176" i="5"/>
  <c r="R175" i="5"/>
  <c r="M175" i="5"/>
  <c r="R174" i="5"/>
  <c r="M174" i="5"/>
  <c r="R173" i="5"/>
  <c r="M173" i="5"/>
  <c r="R172" i="5"/>
  <c r="M172" i="5"/>
  <c r="R171" i="5"/>
  <c r="M171" i="5"/>
  <c r="R170" i="5"/>
  <c r="M170" i="5"/>
  <c r="R169" i="5"/>
  <c r="M169" i="5"/>
  <c r="R187" i="5"/>
  <c r="M187" i="5"/>
  <c r="R186" i="5"/>
  <c r="M186" i="5"/>
  <c r="R197" i="5"/>
  <c r="M197" i="5"/>
  <c r="R196" i="5"/>
  <c r="M196" i="5"/>
  <c r="R195" i="5"/>
  <c r="M195" i="5"/>
  <c r="R194" i="5"/>
  <c r="M194" i="5"/>
  <c r="R193" i="5"/>
  <c r="M193" i="5"/>
  <c r="R205" i="5"/>
  <c r="M205" i="5"/>
  <c r="R204" i="5"/>
  <c r="M204" i="5"/>
  <c r="R203" i="5"/>
  <c r="M203" i="5"/>
  <c r="R202" i="5"/>
  <c r="M202" i="5"/>
  <c r="R209" i="5"/>
  <c r="M209" i="5"/>
  <c r="R208" i="5"/>
  <c r="M208" i="5"/>
  <c r="R233" i="5"/>
  <c r="M233" i="5"/>
  <c r="R232" i="5"/>
  <c r="M232" i="5"/>
  <c r="R231" i="5"/>
  <c r="M231" i="5"/>
  <c r="R230" i="5"/>
  <c r="M230" i="5"/>
  <c r="R229" i="5"/>
  <c r="M229" i="5"/>
  <c r="R228" i="5"/>
  <c r="M228" i="5"/>
  <c r="R227" i="5"/>
  <c r="M227" i="5"/>
  <c r="R226" i="5"/>
  <c r="M226" i="5"/>
  <c r="R225" i="5"/>
  <c r="M225" i="5"/>
  <c r="R224" i="5"/>
  <c r="M224" i="5"/>
  <c r="R223" i="5"/>
  <c r="M223" i="5"/>
  <c r="R222" i="5"/>
  <c r="M222" i="5"/>
  <c r="R245" i="5"/>
  <c r="M245" i="5"/>
  <c r="R244" i="5"/>
  <c r="M244" i="5"/>
  <c r="R243" i="5"/>
  <c r="M243" i="5"/>
  <c r="R242" i="5"/>
  <c r="M242" i="5"/>
  <c r="R241" i="5"/>
  <c r="M241" i="5"/>
  <c r="R240" i="5"/>
  <c r="M240" i="5"/>
  <c r="R261" i="5"/>
  <c r="M261" i="5"/>
  <c r="R260" i="5"/>
  <c r="M260" i="5"/>
  <c r="R259" i="5"/>
  <c r="M259" i="5"/>
  <c r="R258" i="5"/>
  <c r="M258" i="5"/>
  <c r="R257" i="5"/>
  <c r="M257" i="5"/>
  <c r="R256" i="5"/>
  <c r="M256" i="5"/>
  <c r="R255" i="5"/>
  <c r="M255" i="5"/>
  <c r="R254" i="5"/>
  <c r="M254" i="5"/>
  <c r="R267" i="5"/>
  <c r="M267" i="5"/>
  <c r="R266" i="5"/>
  <c r="M266" i="5"/>
  <c r="R265" i="5"/>
  <c r="M265" i="5"/>
  <c r="R273" i="5"/>
  <c r="M273" i="5"/>
  <c r="R272" i="5"/>
  <c r="M272" i="5"/>
  <c r="R271" i="5"/>
  <c r="M271" i="5"/>
  <c r="R277" i="5"/>
  <c r="M277" i="5"/>
  <c r="R276" i="5"/>
  <c r="M276" i="5"/>
  <c r="R303" i="5"/>
  <c r="M303" i="5"/>
  <c r="R302" i="5"/>
  <c r="M302" i="5"/>
  <c r="R301" i="5"/>
  <c r="M301" i="5"/>
  <c r="R300" i="5"/>
  <c r="M300" i="5"/>
  <c r="R299" i="5"/>
  <c r="M299" i="5"/>
  <c r="R298" i="5"/>
  <c r="M298" i="5"/>
  <c r="R297" i="5"/>
  <c r="M297" i="5"/>
  <c r="R296" i="5"/>
  <c r="M296" i="5"/>
  <c r="R295" i="5"/>
  <c r="M295" i="5"/>
  <c r="R294" i="5"/>
  <c r="M294" i="5"/>
  <c r="R293" i="5"/>
  <c r="M293" i="5"/>
  <c r="R292" i="5"/>
  <c r="M292" i="5"/>
  <c r="R291" i="5"/>
  <c r="M291" i="5"/>
  <c r="R353" i="5"/>
  <c r="M353" i="5"/>
  <c r="R352" i="5"/>
  <c r="M352" i="5"/>
  <c r="R351" i="5"/>
  <c r="M351" i="5"/>
  <c r="R350" i="5"/>
  <c r="M350" i="5"/>
  <c r="R349" i="5"/>
  <c r="M349" i="5"/>
  <c r="R348" i="5"/>
  <c r="M348" i="5"/>
  <c r="R347" i="5"/>
  <c r="M347" i="5"/>
  <c r="R346" i="5"/>
  <c r="M346" i="5"/>
  <c r="R345" i="5"/>
  <c r="M345" i="5"/>
  <c r="R344" i="5"/>
  <c r="M344" i="5"/>
  <c r="R343" i="5"/>
  <c r="M343" i="5"/>
  <c r="R342" i="5"/>
  <c r="M342" i="5"/>
  <c r="R341" i="5"/>
  <c r="M341" i="5"/>
  <c r="R340" i="5"/>
  <c r="M340" i="5"/>
  <c r="R339" i="5"/>
  <c r="M339" i="5"/>
  <c r="R338" i="5"/>
  <c r="M338" i="5"/>
  <c r="R337" i="5"/>
  <c r="M337" i="5"/>
  <c r="R336" i="5"/>
  <c r="M336" i="5"/>
  <c r="R335" i="5"/>
  <c r="M335" i="5"/>
  <c r="R334" i="5"/>
  <c r="M334" i="5"/>
  <c r="R333" i="5"/>
  <c r="M333" i="5"/>
  <c r="R332" i="5"/>
  <c r="M332" i="5"/>
  <c r="R331" i="5"/>
  <c r="M331" i="5"/>
  <c r="R330" i="5"/>
  <c r="M330" i="5"/>
  <c r="R329" i="5"/>
  <c r="M329" i="5"/>
  <c r="R357" i="5"/>
  <c r="M357" i="5"/>
  <c r="R356" i="5"/>
  <c r="M356" i="5"/>
  <c r="R361" i="5"/>
  <c r="M361" i="5"/>
  <c r="R360" i="5"/>
  <c r="M360" i="5"/>
  <c r="R373" i="5"/>
  <c r="M373" i="5"/>
  <c r="R372" i="5"/>
  <c r="M372" i="5"/>
  <c r="R371" i="5"/>
  <c r="M371" i="5"/>
  <c r="R370" i="5"/>
  <c r="M370" i="5"/>
  <c r="R369" i="5"/>
  <c r="M369" i="5"/>
  <c r="R368" i="5"/>
  <c r="M368" i="5"/>
  <c r="R383" i="5"/>
  <c r="M383" i="5"/>
  <c r="R382" i="5"/>
  <c r="M382" i="5"/>
  <c r="R381" i="5"/>
  <c r="M381" i="5"/>
  <c r="R380" i="5"/>
  <c r="M380" i="5"/>
  <c r="R379" i="5"/>
  <c r="M379" i="5"/>
  <c r="R399" i="5"/>
  <c r="M399" i="5"/>
  <c r="R398" i="5"/>
  <c r="M398" i="5"/>
  <c r="R397" i="5"/>
  <c r="M397" i="5"/>
  <c r="R396" i="5"/>
  <c r="M396" i="5"/>
  <c r="R395" i="5"/>
  <c r="M395" i="5"/>
  <c r="R394" i="5"/>
  <c r="M394" i="5"/>
  <c r="R393" i="5"/>
  <c r="M393" i="5"/>
  <c r="R392" i="5"/>
  <c r="M392" i="5"/>
  <c r="R407" i="5"/>
  <c r="M407" i="5"/>
  <c r="R406" i="5"/>
  <c r="M406" i="5"/>
  <c r="R405" i="5"/>
  <c r="M405" i="5"/>
  <c r="R404" i="5"/>
  <c r="M404" i="5"/>
  <c r="R409" i="5"/>
  <c r="M409" i="5"/>
  <c r="R2" i="5"/>
  <c r="M2" i="5"/>
  <c r="R4" i="5"/>
  <c r="M4" i="5"/>
  <c r="R6" i="5"/>
  <c r="M6" i="5"/>
  <c r="R59" i="5"/>
  <c r="M59" i="5"/>
  <c r="R58" i="5"/>
  <c r="M58" i="5"/>
  <c r="R57" i="5"/>
  <c r="M57" i="5"/>
  <c r="R56" i="5"/>
  <c r="M56" i="5"/>
  <c r="R55" i="5"/>
  <c r="M55" i="5"/>
  <c r="R54" i="5"/>
  <c r="M54" i="5"/>
  <c r="R53" i="5"/>
  <c r="M53" i="5"/>
  <c r="R52" i="5"/>
  <c r="M52" i="5"/>
  <c r="R51" i="5"/>
  <c r="M51" i="5"/>
  <c r="R50" i="5"/>
  <c r="M50" i="5"/>
  <c r="R49" i="5"/>
  <c r="M49" i="5"/>
  <c r="R48" i="5"/>
  <c r="M48" i="5"/>
  <c r="R47" i="5"/>
  <c r="M47" i="5"/>
  <c r="R46" i="5"/>
  <c r="M46" i="5"/>
  <c r="R45" i="5"/>
  <c r="M45" i="5"/>
  <c r="R44" i="5"/>
  <c r="M44" i="5"/>
  <c r="R43" i="5"/>
  <c r="M43" i="5"/>
  <c r="R42" i="5"/>
  <c r="M42" i="5"/>
  <c r="R41" i="5"/>
  <c r="M41" i="5"/>
  <c r="R40" i="5"/>
  <c r="M40" i="5"/>
  <c r="R39" i="5"/>
  <c r="M39" i="5"/>
  <c r="R38" i="5"/>
  <c r="M38" i="5"/>
  <c r="R37" i="5"/>
  <c r="M37" i="5"/>
  <c r="R36" i="5"/>
  <c r="M36" i="5"/>
  <c r="R35" i="5"/>
  <c r="M35" i="5"/>
  <c r="R34" i="5"/>
  <c r="M34" i="5"/>
  <c r="R33" i="5"/>
  <c r="M33" i="5"/>
  <c r="R32" i="5"/>
  <c r="M32" i="5"/>
  <c r="R31" i="5"/>
  <c r="M31" i="5"/>
  <c r="R30" i="5"/>
  <c r="M30" i="5"/>
  <c r="R29" i="5"/>
  <c r="M29" i="5"/>
  <c r="R28" i="5"/>
  <c r="M28" i="5"/>
  <c r="R27" i="5"/>
  <c r="M27" i="5"/>
  <c r="R26" i="5"/>
  <c r="M26" i="5"/>
  <c r="R25" i="5"/>
  <c r="M25" i="5"/>
  <c r="R24" i="5"/>
  <c r="M24" i="5"/>
  <c r="R15" i="5"/>
  <c r="M15" i="5"/>
  <c r="R14" i="5"/>
  <c r="M14" i="5"/>
  <c r="R13" i="5"/>
  <c r="M13" i="5"/>
  <c r="R12" i="5"/>
  <c r="M12" i="5"/>
  <c r="R11" i="5"/>
  <c r="M11" i="5"/>
  <c r="R10" i="5"/>
  <c r="M10" i="5"/>
  <c r="R9" i="5"/>
  <c r="M9" i="5"/>
  <c r="R8" i="5"/>
  <c r="M8" i="5"/>
  <c r="R96" i="5"/>
  <c r="M96" i="5"/>
  <c r="R122" i="5"/>
  <c r="M122" i="5"/>
  <c r="R121" i="5"/>
  <c r="M121" i="5"/>
  <c r="R120" i="5"/>
  <c r="M120" i="5"/>
  <c r="R119" i="5"/>
  <c r="M119" i="5"/>
  <c r="R118" i="5"/>
  <c r="M118" i="5"/>
  <c r="R117" i="5"/>
  <c r="M117" i="5"/>
  <c r="R116" i="5"/>
  <c r="M116" i="5"/>
  <c r="R115" i="5"/>
  <c r="M115" i="5"/>
  <c r="R114" i="5"/>
  <c r="M114" i="5"/>
  <c r="R113" i="5"/>
  <c r="M113" i="5"/>
  <c r="R112" i="5"/>
  <c r="M112" i="5"/>
  <c r="R111" i="5"/>
  <c r="M111" i="5"/>
  <c r="R110" i="5"/>
  <c r="M110" i="5"/>
  <c r="R109" i="5"/>
  <c r="M109" i="5"/>
  <c r="R108" i="5"/>
  <c r="M108" i="5"/>
  <c r="R107" i="5"/>
  <c r="M107" i="5"/>
  <c r="R106" i="5"/>
  <c r="M106" i="5"/>
  <c r="R105" i="5"/>
  <c r="M105" i="5"/>
  <c r="R104" i="5"/>
  <c r="M104" i="5"/>
  <c r="R103" i="5"/>
  <c r="M103" i="5"/>
  <c r="R102" i="5"/>
  <c r="M102" i="5"/>
  <c r="R101" i="5"/>
  <c r="M101" i="5"/>
  <c r="R100" i="5"/>
  <c r="M100" i="5"/>
  <c r="R99" i="5"/>
  <c r="M99" i="5"/>
  <c r="R98" i="5"/>
  <c r="M98" i="5"/>
  <c r="R150" i="5"/>
  <c r="M150" i="5"/>
  <c r="R149" i="5"/>
  <c r="M149" i="5"/>
  <c r="R148" i="5"/>
  <c r="M148" i="5"/>
  <c r="R168" i="5"/>
  <c r="M168" i="5"/>
  <c r="R167" i="5"/>
  <c r="M167" i="5"/>
  <c r="R166" i="5"/>
  <c r="M166" i="5"/>
  <c r="R165" i="5"/>
  <c r="M165" i="5"/>
  <c r="R164" i="5"/>
  <c r="M164" i="5"/>
  <c r="R163" i="5"/>
  <c r="M163" i="5"/>
  <c r="R162" i="5"/>
  <c r="M162" i="5"/>
  <c r="R161" i="5"/>
  <c r="M161" i="5"/>
  <c r="R160" i="5"/>
  <c r="M160" i="5"/>
  <c r="R159" i="5"/>
  <c r="M159" i="5"/>
  <c r="R158" i="5"/>
  <c r="M158" i="5"/>
  <c r="R157" i="5"/>
  <c r="M157" i="5"/>
  <c r="R156" i="5"/>
  <c r="M156" i="5"/>
  <c r="R155" i="5"/>
  <c r="M155" i="5"/>
  <c r="R154" i="5"/>
  <c r="M154" i="5"/>
  <c r="R185" i="5"/>
  <c r="M185" i="5"/>
  <c r="R184" i="5"/>
  <c r="M184" i="5"/>
  <c r="R192" i="5"/>
  <c r="M192" i="5"/>
  <c r="R191" i="5"/>
  <c r="M191" i="5"/>
  <c r="R190" i="5"/>
  <c r="M190" i="5"/>
  <c r="R189" i="5"/>
  <c r="M189" i="5"/>
  <c r="R188" i="5"/>
  <c r="M188" i="5"/>
  <c r="R201" i="5"/>
  <c r="M201" i="5"/>
  <c r="R200" i="5"/>
  <c r="M200" i="5"/>
  <c r="R199" i="5"/>
  <c r="M199" i="5"/>
  <c r="R198" i="5"/>
  <c r="M198" i="5"/>
  <c r="R207" i="5"/>
  <c r="M207" i="5"/>
  <c r="R206" i="5"/>
  <c r="M206" i="5"/>
  <c r="R221" i="5"/>
  <c r="M221" i="5"/>
  <c r="R220" i="5"/>
  <c r="M220" i="5"/>
  <c r="R219" i="5"/>
  <c r="M219" i="5"/>
  <c r="R218" i="5"/>
  <c r="M218" i="5"/>
  <c r="R217" i="5"/>
  <c r="M217" i="5"/>
  <c r="R216" i="5"/>
  <c r="M216" i="5"/>
  <c r="R215" i="5"/>
  <c r="M215" i="5"/>
  <c r="R214" i="5"/>
  <c r="M214" i="5"/>
  <c r="R213" i="5"/>
  <c r="M213" i="5"/>
  <c r="R212" i="5"/>
  <c r="M212" i="5"/>
  <c r="R211" i="5"/>
  <c r="M211" i="5"/>
  <c r="R210" i="5"/>
  <c r="M210" i="5"/>
  <c r="R239" i="5"/>
  <c r="M239" i="5"/>
  <c r="R238" i="5"/>
  <c r="M238" i="5"/>
  <c r="R237" i="5"/>
  <c r="M237" i="5"/>
  <c r="R236" i="5"/>
  <c r="M236" i="5"/>
  <c r="R235" i="5"/>
  <c r="M235" i="5"/>
  <c r="R234" i="5"/>
  <c r="M234" i="5"/>
  <c r="R253" i="5"/>
  <c r="M253" i="5"/>
  <c r="R252" i="5"/>
  <c r="M252" i="5"/>
  <c r="R251" i="5"/>
  <c r="M251" i="5"/>
  <c r="R250" i="5"/>
  <c r="M250" i="5"/>
  <c r="R249" i="5"/>
  <c r="M249" i="5"/>
  <c r="R248" i="5"/>
  <c r="M248" i="5"/>
  <c r="R247" i="5"/>
  <c r="M247" i="5"/>
  <c r="R246" i="5"/>
  <c r="M246" i="5"/>
  <c r="R264" i="5"/>
  <c r="M264" i="5"/>
  <c r="R263" i="5"/>
  <c r="M263" i="5"/>
  <c r="R262" i="5"/>
  <c r="M262" i="5"/>
  <c r="R270" i="5"/>
  <c r="M270" i="5"/>
  <c r="R269" i="5"/>
  <c r="M269" i="5"/>
  <c r="R268" i="5"/>
  <c r="M268" i="5"/>
  <c r="R275" i="5"/>
  <c r="M275" i="5"/>
  <c r="R274" i="5"/>
  <c r="M274" i="5"/>
  <c r="R290" i="5"/>
  <c r="M290" i="5"/>
  <c r="R289" i="5"/>
  <c r="M289" i="5"/>
  <c r="R288" i="5"/>
  <c r="M288" i="5"/>
  <c r="R287" i="5"/>
  <c r="M287" i="5"/>
  <c r="R286" i="5"/>
  <c r="M286" i="5"/>
  <c r="R285" i="5"/>
  <c r="M285" i="5"/>
  <c r="R284" i="5"/>
  <c r="M284" i="5"/>
  <c r="R283" i="5"/>
  <c r="M283" i="5"/>
  <c r="R282" i="5"/>
  <c r="M282" i="5"/>
  <c r="R281" i="5"/>
  <c r="M281" i="5"/>
  <c r="R280" i="5"/>
  <c r="M280" i="5"/>
  <c r="R279" i="5"/>
  <c r="M279" i="5"/>
  <c r="R278" i="5"/>
  <c r="M278" i="5"/>
  <c r="R328" i="5"/>
  <c r="M328" i="5"/>
  <c r="R327" i="5"/>
  <c r="M327" i="5"/>
  <c r="R326" i="5"/>
  <c r="M326" i="5"/>
  <c r="R325" i="5"/>
  <c r="M325" i="5"/>
  <c r="R324" i="5"/>
  <c r="M324" i="5"/>
  <c r="R323" i="5"/>
  <c r="M323" i="5"/>
  <c r="R322" i="5"/>
  <c r="M322" i="5"/>
  <c r="R321" i="5"/>
  <c r="M321" i="5"/>
  <c r="R320" i="5"/>
  <c r="M320" i="5"/>
  <c r="R319" i="5"/>
  <c r="M319" i="5"/>
  <c r="R318" i="5"/>
  <c r="M318" i="5"/>
  <c r="R317" i="5"/>
  <c r="M317" i="5"/>
  <c r="R316" i="5"/>
  <c r="M316" i="5"/>
  <c r="R315" i="5"/>
  <c r="M315" i="5"/>
  <c r="R314" i="5"/>
  <c r="M314" i="5"/>
  <c r="R313" i="5"/>
  <c r="M313" i="5"/>
  <c r="R312" i="5"/>
  <c r="M312" i="5"/>
  <c r="R311" i="5"/>
  <c r="M311" i="5"/>
  <c r="R310" i="5"/>
  <c r="M310" i="5"/>
  <c r="R309" i="5"/>
  <c r="M309" i="5"/>
  <c r="R308" i="5"/>
  <c r="M308" i="5"/>
  <c r="R307" i="5"/>
  <c r="M307" i="5"/>
  <c r="R306" i="5"/>
  <c r="M306" i="5"/>
  <c r="R305" i="5"/>
  <c r="M305" i="5"/>
  <c r="R304" i="5"/>
  <c r="M304" i="5"/>
  <c r="R355" i="5"/>
  <c r="M355" i="5"/>
  <c r="R354" i="5"/>
  <c r="M354" i="5"/>
  <c r="R359" i="5"/>
  <c r="M359" i="5"/>
  <c r="R358" i="5"/>
  <c r="M358" i="5"/>
  <c r="R367" i="5"/>
  <c r="M367" i="5"/>
  <c r="R366" i="5"/>
  <c r="M366" i="5"/>
  <c r="R365" i="5"/>
  <c r="M365" i="5"/>
  <c r="R364" i="5"/>
  <c r="M364" i="5"/>
  <c r="R363" i="5"/>
  <c r="M363" i="5"/>
  <c r="R362" i="5"/>
  <c r="M362" i="5"/>
  <c r="R378" i="5"/>
  <c r="M378" i="5"/>
  <c r="R377" i="5"/>
  <c r="M377" i="5"/>
  <c r="R376" i="5"/>
  <c r="M376" i="5"/>
  <c r="R375" i="5"/>
  <c r="M375" i="5"/>
  <c r="R374" i="5"/>
  <c r="M374" i="5"/>
  <c r="R391" i="5"/>
  <c r="M391" i="5"/>
  <c r="R390" i="5"/>
  <c r="M390" i="5"/>
  <c r="R389" i="5"/>
  <c r="M389" i="5"/>
  <c r="R388" i="5"/>
  <c r="M388" i="5"/>
  <c r="R387" i="5"/>
  <c r="M387" i="5"/>
  <c r="R386" i="5"/>
  <c r="M386" i="5"/>
  <c r="R385" i="5"/>
  <c r="M385" i="5"/>
  <c r="R384" i="5"/>
  <c r="M384" i="5"/>
  <c r="R403" i="5"/>
  <c r="M403" i="5"/>
  <c r="R402" i="5"/>
  <c r="M402" i="5"/>
  <c r="R401" i="5"/>
  <c r="M401" i="5"/>
  <c r="R400" i="5"/>
  <c r="M400" i="5"/>
  <c r="R408" i="5"/>
  <c r="M408" i="5"/>
  <c r="N6" i="4"/>
  <c r="I5" i="4"/>
  <c r="H5" i="4"/>
  <c r="K238" i="2"/>
  <c r="K237" i="2"/>
  <c r="K236" i="2"/>
  <c r="K235" i="2"/>
  <c r="K234" i="2"/>
  <c r="K233" i="2"/>
  <c r="K232" i="2"/>
  <c r="K231" i="2"/>
  <c r="K226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6" i="2"/>
  <c r="K199" i="2"/>
  <c r="K198" i="2"/>
  <c r="K197" i="2"/>
  <c r="K195" i="2"/>
  <c r="K194" i="2"/>
  <c r="K193" i="2"/>
  <c r="K192" i="2"/>
  <c r="K189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45" i="2"/>
  <c r="K150" i="2"/>
  <c r="K149" i="2"/>
  <c r="K148" i="2"/>
  <c r="K147" i="2"/>
  <c r="K146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01" i="2"/>
  <c r="K100" i="2"/>
  <c r="K99" i="2"/>
  <c r="K130" i="2"/>
  <c r="K105" i="2"/>
  <c r="K129" i="2"/>
  <c r="K128" i="2"/>
  <c r="K98" i="2"/>
  <c r="K97" i="2"/>
  <c r="K127" i="2"/>
  <c r="K126" i="2"/>
  <c r="K125" i="2"/>
  <c r="K124" i="2"/>
  <c r="K123" i="2"/>
  <c r="K122" i="2"/>
  <c r="K121" i="2"/>
  <c r="K120" i="2"/>
  <c r="K119" i="2"/>
  <c r="K118" i="2"/>
  <c r="K104" i="2"/>
  <c r="K117" i="2"/>
  <c r="K116" i="2"/>
  <c r="K96" i="2"/>
  <c r="K115" i="2"/>
  <c r="K95" i="2"/>
  <c r="K94" i="2"/>
  <c r="K114" i="2"/>
  <c r="K113" i="2"/>
  <c r="K112" i="2"/>
  <c r="K93" i="2"/>
  <c r="K92" i="2"/>
  <c r="K111" i="2"/>
  <c r="K103" i="2"/>
  <c r="K110" i="2"/>
  <c r="K91" i="2"/>
  <c r="K90" i="2"/>
  <c r="K89" i="2"/>
  <c r="K88" i="2"/>
  <c r="K109" i="2"/>
  <c r="K102" i="2"/>
  <c r="K87" i="2"/>
  <c r="K86" i="2"/>
  <c r="K85" i="2"/>
  <c r="K18" i="2"/>
  <c r="K17" i="2"/>
  <c r="K40" i="2"/>
  <c r="K31" i="2"/>
  <c r="K16" i="2"/>
  <c r="K84" i="2"/>
  <c r="K77" i="2"/>
  <c r="K76" i="2"/>
  <c r="K60" i="2"/>
  <c r="K75" i="2"/>
  <c r="K52" i="2"/>
  <c r="K59" i="2"/>
  <c r="K83" i="2"/>
  <c r="K51" i="2"/>
  <c r="K39" i="2"/>
  <c r="K50" i="2"/>
  <c r="K15" i="2"/>
  <c r="K38" i="2"/>
  <c r="K37" i="2"/>
  <c r="K30" i="2"/>
  <c r="K14" i="2"/>
  <c r="K49" i="2"/>
  <c r="K81" i="2"/>
  <c r="K74" i="2"/>
  <c r="K73" i="2"/>
  <c r="K72" i="2"/>
  <c r="K27" i="2"/>
  <c r="K46" i="2"/>
  <c r="K80" i="2"/>
  <c r="K71" i="2"/>
  <c r="K70" i="2"/>
  <c r="K69" i="2"/>
  <c r="K68" i="2"/>
  <c r="K45" i="2"/>
  <c r="K67" i="2"/>
  <c r="K66" i="2"/>
  <c r="K58" i="2"/>
  <c r="K44" i="2"/>
  <c r="K13" i="2"/>
  <c r="K35" i="2"/>
  <c r="K4" i="2"/>
  <c r="K26" i="2"/>
  <c r="K12" i="2"/>
  <c r="K56" i="2"/>
  <c r="K42" i="2"/>
  <c r="K11" i="2"/>
  <c r="K55" i="2"/>
  <c r="K43" i="2"/>
  <c r="K65" i="2"/>
  <c r="K64" i="2"/>
  <c r="K10" i="2"/>
  <c r="K9" i="2"/>
  <c r="K63" i="2"/>
  <c r="K25" i="2"/>
  <c r="K41" i="2"/>
  <c r="K62" i="2"/>
  <c r="K8" i="2"/>
  <c r="K7" i="2"/>
  <c r="K47" i="2"/>
  <c r="K78" i="2"/>
  <c r="K61" i="2"/>
  <c r="K6" i="2"/>
  <c r="O7" i="8" l="1"/>
  <c r="O8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<sst xmlns="http://schemas.openxmlformats.org/spreadsheetml/2006/main" count="17255" uniqueCount="861">
  <si>
    <t>Scale Cross Dock</t>
  </si>
  <si>
    <t>Hasta KG</t>
  </si>
  <si>
    <t>0 a 1000kg</t>
  </si>
  <si>
    <t>1001kg a 3000kg</t>
  </si>
  <si>
    <t>3001 kg a 5000kg</t>
  </si>
  <si>
    <t>5001kg a 10000kg</t>
  </si>
  <si>
    <t>10001kg  a 30000kg</t>
  </si>
  <si>
    <t>Unidades Directos</t>
  </si>
  <si>
    <t>CARRIER</t>
  </si>
  <si>
    <t>RUTA</t>
  </si>
  <si>
    <t>PROVINCE</t>
  </si>
  <si>
    <t>CITY FOS</t>
  </si>
  <si>
    <t>TRANSPORT ZONE</t>
  </si>
  <si>
    <t>SEMI</t>
  </si>
  <si>
    <t>BALANCIN</t>
  </si>
  <si>
    <t>CHASIS</t>
  </si>
  <si>
    <t>LIVIANO</t>
  </si>
  <si>
    <t>UTILITARIO</t>
  </si>
  <si>
    <t>TIPO DE VIAJE</t>
  </si>
  <si>
    <t>TYPE OF SHIPMENT</t>
  </si>
  <si>
    <t>Base Cross Dock</t>
  </si>
  <si>
    <t>fixed value? (YES/NO)</t>
  </si>
  <si>
    <t>1s</t>
  </si>
  <si>
    <t>2s</t>
  </si>
  <si>
    <t>3s</t>
  </si>
  <si>
    <t>4s</t>
  </si>
  <si>
    <t>5s</t>
  </si>
  <si>
    <t>X KG</t>
  </si>
  <si>
    <t>TIPO DE VIAJE2</t>
  </si>
  <si>
    <t>ANDREANI LOGISTICA S.A.</t>
  </si>
  <si>
    <t>BHN</t>
  </si>
  <si>
    <t>Bahia Blanca</t>
  </si>
  <si>
    <t>AR00BA4001</t>
  </si>
  <si>
    <t>Distribucion</t>
  </si>
  <si>
    <t>PAT</t>
  </si>
  <si>
    <t>Santa Cruz</t>
  </si>
  <si>
    <t>Caleta Olivia</t>
  </si>
  <si>
    <t>AR00SC1001</t>
  </si>
  <si>
    <t>SFE</t>
  </si>
  <si>
    <t>Santa Fe</t>
  </si>
  <si>
    <t>Casilda</t>
  </si>
  <si>
    <t>AR00SF1004</t>
  </si>
  <si>
    <t>NOA</t>
  </si>
  <si>
    <t>Catamarca</t>
  </si>
  <si>
    <t>AR00CA1001</t>
  </si>
  <si>
    <t>Río Negro</t>
  </si>
  <si>
    <t>Choele Choel</t>
  </si>
  <si>
    <t>AR00RN1001</t>
  </si>
  <si>
    <t>Neuquén</t>
  </si>
  <si>
    <t>Chos Malal, Neuquen</t>
  </si>
  <si>
    <t>Sin Entrega</t>
  </si>
  <si>
    <t>Chubut</t>
  </si>
  <si>
    <t>Comodoro Rivadavia</t>
  </si>
  <si>
    <t>AR00CT1001</t>
  </si>
  <si>
    <t>MSO</t>
  </si>
  <si>
    <t>Entre Rios</t>
  </si>
  <si>
    <t>Concordia</t>
  </si>
  <si>
    <t>AR00ER1004</t>
  </si>
  <si>
    <t>COR</t>
  </si>
  <si>
    <t>Cordoba</t>
  </si>
  <si>
    <t>AR00CB1008</t>
  </si>
  <si>
    <t>Cte.Luis Piedrabuena</t>
  </si>
  <si>
    <t>AR00SC1002</t>
  </si>
  <si>
    <t>Cutral Co, Neuquen</t>
  </si>
  <si>
    <t>El Bolson</t>
  </si>
  <si>
    <t>AR00RN1003</t>
  </si>
  <si>
    <t>El Calafate</t>
  </si>
  <si>
    <t>AR00SC1003</t>
  </si>
  <si>
    <t>Esquel</t>
  </si>
  <si>
    <t>AR00CT1002</t>
  </si>
  <si>
    <t>NEA</t>
  </si>
  <si>
    <t>Formosa</t>
  </si>
  <si>
    <t>AR00FO1002</t>
  </si>
  <si>
    <t>PAM</t>
  </si>
  <si>
    <t>La Pampa</t>
  </si>
  <si>
    <t>Gral. Pico</t>
  </si>
  <si>
    <t>AR00LP1001</t>
  </si>
  <si>
    <t>Gral. Roca</t>
  </si>
  <si>
    <t>AR00RN1004</t>
  </si>
  <si>
    <t>Gualeguaychu</t>
  </si>
  <si>
    <t>AR00ER1008</t>
  </si>
  <si>
    <t>Buenos Aires</t>
  </si>
  <si>
    <t>Junin</t>
  </si>
  <si>
    <t>AR00BA3012</t>
  </si>
  <si>
    <t>Junin de los Andes</t>
  </si>
  <si>
    <t>La Rioja</t>
  </si>
  <si>
    <t>AR00LR1002</t>
  </si>
  <si>
    <t>ATL</t>
  </si>
  <si>
    <t>Mar del Plata</t>
  </si>
  <si>
    <t>AR00BA2004</t>
  </si>
  <si>
    <t>CUY</t>
  </si>
  <si>
    <t>Mendoza</t>
  </si>
  <si>
    <t>AR00MZ1007</t>
  </si>
  <si>
    <t>Neuquen</t>
  </si>
  <si>
    <t>AR00NQ1002</t>
  </si>
  <si>
    <t>Chaco</t>
  </si>
  <si>
    <t>Pcia.Roque S.PE&amp;A</t>
  </si>
  <si>
    <t>AR00CH1002</t>
  </si>
  <si>
    <t>PEHUAJO</t>
  </si>
  <si>
    <t>AR00BA3017</t>
  </si>
  <si>
    <t>Perito Moreno</t>
  </si>
  <si>
    <t>AR00SC1007</t>
  </si>
  <si>
    <t>Pico Truncado</t>
  </si>
  <si>
    <t>AR00SC1008</t>
  </si>
  <si>
    <t>Misiones</t>
  </si>
  <si>
    <t>Posadas</t>
  </si>
  <si>
    <t>AR00MI1005</t>
  </si>
  <si>
    <t>Pto.Deseado</t>
  </si>
  <si>
    <t>AR00SC1009</t>
  </si>
  <si>
    <t>Puerto Madryn</t>
  </si>
  <si>
    <t>AR00CT1004</t>
  </si>
  <si>
    <t>Puerto Santa Cruz</t>
  </si>
  <si>
    <t>AR00SC1011</t>
  </si>
  <si>
    <t>Rawson</t>
  </si>
  <si>
    <t>AR00CT1005</t>
  </si>
  <si>
    <t>RECONQUISTA</t>
  </si>
  <si>
    <t>AR00SF1015</t>
  </si>
  <si>
    <t>Resistencia</t>
  </si>
  <si>
    <t>AR00CH1004</t>
  </si>
  <si>
    <t>Rio Cuarto</t>
  </si>
  <si>
    <t>AR00CB1017</t>
  </si>
  <si>
    <t>Rio Gallegos</t>
  </si>
  <si>
    <t>AR00SC1012</t>
  </si>
  <si>
    <t>Tierra del Fuego</t>
  </si>
  <si>
    <t>Rio Grande</t>
  </si>
  <si>
    <t>AR00TF1001</t>
  </si>
  <si>
    <t>Rio Turbio</t>
  </si>
  <si>
    <t>AR00SC1013</t>
  </si>
  <si>
    <t>Rosario</t>
  </si>
  <si>
    <t>AR00SF1016</t>
  </si>
  <si>
    <t>Salta</t>
  </si>
  <si>
    <t>AR00SA1003</t>
  </si>
  <si>
    <t>San C. de Bariloche</t>
  </si>
  <si>
    <t>AR00RN1006</t>
  </si>
  <si>
    <t>AR00CB1019</t>
  </si>
  <si>
    <t>San Juan</t>
  </si>
  <si>
    <t xml:space="preserve">San Juan </t>
  </si>
  <si>
    <t>AR00SJ1001</t>
  </si>
  <si>
    <t>San Luis</t>
  </si>
  <si>
    <t>San luis</t>
  </si>
  <si>
    <t>AR00SL1001</t>
  </si>
  <si>
    <t>San M. de Los Andes,Neuquen</t>
  </si>
  <si>
    <t>AR00NQ1003</t>
  </si>
  <si>
    <t>Tucuman</t>
  </si>
  <si>
    <t>San M.de Tucuman</t>
  </si>
  <si>
    <t>AR00TU1005</t>
  </si>
  <si>
    <t>San Rafael</t>
  </si>
  <si>
    <t>AR00MZ1011</t>
  </si>
  <si>
    <t>Jujuy</t>
  </si>
  <si>
    <t>San S. de Jujuy, Jujuy</t>
  </si>
  <si>
    <t>AR00JY1005</t>
  </si>
  <si>
    <t>AR00SF1021</t>
  </si>
  <si>
    <t>Santa rosa</t>
  </si>
  <si>
    <t>AR00LP1004</t>
  </si>
  <si>
    <t>Santiago del Estero</t>
  </si>
  <si>
    <t>AR00SE1002</t>
  </si>
  <si>
    <t>Sarmiento</t>
  </si>
  <si>
    <t>AR00CT1007</t>
  </si>
  <si>
    <t>Tandil</t>
  </si>
  <si>
    <t>AR00BA3021</t>
  </si>
  <si>
    <t>Trelew</t>
  </si>
  <si>
    <t>AR00CT1008</t>
  </si>
  <si>
    <t>Ushuaia</t>
  </si>
  <si>
    <t>AR00TF1002</t>
  </si>
  <si>
    <t>Venado Tuerto</t>
  </si>
  <si>
    <t>AR00SF1024</t>
  </si>
  <si>
    <t>Viedma</t>
  </si>
  <si>
    <t>AR00RN1007</t>
  </si>
  <si>
    <t>Villa Maria</t>
  </si>
  <si>
    <t>AR00CB1025</t>
  </si>
  <si>
    <t>Villa Mercedes</t>
  </si>
  <si>
    <t>AR00SL1002</t>
  </si>
  <si>
    <t>Villa Regina, Rio Negro</t>
  </si>
  <si>
    <t>AR00RN1008</t>
  </si>
  <si>
    <t>Zapala</t>
  </si>
  <si>
    <t>AR00NQ1004</t>
  </si>
  <si>
    <t>CELSUR LOGISTICA S.A</t>
  </si>
  <si>
    <t>BUE</t>
  </si>
  <si>
    <t>Zona Oeste</t>
  </si>
  <si>
    <t>AR00BA1003</t>
  </si>
  <si>
    <t>Directo</t>
  </si>
  <si>
    <t>DISTRI 10 S.R.L.</t>
  </si>
  <si>
    <t>Capital</t>
  </si>
  <si>
    <t>AR00BA1001</t>
  </si>
  <si>
    <t>GIAMPAOLETTI BUOSI S.A.</t>
  </si>
  <si>
    <t>Añelo</t>
  </si>
  <si>
    <t>Centenario, Neuquen</t>
  </si>
  <si>
    <t>AR00NQ1001</t>
  </si>
  <si>
    <t>Chos Malal</t>
  </si>
  <si>
    <t>Cipolletti</t>
  </si>
  <si>
    <t>AR00RN1002</t>
  </si>
  <si>
    <t>Coronel Suarez</t>
  </si>
  <si>
    <t>AR00BA3008</t>
  </si>
  <si>
    <t>Gobernador Gregores</t>
  </si>
  <si>
    <t>AR00SC1004</t>
  </si>
  <si>
    <t>Los Antiguos</t>
  </si>
  <si>
    <t>AR00SC1005</t>
  </si>
  <si>
    <t>Pigue, Buenos Aires</t>
  </si>
  <si>
    <t>AR00BA3019</t>
  </si>
  <si>
    <t>Playa Union</t>
  </si>
  <si>
    <t>AR00CT1003</t>
  </si>
  <si>
    <t>Puerto San Julian</t>
  </si>
  <si>
    <t>AR00SC1010</t>
  </si>
  <si>
    <t>Rio Mayo, Chubut</t>
  </si>
  <si>
    <t>AR00CT1006</t>
  </si>
  <si>
    <t>Tres Arroyos, Buenos Aires</t>
  </si>
  <si>
    <t>AR00BA3022</t>
  </si>
  <si>
    <t>I-FLOW S.A.</t>
  </si>
  <si>
    <t>Mar de Ajo</t>
  </si>
  <si>
    <t>AR00BA2003</t>
  </si>
  <si>
    <t>Mar Del Plata</t>
  </si>
  <si>
    <t>Campana</t>
  </si>
  <si>
    <t>AR00BA1006</t>
  </si>
  <si>
    <t>Mercedes</t>
  </si>
  <si>
    <t>AR00BA1005</t>
  </si>
  <si>
    <t>Pilar</t>
  </si>
  <si>
    <t>AR00BA1008</t>
  </si>
  <si>
    <t>Zarate</t>
  </si>
  <si>
    <t>AR00BA1007</t>
  </si>
  <si>
    <t>Zona Norte</t>
  </si>
  <si>
    <t>AR00BA1002</t>
  </si>
  <si>
    <t>Zona Sur</t>
  </si>
  <si>
    <t>AR00BA1004</t>
  </si>
  <si>
    <t>Barrio Alto Verde</t>
  </si>
  <si>
    <t>AR00CB1005</t>
  </si>
  <si>
    <t>Camino Colonia Tirolesa</t>
  </si>
  <si>
    <t>AR00CB1006</t>
  </si>
  <si>
    <t>Rio Tercero</t>
  </si>
  <si>
    <t>AR00CB1018</t>
  </si>
  <si>
    <t>B.Villa Cabrera</t>
  </si>
  <si>
    <t>AR00CB1004</t>
  </si>
  <si>
    <t>Godoy Cruz</t>
  </si>
  <si>
    <t>AR00MZ1002</t>
  </si>
  <si>
    <t>Guaymallen</t>
  </si>
  <si>
    <t>AR00MZ1004</t>
  </si>
  <si>
    <t>Las Heras</t>
  </si>
  <si>
    <t>AR00MZ1005</t>
  </si>
  <si>
    <t>Lujan de Cuyo</t>
  </si>
  <si>
    <t>AR00MZ1006</t>
  </si>
  <si>
    <t>San Jose</t>
  </si>
  <si>
    <t>AR00MZ1009</t>
  </si>
  <si>
    <t xml:space="preserve">Santa Lucia </t>
  </si>
  <si>
    <t>AR00SJ1002</t>
  </si>
  <si>
    <t>Parana</t>
  </si>
  <si>
    <t>AR00ER1015</t>
  </si>
  <si>
    <t>Corrientes</t>
  </si>
  <si>
    <t>AR00CR1001</t>
  </si>
  <si>
    <t>Bragado</t>
  </si>
  <si>
    <t>AR00BA3004</t>
  </si>
  <si>
    <t>Chascomus</t>
  </si>
  <si>
    <t>AR00BA3006</t>
  </si>
  <si>
    <t>Olavarria</t>
  </si>
  <si>
    <t>AR00BA3015</t>
  </si>
  <si>
    <t>Santa Rosa</t>
  </si>
  <si>
    <t>LOGISCHER NEA SA</t>
  </si>
  <si>
    <t>Necochea</t>
  </si>
  <si>
    <t>AR00BA2006</t>
  </si>
  <si>
    <t>Frontera</t>
  </si>
  <si>
    <t>AR00SF1010</t>
  </si>
  <si>
    <t>TTES. LOS AMIGOS S.A.</t>
  </si>
  <si>
    <t>WAL-MART ARGENTINA SRL</t>
  </si>
  <si>
    <t>Type of truck</t>
  </si>
  <si>
    <t>Zone</t>
  </si>
  <si>
    <t>ZONE</t>
  </si>
  <si>
    <t>SERVPROV ID</t>
  </si>
  <si>
    <t xml:space="preserve"> Proveedor</t>
  </si>
  <si>
    <t xml:space="preserve"> Vigencia </t>
  </si>
  <si>
    <t xml:space="preserve"> Demora</t>
  </si>
  <si>
    <t xml:space="preserve"> Estadia hasta 4hs</t>
  </si>
  <si>
    <t>Estadio hasta 8hs</t>
  </si>
  <si>
    <t>10 a 14 horas</t>
  </si>
  <si>
    <t>No Show</t>
  </si>
  <si>
    <t xml:space="preserve"> Dos Puntos</t>
  </si>
  <si>
    <t xml:space="preserve"> Peon descarga y repaletizado</t>
  </si>
  <si>
    <t>FALSO FLETE</t>
  </si>
  <si>
    <t>Comentarios</t>
  </si>
  <si>
    <t xml:space="preserve"> Alcance</t>
  </si>
  <si>
    <t xml:space="preserve"> Hora</t>
  </si>
  <si>
    <t>Hasta 4hs</t>
  </si>
  <si>
    <t>hasta 8hs</t>
  </si>
  <si>
    <t xml:space="preserve"> Boca de entrega</t>
  </si>
  <si>
    <t>Falso Flete</t>
  </si>
  <si>
    <t>Utilitario</t>
  </si>
  <si>
    <t>Capital Federal</t>
  </si>
  <si>
    <t>Quinta Zona</t>
  </si>
  <si>
    <t>Liviano</t>
  </si>
  <si>
    <t>Chasis</t>
  </si>
  <si>
    <t>Balancin</t>
  </si>
  <si>
    <t>Semi</t>
  </si>
  <si>
    <t>Hasta 3 pallets</t>
  </si>
  <si>
    <t>Mas de 3 pallets</t>
  </si>
  <si>
    <t>RUT</t>
  </si>
  <si>
    <t>&amp;ZONA (Parada) Base ICDRB</t>
  </si>
  <si>
    <t>&amp;ZONA (Parada) Para tarifario</t>
  </si>
  <si>
    <t>Provincia</t>
  </si>
  <si>
    <t>Ruta</t>
  </si>
  <si>
    <t>ZONA</t>
  </si>
  <si>
    <t>Parada</t>
  </si>
  <si>
    <t>ABR_01</t>
  </si>
  <si>
    <t>ABR_02</t>
  </si>
  <si>
    <t>ZONA2</t>
  </si>
  <si>
    <t>PARADA2</t>
  </si>
  <si>
    <t>FROM</t>
  </si>
  <si>
    <t>TO</t>
  </si>
  <si>
    <t>Pick Pack</t>
  </si>
  <si>
    <t>Shipping condition</t>
  </si>
  <si>
    <t>Shipping Description</t>
  </si>
  <si>
    <t>Transit time</t>
  </si>
  <si>
    <t>Transport Zone SAP</t>
  </si>
  <si>
    <t>Ruta SAP</t>
  </si>
  <si>
    <t>Health</t>
  </si>
  <si>
    <t>Hyho</t>
  </si>
  <si>
    <t>Exportacion</t>
  </si>
  <si>
    <t>Montevideo</t>
  </si>
  <si>
    <t>Uruguay</t>
  </si>
  <si>
    <t>AR</t>
  </si>
  <si>
    <t>UR</t>
  </si>
  <si>
    <t>1</t>
  </si>
  <si>
    <t>01</t>
  </si>
  <si>
    <t>RB_FV</t>
  </si>
  <si>
    <t>1d</t>
  </si>
  <si>
    <t>Road/Truck</t>
  </si>
  <si>
    <t>3d</t>
  </si>
  <si>
    <t>AR1X03</t>
  </si>
  <si>
    <t>X</t>
  </si>
  <si>
    <t>Interior</t>
  </si>
  <si>
    <t>Provincia del Neuquén</t>
  </si>
  <si>
    <t>NQ</t>
  </si>
  <si>
    <t>7d</t>
  </si>
  <si>
    <t>AR1X07</t>
  </si>
  <si>
    <t>Neuquen, Neuquen</t>
  </si>
  <si>
    <t>02</t>
  </si>
  <si>
    <t>03</t>
  </si>
  <si>
    <t>Zapala, Neuquen</t>
  </si>
  <si>
    <t>04</t>
  </si>
  <si>
    <t>Comodoro Rivadavia, Chubut</t>
  </si>
  <si>
    <t>Provincia del Chubut</t>
  </si>
  <si>
    <t>CT</t>
  </si>
  <si>
    <t>12d</t>
  </si>
  <si>
    <t>AR1X12</t>
  </si>
  <si>
    <t>Esquel, Chubut</t>
  </si>
  <si>
    <t>Playa Union, Chubut</t>
  </si>
  <si>
    <t>Puerto Madryn, Chubut</t>
  </si>
  <si>
    <t>Rawson, Chubut</t>
  </si>
  <si>
    <t>05</t>
  </si>
  <si>
    <t>06</t>
  </si>
  <si>
    <t>Sarmiento, Chubut</t>
  </si>
  <si>
    <t>07</t>
  </si>
  <si>
    <t>Trelew, Chubut</t>
  </si>
  <si>
    <t>08</t>
  </si>
  <si>
    <t>Charata, Chaco</t>
  </si>
  <si>
    <t>Charata</t>
  </si>
  <si>
    <t>Provincia del Chaco</t>
  </si>
  <si>
    <t>CH</t>
  </si>
  <si>
    <t>Pcia.Roque S.PE&amp;A, Chaco</t>
  </si>
  <si>
    <t>Quitilipi, Chaco  </t>
  </si>
  <si>
    <t>Resistencia, Chaco</t>
  </si>
  <si>
    <t>Villa Angela, Chaco</t>
  </si>
  <si>
    <t>Villa Ángela</t>
  </si>
  <si>
    <t>Aguilares, Tucuman</t>
  </si>
  <si>
    <t>Provincia de Tucumán</t>
  </si>
  <si>
    <t>TU</t>
  </si>
  <si>
    <t>Concepcion, Tucuman</t>
  </si>
  <si>
    <t>Juan B.Alberdi, Tucuman</t>
  </si>
  <si>
    <t>Monteros, Tucuman</t>
  </si>
  <si>
    <t>San M.de Tucuman, Tucuman</t>
  </si>
  <si>
    <t>Yerba Buena, Tucuman</t>
  </si>
  <si>
    <t>Rio Grande, Tierra del Fuego</t>
  </si>
  <si>
    <t>Provincia de Tierra del Fuego, Antártida e Islas del Atlántico Sur</t>
  </si>
  <si>
    <t>TF</t>
  </si>
  <si>
    <t>Ushuaia, Tierra del Fuego</t>
  </si>
  <si>
    <t>Fernandez, Sgo. del Estero</t>
  </si>
  <si>
    <t>Provincia de Santiago del Estero</t>
  </si>
  <si>
    <t>SE</t>
  </si>
  <si>
    <t>Santiago del Estero, Sgo.del E</t>
  </si>
  <si>
    <t>Avellaneda, Santa Fe</t>
  </si>
  <si>
    <t>Provincia de Santa Fe</t>
  </si>
  <si>
    <t>SF</t>
  </si>
  <si>
    <t>6d</t>
  </si>
  <si>
    <t>AR1X06</t>
  </si>
  <si>
    <t>Cañada de Gomez, Santa Fe</t>
  </si>
  <si>
    <t>Cañada de Gomez</t>
  </si>
  <si>
    <t>Capitan Bermudez, Santa Fe</t>
  </si>
  <si>
    <t>Capitan Bermudez</t>
  </si>
  <si>
    <t>Casilda, Santa Fe</t>
  </si>
  <si>
    <t>Chabas, Santa Fe</t>
  </si>
  <si>
    <t>Chabas</t>
  </si>
  <si>
    <t>Chanar Ladeado,Santa Fe</t>
  </si>
  <si>
    <t>Chanar Ladeado</t>
  </si>
  <si>
    <t>EMP V Constitucion, Santa Fe</t>
  </si>
  <si>
    <t>Esperanza, Santa Fe</t>
  </si>
  <si>
    <t>Firmat, Santa Fe</t>
  </si>
  <si>
    <t>Firmat</t>
  </si>
  <si>
    <t>09</t>
  </si>
  <si>
    <t>Frontera, Santa Fe</t>
  </si>
  <si>
    <t>10</t>
  </si>
  <si>
    <t>Granadero Baigorria, Santa Fe</t>
  </si>
  <si>
    <t>11</t>
  </si>
  <si>
    <t>Laguna Paiva, Santa Fe</t>
  </si>
  <si>
    <t>12</t>
  </si>
  <si>
    <t>Maggiolo, Santa Fe</t>
  </si>
  <si>
    <t>13</t>
  </si>
  <si>
    <t>Rafaela, Santa Fe</t>
  </si>
  <si>
    <t>Rafaela</t>
  </si>
  <si>
    <t>14</t>
  </si>
  <si>
    <t>Reconquista, Santa Fe</t>
  </si>
  <si>
    <t>Reconquista</t>
  </si>
  <si>
    <t>15</t>
  </si>
  <si>
    <t>Rosario, Santa Fe</t>
  </si>
  <si>
    <t>16</t>
  </si>
  <si>
    <t>Rufino, Santa Fe</t>
  </si>
  <si>
    <t>Rufino</t>
  </si>
  <si>
    <t>17</t>
  </si>
  <si>
    <t>San Jorge, Santa Fe</t>
  </si>
  <si>
    <t>18</t>
  </si>
  <si>
    <t>San Justo, Santa Fe</t>
  </si>
  <si>
    <t>San Justo</t>
  </si>
  <si>
    <t>19</t>
  </si>
  <si>
    <t>San Lorenzo, Santa Fe</t>
  </si>
  <si>
    <t>20</t>
  </si>
  <si>
    <t>Santa Fe, Santa Fe</t>
  </si>
  <si>
    <t>21</t>
  </si>
  <si>
    <t>Santa Fe 1</t>
  </si>
  <si>
    <t>22</t>
  </si>
  <si>
    <t>Santo Tome, Santa Fe</t>
  </si>
  <si>
    <t>Santo Tome</t>
  </si>
  <si>
    <t>23</t>
  </si>
  <si>
    <t>Venado Tuerto, Santa Fe</t>
  </si>
  <si>
    <t>24</t>
  </si>
  <si>
    <t>Villa Gobernador Galvez,Santa</t>
  </si>
  <si>
    <t>25</t>
  </si>
  <si>
    <t>Caleta Olivia,Santa Cruz</t>
  </si>
  <si>
    <t>Provincia de Santa Cruz</t>
  </si>
  <si>
    <t>SC</t>
  </si>
  <si>
    <t>Cte.Luis Piedrabuena,Santa Cru</t>
  </si>
  <si>
    <t>El Calafate, Santa Cruz</t>
  </si>
  <si>
    <t>Gobernador Gregores,Santa Cruz</t>
  </si>
  <si>
    <t>Los Antiguos, Santa Cruz</t>
  </si>
  <si>
    <t>Patagonia</t>
  </si>
  <si>
    <t>Perito Moreno, Santa Cruz</t>
  </si>
  <si>
    <t>Pico Truncado, Santa Cruz</t>
  </si>
  <si>
    <t>Puerto San Julian, Santa Cruz</t>
  </si>
  <si>
    <t>Puerto Santa Cruz, Santa Cruz</t>
  </si>
  <si>
    <t>Rio Gallegos, Santa Cruz</t>
  </si>
  <si>
    <t>Rio Turbio, Santa Cruz</t>
  </si>
  <si>
    <t>San Luis, San Luis</t>
  </si>
  <si>
    <t>Provincia de San Luis</t>
  </si>
  <si>
    <t>SL</t>
  </si>
  <si>
    <t>Villa Mercedes, San Luis</t>
  </si>
  <si>
    <t>San Juan , San Juan</t>
  </si>
  <si>
    <t>Provincia de San Juan</t>
  </si>
  <si>
    <t>SJ</t>
  </si>
  <si>
    <t>Santa Lucia , San Juan</t>
  </si>
  <si>
    <t>Villa Krause, San Juan</t>
  </si>
  <si>
    <t>Cerrillos,Salta</t>
  </si>
  <si>
    <t>Cerrillos</t>
  </si>
  <si>
    <t>Provincia de Salta</t>
  </si>
  <si>
    <t>SA</t>
  </si>
  <si>
    <t>Pocitos, Salta</t>
  </si>
  <si>
    <t>Salta, Salta</t>
  </si>
  <si>
    <t>Choele Choel, Rio Negro</t>
  </si>
  <si>
    <t>Provincia de Río Negro</t>
  </si>
  <si>
    <t>RN</t>
  </si>
  <si>
    <t>Cipolletti, Rio Negro</t>
  </si>
  <si>
    <t>El Bolson, Rio Negro</t>
  </si>
  <si>
    <t>Gral. Roca, Rio Negro</t>
  </si>
  <si>
    <t>Rio Negro</t>
  </si>
  <si>
    <t>San C. de Bariloche, Rio Negro</t>
  </si>
  <si>
    <t>Viedma, Rio Negro</t>
  </si>
  <si>
    <t>Eldorado, Misiones</t>
  </si>
  <si>
    <t>Eldorado</t>
  </si>
  <si>
    <t>Provincia de Misiones</t>
  </si>
  <si>
    <t>MI</t>
  </si>
  <si>
    <t>Jardin America, Misiones</t>
  </si>
  <si>
    <t>Leandro N. Alem, Misiones</t>
  </si>
  <si>
    <t>Obera, Misiones</t>
  </si>
  <si>
    <t>Posadas, Misiones</t>
  </si>
  <si>
    <t>Puerto Rico, Misiones</t>
  </si>
  <si>
    <t>Acceso Este Rodeo de la Cruz,M</t>
  </si>
  <si>
    <t>Acceso Este Rodeo de la Cruz</t>
  </si>
  <si>
    <t>Provincia de Mendoza</t>
  </si>
  <si>
    <t>MZ</t>
  </si>
  <si>
    <t>Godoy Cruz, Mendonza</t>
  </si>
  <si>
    <t>Gral.Alvear, Mendonza</t>
  </si>
  <si>
    <t>Gral.Alvear</t>
  </si>
  <si>
    <t>Las Heras, Mendonza</t>
  </si>
  <si>
    <t>Lujan de Cuyo, Mendonza</t>
  </si>
  <si>
    <t>Mendoza, Mendoza</t>
  </si>
  <si>
    <t>Rivadavia, Mendoza</t>
  </si>
  <si>
    <t>Rivadavia</t>
  </si>
  <si>
    <t>Cuyo 1</t>
  </si>
  <si>
    <t>San Martin</t>
  </si>
  <si>
    <t>San Rafael, Mendonza</t>
  </si>
  <si>
    <t>Villanueva, Mendonza</t>
  </si>
  <si>
    <t>Chilecito,La Rioja</t>
  </si>
  <si>
    <t>Chilecito</t>
  </si>
  <si>
    <t>Provincia de La Rioja</t>
  </si>
  <si>
    <t>LR</t>
  </si>
  <si>
    <t>La Rioja, La Rioja</t>
  </si>
  <si>
    <t>Gral.Pico, La Pampa</t>
  </si>
  <si>
    <t>Provincia de La Pampa</t>
  </si>
  <si>
    <t>LP</t>
  </si>
  <si>
    <t>Intendente Alvear, La Pampa</t>
  </si>
  <si>
    <t>Santa Rosa, La Pampa</t>
  </si>
  <si>
    <t>La Quiaca, Jujuy</t>
  </si>
  <si>
    <t>Provincia de Jujuy</t>
  </si>
  <si>
    <t>JY</t>
  </si>
  <si>
    <t>Lib.Gral.San Martin, Jujuy</t>
  </si>
  <si>
    <t>Lib.Gral.San Martin</t>
  </si>
  <si>
    <t>NOA 1</t>
  </si>
  <si>
    <t>Palpala</t>
  </si>
  <si>
    <t>San Pedro de Jujuy, Jujuy</t>
  </si>
  <si>
    <t>Clorinda, Formosa</t>
  </si>
  <si>
    <t>Clorinda</t>
  </si>
  <si>
    <t>Provincia de Formosa</t>
  </si>
  <si>
    <t>FO</t>
  </si>
  <si>
    <t>Formosa, Formosa</t>
  </si>
  <si>
    <t>Chajari, Entre Rios</t>
  </si>
  <si>
    <t>Provincia de Entre Ríos</t>
  </si>
  <si>
    <t>ER</t>
  </si>
  <si>
    <t>Colon, Entre Rios</t>
  </si>
  <si>
    <t>Concepcion del Uruguay,Entre R</t>
  </si>
  <si>
    <t>Concepcion del Uruguay</t>
  </si>
  <si>
    <t>Concordia, Entre Rios</t>
  </si>
  <si>
    <t>Crespo, Entre Rios</t>
  </si>
  <si>
    <t>Diamante, Entre Rios</t>
  </si>
  <si>
    <t>Gualeguay, Entre Rios</t>
  </si>
  <si>
    <t>Gualeguaychu, Entre Rios</t>
  </si>
  <si>
    <t>La Paz, Entre Rios</t>
  </si>
  <si>
    <t>Mesopotamia 1</t>
  </si>
  <si>
    <t>Nogoya, Entre Rios</t>
  </si>
  <si>
    <t>Santa Helena, Entre Rios</t>
  </si>
  <si>
    <t>Victoria, Entre Rios</t>
  </si>
  <si>
    <t>Villaguay, Entre Rios</t>
  </si>
  <si>
    <t>Parana, Entre Rios</t>
  </si>
  <si>
    <t>Corrientes, Corrientes</t>
  </si>
  <si>
    <t>Provincia de Corrientes</t>
  </si>
  <si>
    <t>CR</t>
  </si>
  <si>
    <t>Goya ,Corrientes</t>
  </si>
  <si>
    <t>Paso de los Libres,Corrientes</t>
  </si>
  <si>
    <t>Paso de los Libres</t>
  </si>
  <si>
    <t>Alta Gracia, Cordoba  </t>
  </si>
  <si>
    <t>Alta Gracia</t>
  </si>
  <si>
    <t>Provincia de Córdoba</t>
  </si>
  <si>
    <t>CB</t>
  </si>
  <si>
    <t>Arguello, Cordoba</t>
  </si>
  <si>
    <t>Arroyito, Cordoba</t>
  </si>
  <si>
    <t>Camino Colonia Tirolesa, Cordo</t>
  </si>
  <si>
    <t>Colonia Caroya, Cordoba</t>
  </si>
  <si>
    <t>Cordoba, Cordoba</t>
  </si>
  <si>
    <t>Corral de Bustos, Cordoba</t>
  </si>
  <si>
    <t>Corral de Bustos</t>
  </si>
  <si>
    <t>Cosquin, Cordoba</t>
  </si>
  <si>
    <t>Embalse Rio Tercero, Cordoba</t>
  </si>
  <si>
    <t>Jesus Maria, Cordoba</t>
  </si>
  <si>
    <t>Las Peyas, Cordoba</t>
  </si>
  <si>
    <t>Monte Cristo, Cordoba</t>
  </si>
  <si>
    <t>Obispo Trejo, Cordoba</t>
  </si>
  <si>
    <t>Rio Ceballos, Cordoba</t>
  </si>
  <si>
    <t>Rio Ceballos</t>
  </si>
  <si>
    <t>Rio Cuarto, Cordoba</t>
  </si>
  <si>
    <t>Rio Tercero, Cordoba</t>
  </si>
  <si>
    <t>San Francisco, Cordoba</t>
  </si>
  <si>
    <t>San Francisco</t>
  </si>
  <si>
    <t>San Francisco Del Chanar</t>
  </si>
  <si>
    <t>Santa Rosa de Rio Primero,Cord</t>
  </si>
  <si>
    <t>Santa Rosa de Rio Primero</t>
  </si>
  <si>
    <t>Unquillo, Cordoba</t>
  </si>
  <si>
    <t>Unquillo</t>
  </si>
  <si>
    <t>Villa Carlos Paz, Cordoba</t>
  </si>
  <si>
    <t>Villa Carlos Paz</t>
  </si>
  <si>
    <t>Villa del Rosario, Cordoba</t>
  </si>
  <si>
    <t>Villa Maria, Cordoba</t>
  </si>
  <si>
    <t>Catamarca, Catamarca</t>
  </si>
  <si>
    <t>Provincia de Catamarca</t>
  </si>
  <si>
    <t>CA</t>
  </si>
  <si>
    <t>Cap - GBA</t>
  </si>
  <si>
    <t>Provincia de Buenos Aires</t>
  </si>
  <si>
    <t>CPF</t>
  </si>
  <si>
    <t>BA</t>
  </si>
  <si>
    <t>AR1X01</t>
  </si>
  <si>
    <t>GBA</t>
  </si>
  <si>
    <t>004</t>
  </si>
  <si>
    <t>ZMB</t>
  </si>
  <si>
    <t>005</t>
  </si>
  <si>
    <t>006</t>
  </si>
  <si>
    <t>007</t>
  </si>
  <si>
    <t>008</t>
  </si>
  <si>
    <t>Balcarce, Buenos Aires</t>
  </si>
  <si>
    <t>Balcarce</t>
  </si>
  <si>
    <t>BSC</t>
  </si>
  <si>
    <t>2</t>
  </si>
  <si>
    <t>Gral.Madariaga, Buenos Aires</t>
  </si>
  <si>
    <t>Gral.Madariaga</t>
  </si>
  <si>
    <t>Mar de Ajo, Buenos Aires</t>
  </si>
  <si>
    <t>Mar Del Plata, Buenos Aires</t>
  </si>
  <si>
    <t>Miramar, Buenos Aires</t>
  </si>
  <si>
    <t>Miramar</t>
  </si>
  <si>
    <t>Necochea, Buenos Aires</t>
  </si>
  <si>
    <t>Pinamar, Buenos Aires</t>
  </si>
  <si>
    <t>Pinamar</t>
  </si>
  <si>
    <t>San Bernardo, Buenos Aires</t>
  </si>
  <si>
    <t>San Bernardo</t>
  </si>
  <si>
    <t>San Clemente del Tuyu,Buenos A</t>
  </si>
  <si>
    <t>San Clemente del Tuyu</t>
  </si>
  <si>
    <t>Villa Gessel, Buenos Aires</t>
  </si>
  <si>
    <t>Villa Gessel</t>
  </si>
  <si>
    <t>Bahia Blanca, Buenos Aires</t>
  </si>
  <si>
    <t>4</t>
  </si>
  <si>
    <t>9 de Julio, Buenos Aires</t>
  </si>
  <si>
    <t>9 de Julio</t>
  </si>
  <si>
    <t>BSI</t>
  </si>
  <si>
    <t>3</t>
  </si>
  <si>
    <t>America, Buenos Aires</t>
  </si>
  <si>
    <t>Azul, Buenos Aires</t>
  </si>
  <si>
    <t>Azul</t>
  </si>
  <si>
    <t>Bragado, Buenos Aires</t>
  </si>
  <si>
    <t>Campana, Buenos Aires</t>
  </si>
  <si>
    <t>Chascomus,Buenos Aires</t>
  </si>
  <si>
    <t>Chivilcoy, Buenos Aires</t>
  </si>
  <si>
    <t>Coronel Suarez,Buenos Aires</t>
  </si>
  <si>
    <t>Dolores, Buenos Aires</t>
  </si>
  <si>
    <t>Bolivar, Buenos Aires</t>
  </si>
  <si>
    <t>Bolivar</t>
  </si>
  <si>
    <t>Gral.Villegas, Buenos Aires</t>
  </si>
  <si>
    <t>Junin, Buenos Aires</t>
  </si>
  <si>
    <t xml:space="preserve">lo </t>
  </si>
  <si>
    <t>Lincoln, Buenos Aires</t>
  </si>
  <si>
    <t>Loberia, Buenos Aires</t>
  </si>
  <si>
    <t>Olavarria, Buenos Aires</t>
  </si>
  <si>
    <t>Otamendi, Buenos Aires</t>
  </si>
  <si>
    <t>Pehuajo,Buenos Aires</t>
  </si>
  <si>
    <t>Pehuajo</t>
  </si>
  <si>
    <t>Pergamino, Buenos Aires</t>
  </si>
  <si>
    <t>Pergamino</t>
  </si>
  <si>
    <t>Saladillo, Buenos Aires</t>
  </si>
  <si>
    <t>Tandil, Buenos Aires</t>
  </si>
  <si>
    <t>Vedia BS AS</t>
  </si>
  <si>
    <t>San Nicolas, Buenos Aires</t>
  </si>
  <si>
    <t>San Nicolas</t>
  </si>
  <si>
    <t>Trenque Lauquen</t>
  </si>
  <si>
    <t>010</t>
  </si>
  <si>
    <t>Asuncion</t>
  </si>
  <si>
    <t>Paraguay</t>
  </si>
  <si>
    <t>PA</t>
  </si>
  <si>
    <t>Santiago</t>
  </si>
  <si>
    <t>Chile</t>
  </si>
  <si>
    <t>CL</t>
  </si>
  <si>
    <t>Bolivia</t>
  </si>
  <si>
    <t>BO</t>
  </si>
  <si>
    <t>3PL Direct</t>
  </si>
  <si>
    <t>2d</t>
  </si>
  <si>
    <t>AR1X02</t>
  </si>
  <si>
    <t>0d</t>
  </si>
  <si>
    <t>AR0X00</t>
  </si>
  <si>
    <t>Country</t>
  </si>
  <si>
    <t>Departure zone</t>
  </si>
  <si>
    <t>Shipping Conditions</t>
  </si>
  <si>
    <t>Transportation Group</t>
  </si>
  <si>
    <t>Destination Country</t>
  </si>
  <si>
    <t>Transportation zone</t>
  </si>
  <si>
    <t>Weight group</t>
  </si>
  <si>
    <t>Actual route</t>
  </si>
  <si>
    <t>.</t>
  </si>
  <si>
    <t>NEW ROUTE TO BE UPDATED</t>
  </si>
  <si>
    <t>AR00000001</t>
  </si>
  <si>
    <t>0001</t>
  </si>
  <si>
    <t>9900000001</t>
  </si>
  <si>
    <t>2499</t>
  </si>
  <si>
    <t>2500</t>
  </si>
  <si>
    <t>500</t>
  </si>
  <si>
    <t>5442</t>
  </si>
  <si>
    <t>5443</t>
  </si>
  <si>
    <t>6803</t>
  </si>
  <si>
    <t>6804</t>
  </si>
  <si>
    <t>9071</t>
  </si>
  <si>
    <t>9072</t>
  </si>
  <si>
    <t>9999</t>
  </si>
  <si>
    <t>AR00BA2001</t>
  </si>
  <si>
    <t>AR00BA2002</t>
  </si>
  <si>
    <t>AR00BA2005</t>
  </si>
  <si>
    <t>AR00BA2007</t>
  </si>
  <si>
    <t>AR00BA2008</t>
  </si>
  <si>
    <t>AR00BA2009</t>
  </si>
  <si>
    <t>AR00BA2010</t>
  </si>
  <si>
    <t>AR00BA3001</t>
  </si>
  <si>
    <t>AR00BA3002</t>
  </si>
  <si>
    <t>AR00BA3003</t>
  </si>
  <si>
    <t>AR00BA3005</t>
  </si>
  <si>
    <t>AR00BA3007</t>
  </si>
  <si>
    <t>AR00BA3009</t>
  </si>
  <si>
    <t>AR00BA3010</t>
  </si>
  <si>
    <t>AR00BA3011</t>
  </si>
  <si>
    <t>AR00BA3013</t>
  </si>
  <si>
    <t>AR00BA3014</t>
  </si>
  <si>
    <t>AR00BA3016</t>
  </si>
  <si>
    <t>AR00BA3018</t>
  </si>
  <si>
    <t>AR00BA3020</t>
  </si>
  <si>
    <t>AR00BA3023</t>
  </si>
  <si>
    <t>AR00BA3024</t>
  </si>
  <si>
    <t>AR00BA3025</t>
  </si>
  <si>
    <t>AR00CB1001</t>
  </si>
  <si>
    <t>AR00CB1002</t>
  </si>
  <si>
    <t>AR00CB1003</t>
  </si>
  <si>
    <t>AR00CB1007</t>
  </si>
  <si>
    <t>AR00CB1009</t>
  </si>
  <si>
    <t>AR00CB1010</t>
  </si>
  <si>
    <t>AR00CB1011</t>
  </si>
  <si>
    <t>AR00CB1012</t>
  </si>
  <si>
    <t>AR00CB1013</t>
  </si>
  <si>
    <t>AR00CB1014</t>
  </si>
  <si>
    <t>AR00CB1015</t>
  </si>
  <si>
    <t>AR00CB1016</t>
  </si>
  <si>
    <t>AR00CB1020</t>
  </si>
  <si>
    <t>AR00CB1021</t>
  </si>
  <si>
    <t>AR00CB1022</t>
  </si>
  <si>
    <t>AR00CB1023</t>
  </si>
  <si>
    <t>AR00CB1024</t>
  </si>
  <si>
    <t>AR00CH1001</t>
  </si>
  <si>
    <t>AR00CH1003</t>
  </si>
  <si>
    <t>AR00CH1005</t>
  </si>
  <si>
    <t>AR00CR1002</t>
  </si>
  <si>
    <t>AR00CR1003</t>
  </si>
  <si>
    <t>AR00ER1001</t>
  </si>
  <si>
    <t>AR00ER1002</t>
  </si>
  <si>
    <t>AR00ER1003</t>
  </si>
  <si>
    <t>AR00ER1005</t>
  </si>
  <si>
    <t>AR00ER1006</t>
  </si>
  <si>
    <t>AR00ER1007</t>
  </si>
  <si>
    <t>AR00ER1009</t>
  </si>
  <si>
    <t>AR00ER1010</t>
  </si>
  <si>
    <t>AR00ER1011</t>
  </si>
  <si>
    <t>AR00ER1012</t>
  </si>
  <si>
    <t>AR00ER1013</t>
  </si>
  <si>
    <t>AR00ER1014</t>
  </si>
  <si>
    <t>AR00EX1004</t>
  </si>
  <si>
    <t>AR00FO1001</t>
  </si>
  <si>
    <t>AR00JY1001</t>
  </si>
  <si>
    <t>AR00JY1002</t>
  </si>
  <si>
    <t>AR00JY1003</t>
  </si>
  <si>
    <t>AR00JY1004</t>
  </si>
  <si>
    <t>AR00LP1002</t>
  </si>
  <si>
    <t>AR00LP1003</t>
  </si>
  <si>
    <t>AR00LR1001</t>
  </si>
  <si>
    <t>AR00MI1001</t>
  </si>
  <si>
    <t>AR00MI1002</t>
  </si>
  <si>
    <t>AR00MI1003</t>
  </si>
  <si>
    <t>AR00MI1004</t>
  </si>
  <si>
    <t>AR00MI1006</t>
  </si>
  <si>
    <t>AR00MZ1001</t>
  </si>
  <si>
    <t>AR00MZ1003</t>
  </si>
  <si>
    <t>AR00MZ1008</t>
  </si>
  <si>
    <t>AR00MZ1010</t>
  </si>
  <si>
    <t>AR00MZ1012</t>
  </si>
  <si>
    <t>AR00RN1005</t>
  </si>
  <si>
    <t>AR00SA1001</t>
  </si>
  <si>
    <t>AR00SA1002</t>
  </si>
  <si>
    <t>AR00SC1006</t>
  </si>
  <si>
    <t>AR00SE1001</t>
  </si>
  <si>
    <t>AR00SF1001</t>
  </si>
  <si>
    <t>AR00SF1002</t>
  </si>
  <si>
    <t>AR00SF1003</t>
  </si>
  <si>
    <t>AR00SF1005</t>
  </si>
  <si>
    <t>AR00SF1006</t>
  </si>
  <si>
    <t>AR00SF1007</t>
  </si>
  <si>
    <t>AR00SF1008</t>
  </si>
  <si>
    <t>AR00SF1009</t>
  </si>
  <si>
    <t>AR00SF1011</t>
  </si>
  <si>
    <t>AR00SF1012</t>
  </si>
  <si>
    <t>AR00SF1013</t>
  </si>
  <si>
    <t>AR00SF1014</t>
  </si>
  <si>
    <t>AR00SF1017</t>
  </si>
  <si>
    <t>AR00SF1018</t>
  </si>
  <si>
    <t>AR00SF1019</t>
  </si>
  <si>
    <t>AR00SF1020</t>
  </si>
  <si>
    <t>AR00SF1022</t>
  </si>
  <si>
    <t>AR00SF1023</t>
  </si>
  <si>
    <t>AR00SF1025</t>
  </si>
  <si>
    <t>AR00SJ1003</t>
  </si>
  <si>
    <t>AR00TU1001</t>
  </si>
  <si>
    <t>AR00TU1002</t>
  </si>
  <si>
    <t>AR00TU1003</t>
  </si>
  <si>
    <t>AR00TU1004</t>
  </si>
  <si>
    <t>AR00TU1006</t>
  </si>
  <si>
    <t>BO00000001</t>
  </si>
  <si>
    <t>PY</t>
  </si>
  <si>
    <t>PY00000001</t>
  </si>
  <si>
    <t>UY</t>
  </si>
  <si>
    <t>UY00000001</t>
  </si>
  <si>
    <t>TARIFA</t>
  </si>
  <si>
    <t>Acumulado</t>
  </si>
  <si>
    <t>Etiquetas de fila</t>
  </si>
  <si>
    <t>Total general</t>
  </si>
  <si>
    <t>Acumulado Anual 2025</t>
  </si>
  <si>
    <t>Feb</t>
  </si>
  <si>
    <t>Mar</t>
  </si>
  <si>
    <t>Apr</t>
  </si>
  <si>
    <t>May</t>
  </si>
  <si>
    <t>Jun</t>
  </si>
  <si>
    <t>Jul</t>
  </si>
  <si>
    <t> </t>
  </si>
  <si>
    <t>ene-24</t>
  </si>
  <si>
    <t>feb-24</t>
  </si>
  <si>
    <t>mar-24</t>
  </si>
  <si>
    <t>abr-24</t>
  </si>
  <si>
    <t>may-24</t>
  </si>
  <si>
    <t>jun-24</t>
  </si>
  <si>
    <t>jul-24</t>
  </si>
  <si>
    <t>ago-24</t>
  </si>
  <si>
    <t>sept-24</t>
  </si>
  <si>
    <t>oct-24</t>
  </si>
  <si>
    <t>nov-24</t>
  </si>
  <si>
    <t>dic-24</t>
  </si>
  <si>
    <t>ene-25</t>
  </si>
  <si>
    <t>feb-25</t>
  </si>
  <si>
    <t>mar-25</t>
  </si>
  <si>
    <t>abr-25</t>
  </si>
  <si>
    <t>may-25</t>
  </si>
  <si>
    <t>jun-25</t>
  </si>
  <si>
    <t>jul-25</t>
  </si>
  <si>
    <t>ago-25</t>
  </si>
  <si>
    <t>sept-25</t>
  </si>
  <si>
    <t>dic-25</t>
  </si>
  <si>
    <t>Febrero</t>
  </si>
  <si>
    <t>0,00%</t>
  </si>
  <si>
    <t>nov-252</t>
  </si>
  <si>
    <t>oct-252</t>
  </si>
  <si>
    <t>145,33%</t>
  </si>
  <si>
    <t>Salsipuedes</t>
  </si>
  <si>
    <t>CELSUR LOGISTICA S.A.</t>
  </si>
  <si>
    <t>Alcance Depo Fiscal</t>
  </si>
  <si>
    <t>0%</t>
  </si>
  <si>
    <t>3,54%</t>
  </si>
  <si>
    <t>Minimo</t>
  </si>
  <si>
    <t>Julio</t>
  </si>
  <si>
    <t>19,13%</t>
  </si>
  <si>
    <t>139,92%</t>
  </si>
  <si>
    <t>100,91%</t>
  </si>
  <si>
    <t>131,05%</t>
  </si>
  <si>
    <t>147,34%</t>
  </si>
  <si>
    <t>Agosto</t>
  </si>
  <si>
    <t>10,87%</t>
  </si>
  <si>
    <t>Marzo</t>
  </si>
  <si>
    <t>Abril</t>
  </si>
  <si>
    <t>Mayo</t>
  </si>
  <si>
    <t>Nov</t>
  </si>
  <si>
    <t>Junio</t>
  </si>
  <si>
    <t>191,13%</t>
  </si>
  <si>
    <t>122,55%</t>
  </si>
  <si>
    <t>CUT OFF</t>
  </si>
  <si>
    <t>Cut Off</t>
  </si>
  <si>
    <t>No Cut Off</t>
  </si>
  <si>
    <t>Expo</t>
  </si>
  <si>
    <t>(en blanco)</t>
  </si>
  <si>
    <t>AR00BO1002</t>
  </si>
  <si>
    <t>AR00CL1004</t>
  </si>
  <si>
    <t>AR00PA1003</t>
  </si>
  <si>
    <t>AR00UR1001</t>
  </si>
  <si>
    <t>Córdoba</t>
  </si>
  <si>
    <t>Entre Ríos</t>
  </si>
  <si>
    <t>Tucumán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</si>
</sst>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8" formatCode="&quot;$&quot;\ #,##0.00;[Red]\-&quot;$&quot;\ #,##0.00"/>
    <numFmt numFmtId="44" formatCode="_-&quot;$&quot;\ * #,##0.00_-;\-&quot;$&quot;\ * #,##0.00_-;_-&quot;$&quot;\ * &quot;-&quot;??_-;_-@_-"/>
    <numFmt numFmtId="164" formatCode="&quot;$&quot;\ #,##0.00;[Red]&quot;$&quot;\ \-#,##0.00"/>
    <numFmt numFmtId="165" formatCode="&quot;$&quot;\ #,##0.00"/>
    <numFmt numFmtId="166" formatCode="_ &quot;$&quot;\ * #,##0.00_ ;_ &quot;$&quot;\ * \-#,##0.00_ ;_ &quot;$&quot;\ * &quot;-&quot;??_ ;_ @_ "/>
    <numFmt numFmtId="167" formatCode="&quot;$&quot;\ #,##0.000"/>
    <numFmt numFmtId="168" formatCode="&quot;$&quot;\ #,##0"/>
    <numFmt numFmtId="169" formatCode="_ &quot;$&quot;\ * #,##0_ ;_ &quot;$&quot;\ * \-#,##0_ ;_ &quot;$&quot;\ * &quot;-&quot;??_ ;_ @_ "/>
    <numFmt numFmtId="170" formatCode="0.000%"/>
    <numFmt numFmtId="171" formatCode="&quot;$&quot;\ #,##0.0"/>
    <numFmt numFmtId="172" formatCode="0.000"/>
    <numFmt numFmtId="173" formatCode="_-&quot;$&quot;\ * #,##0.000_-;\-&quot;$&quot;\ * #,##0.000_-;_-&quot;$&quot;\ * &quot;-&quot;???_-;_-@_-"/>
    <numFmt numFmtId="174" formatCode="_-&quot;$&quot;\ * #,##0.000_-;\-&quot;$&quot;\ * #,##0.000_-;_-&quot;$&quot;\ * &quot;-&quot;??_-;_-@_-"/>
    <numFmt numFmtId="175" formatCode="_-&quot;$&quot;\ * #,##0.00000_-;\-&quot;$&quot;\ * #,##0.00000_-;_-&quot;$&quot;\ * &quot;-&quot;??_-;_-@_-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rebuchet MS"/>
      <family val="2"/>
    </font>
    <font>
      <sz val="10"/>
      <color theme="1"/>
      <name val="Calibri Light"/>
      <family val="2"/>
      <scheme val="major"/>
    </font>
    <font>
      <sz val="10"/>
      <name val="Calibri Light"/>
      <family val="2"/>
      <scheme val="maj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b/>
      <sz val="10"/>
      <name val="Calibri Light"/>
      <family val="2"/>
      <scheme val="major"/>
    </font>
    <font>
      <b/>
      <sz val="10"/>
      <color rgb="FF000000"/>
      <name val="Trebuchet MS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7F"/>
      <name val="Calibri"/>
      <family val="2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FF"/>
        <bgColor theme="4"/>
      </patternFill>
    </fill>
    <fill>
      <patternFill patternType="solid">
        <fgColor theme="3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DDE"/>
        <bgColor rgb="FF000000"/>
      </patternFill>
    </fill>
    <fill>
      <patternFill patternType="solid">
        <fgColor rgb="FFFF007F"/>
        <bgColor rgb="FF000000"/>
      </patternFill>
    </fill>
    <fill>
      <patternFill patternType="solid">
        <fgColor auto="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hair">
        <color theme="7"/>
      </left>
      <right style="hair">
        <color theme="7"/>
      </right>
      <top style="hair">
        <color theme="7"/>
      </top>
      <bottom style="hair">
        <color theme="7"/>
      </bottom>
      <diagonal/>
    </border>
    <border>
      <left style="hair">
        <color theme="7"/>
      </left>
      <right style="hair">
        <color theme="7"/>
      </right>
      <top/>
      <bottom style="hair">
        <color theme="7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4" tint="0.39997558519241921"/>
      </left>
      <right style="hair">
        <color theme="4" tint="0.39997558519241921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4" tint="0.39997558519241921"/>
      </left>
      <right style="medium">
        <color rgb="FF002060"/>
      </right>
      <top style="hair">
        <color theme="4" tint="0.39997558519241921"/>
      </top>
      <bottom style="medium">
        <color rgb="FF002060"/>
      </bottom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 style="medium">
        <color rgb="FF002060"/>
      </left>
      <right style="hair">
        <color theme="4" tint="0.39997558519241921"/>
      </right>
      <top style="medium">
        <color rgb="FF002060"/>
      </top>
      <bottom/>
      <diagonal/>
    </border>
    <border>
      <left style="hair">
        <color theme="4" tint="0.39997558519241921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7"/>
      </left>
      <right style="hair">
        <color theme="7"/>
      </right>
      <top style="hair">
        <color theme="7"/>
      </top>
      <bottom/>
      <diagonal/>
    </border>
    <border>
      <left/>
      <right style="medium">
        <color rgb="FF002060"/>
      </right>
      <top style="hair">
        <color theme="4" tint="0.39997558519241921"/>
      </top>
      <bottom style="medium">
        <color rgb="FF002060"/>
      </bottom>
      <diagonal/>
    </border>
    <border>
      <left style="hair">
        <color theme="7"/>
      </left>
      <right style="hair">
        <color theme="7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theme="7"/>
      </left>
      <right style="hair">
        <color theme="7"/>
      </right>
      <top style="thin">
        <color theme="9"/>
      </top>
      <bottom style="hair">
        <color theme="7"/>
      </bottom>
      <diagonal/>
    </border>
    <border>
      <left style="hair">
        <color theme="7"/>
      </left>
      <right/>
      <top style="hair">
        <color theme="7"/>
      </top>
      <bottom style="hair">
        <color theme="7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 style="thin">
        <color theme="8"/>
      </right>
      <top/>
      <bottom/>
      <diagonal/>
    </border>
    <border>
      <left style="hair">
        <color theme="7"/>
      </left>
      <right style="hair">
        <color theme="7"/>
      </right>
      <top style="thin">
        <color theme="9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8">
    <xf numFmtId="0" fontId="0" fillId="0" borderId="0"/>
    <xf numFmtId="166" fontId="1" fillId="0" borderId="0"/>
    <xf numFmtId="9" fontId="1" fillId="0" borderId="0"/>
    <xf numFmtId="0" fontId="12" fillId="8" borderId="0"/>
    <xf numFmtId="0" fontId="2" fillId="9" borderId="22"/>
    <xf numFmtId="0" fontId="14" fillId="16" borderId="0"/>
    <xf numFmtId="0" fontId="15" fillId="17" borderId="27" applyNumberFormat="0" applyAlignment="0" applyProtection="0"/>
    <xf numFmtId="44" fontId="1" fillId="0" borderId="0" applyFont="0" applyFill="0" applyBorder="0" applyAlignment="0" applyProtection="0"/>
  </cellStyleXfs>
  <cellXfs count="345">
    <xf numFmtId="0" fontId="0" fillId="0" borderId="0" xfId="0"/>
    <xf numFmtId="0" fontId="5" fillId="0" borderId="3" xfId="0" applyFont="1" applyBorder="1"/>
    <xf numFmtId="0" fontId="6" fillId="0" borderId="3" xfId="1" applyNumberFormat="1" applyFont="1" applyBorder="1"/>
    <xf numFmtId="0" fontId="8" fillId="0" borderId="3" xfId="0" applyFont="1" applyBorder="1" applyAlignment="1">
      <alignment horizontal="left"/>
    </xf>
    <xf numFmtId="0" fontId="8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justify" vertical="center"/>
    </xf>
    <xf numFmtId="0" fontId="8" fillId="0" borderId="3" xfId="0" applyFont="1" applyBorder="1"/>
    <xf numFmtId="0" fontId="8" fillId="0" borderId="16" xfId="0" applyFont="1" applyBorder="1" applyAlignment="1">
      <alignment horizontal="center" vertical="center"/>
    </xf>
    <xf numFmtId="0" fontId="11" fillId="0" borderId="16" xfId="0" applyFont="1" applyBorder="1" applyAlignment="1">
      <alignment horizontal="justify" vertical="center"/>
    </xf>
    <xf numFmtId="0" fontId="6" fillId="0" borderId="16" xfId="1" applyNumberFormat="1" applyFont="1" applyBorder="1"/>
    <xf numFmtId="0" fontId="5" fillId="3" borderId="2" xfId="0" applyFont="1" applyFill="1" applyBorder="1"/>
    <xf numFmtId="0" fontId="2" fillId="7" borderId="19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165" fontId="6" fillId="0" borderId="3" xfId="1" applyNumberFormat="1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6" fontId="2" fillId="5" borderId="9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4" fontId="0" fillId="0" borderId="0" xfId="0" applyNumberFormat="1"/>
    <xf numFmtId="165" fontId="6" fillId="0" borderId="18" xfId="1" applyNumberFormat="1" applyFont="1" applyBorder="1" applyAlignment="1">
      <alignment horizontal="center" vertical="center"/>
    </xf>
    <xf numFmtId="0" fontId="10" fillId="0" borderId="3" xfId="1" applyNumberFormat="1" applyFont="1" applyBorder="1"/>
    <xf numFmtId="14" fontId="6" fillId="0" borderId="3" xfId="1" applyNumberFormat="1" applyFont="1" applyBorder="1"/>
    <xf numFmtId="1" fontId="6" fillId="0" borderId="3" xfId="1" applyNumberFormat="1" applyFont="1" applyBorder="1"/>
    <xf numFmtId="49" fontId="6" fillId="0" borderId="3" xfId="1" applyNumberFormat="1" applyFont="1" applyBorder="1"/>
    <xf numFmtId="169" fontId="0" fillId="0" borderId="0" xfId="1" applyNumberFormat="1" applyFont="1"/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11" borderId="0" xfId="0" applyFill="1" applyAlignment="1">
      <alignment vertical="top"/>
    </xf>
    <xf numFmtId="0" fontId="2" fillId="9" borderId="22" xfId="4" applyAlignment="1">
      <alignment horizontal="center" vertical="center"/>
    </xf>
    <xf numFmtId="49" fontId="2" fillId="9" borderId="22" xfId="4" applyNumberFormat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49" fontId="2" fillId="7" borderId="0" xfId="0" applyNumberFormat="1" applyFont="1" applyFill="1" applyAlignment="1">
      <alignment horizontal="center" vertical="center"/>
    </xf>
    <xf numFmtId="166" fontId="5" fillId="3" borderId="2" xfId="1" applyFont="1" applyFill="1" applyBorder="1"/>
    <xf numFmtId="0" fontId="4" fillId="3" borderId="2" xfId="0" applyFont="1" applyFill="1" applyBorder="1" applyAlignment="1">
      <alignment horizontal="justify" vertical="center"/>
    </xf>
    <xf numFmtId="0" fontId="8" fillId="14" borderId="0" xfId="0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0" fontId="12" fillId="8" borderId="0" xfId="3" applyAlignment="1">
      <alignment horizontal="center" vertical="center"/>
    </xf>
    <xf numFmtId="0" fontId="9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/>
    <xf numFmtId="0" fontId="9" fillId="3" borderId="2" xfId="0" applyFont="1" applyFill="1" applyBorder="1" applyAlignment="1">
      <alignment horizontal="center"/>
    </xf>
    <xf numFmtId="166" fontId="5" fillId="15" borderId="2" xfId="1" applyFont="1" applyFill="1" applyBorder="1"/>
    <xf numFmtId="166" fontId="5" fillId="2" borderId="2" xfId="1" applyFont="1" applyFill="1" applyBorder="1"/>
    <xf numFmtId="0" fontId="5" fillId="2" borderId="2" xfId="1" applyNumberFormat="1" applyFont="1" applyFill="1" applyBorder="1"/>
    <xf numFmtId="0" fontId="4" fillId="2" borderId="2" xfId="0" applyFont="1" applyFill="1" applyBorder="1" applyAlignment="1">
      <alignment horizontal="justify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/>
    </xf>
    <xf numFmtId="49" fontId="8" fillId="2" borderId="2" xfId="0" applyNumberFormat="1" applyFont="1" applyFill="1" applyBorder="1" applyAlignment="1">
      <alignment horizontal="center" vertical="center"/>
    </xf>
    <xf numFmtId="49" fontId="12" fillId="8" borderId="0" xfId="3" applyNumberFormat="1" applyAlignment="1">
      <alignment horizontal="center" vertical="center"/>
    </xf>
    <xf numFmtId="0" fontId="8" fillId="3" borderId="2" xfId="1" applyNumberFormat="1" applyFont="1" applyFill="1" applyBorder="1" applyAlignment="1">
      <alignment horizontal="center"/>
    </xf>
    <xf numFmtId="49" fontId="8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/>
    <xf numFmtId="0" fontId="0" fillId="0" borderId="23" xfId="0" applyBorder="1"/>
    <xf numFmtId="0" fontId="0" fillId="0" borderId="24" xfId="0" applyBorder="1"/>
    <xf numFmtId="0" fontId="0" fillId="0" borderId="0" xfId="0" quotePrefix="1"/>
    <xf numFmtId="0" fontId="0" fillId="11" borderId="0" xfId="0" applyFill="1"/>
    <xf numFmtId="0" fontId="7" fillId="2" borderId="2" xfId="0" applyFont="1" applyFill="1" applyBorder="1"/>
    <xf numFmtId="0" fontId="0" fillId="0" borderId="25" xfId="0" applyBorder="1"/>
    <xf numFmtId="0" fontId="5" fillId="3" borderId="3" xfId="1" applyNumberFormat="1" applyFont="1" applyFill="1" applyBorder="1"/>
    <xf numFmtId="0" fontId="5" fillId="0" borderId="2" xfId="0" applyFont="1" applyBorder="1"/>
    <xf numFmtId="0" fontId="2" fillId="5" borderId="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0" xfId="0" applyBorder="1"/>
    <xf numFmtId="9" fontId="0" fillId="0" borderId="0" xfId="0" applyNumberFormat="1"/>
    <xf numFmtId="10" fontId="0" fillId="0" borderId="0" xfId="0" applyNumberFormat="1"/>
    <xf numFmtId="166" fontId="1" fillId="0" borderId="0" xfId="1"/>
    <xf numFmtId="10" fontId="1" fillId="0" borderId="0" xfId="2" applyNumberFormat="1"/>
    <xf numFmtId="17" fontId="2" fillId="5" borderId="0" xfId="0" applyNumberFormat="1" applyFont="1" applyFill="1" applyAlignment="1">
      <alignment horizontal="center" vertical="center"/>
    </xf>
    <xf numFmtId="17" fontId="2" fillId="18" borderId="0" xfId="0" applyNumberFormat="1" applyFont="1" applyFill="1" applyAlignment="1">
      <alignment horizontal="center" vertical="center"/>
    </xf>
    <xf numFmtId="170" fontId="1" fillId="0" borderId="0" xfId="2" applyNumberFormat="1"/>
    <xf numFmtId="0" fontId="0" fillId="0" borderId="0" xfId="0" pivotButton="1"/>
    <xf numFmtId="0" fontId="0" fillId="0" borderId="0" xfId="0" applyAlignment="1">
      <alignment horizontal="left"/>
    </xf>
    <xf numFmtId="0" fontId="19" fillId="20" borderId="30" xfId="0" applyFont="1" applyFill="1" applyBorder="1" applyAlignment="1">
      <alignment horizontal="center"/>
    </xf>
    <xf numFmtId="0" fontId="19" fillId="20" borderId="31" xfId="0" applyFont="1" applyFill="1" applyBorder="1" applyAlignment="1">
      <alignment horizontal="center"/>
    </xf>
    <xf numFmtId="10" fontId="17" fillId="0" borderId="28" xfId="0" applyNumberFormat="1" applyFont="1" applyBorder="1" applyAlignment="1">
      <alignment horizontal="center" wrapText="1"/>
    </xf>
    <xf numFmtId="0" fontId="17" fillId="0" borderId="32" xfId="0" applyFont="1" applyBorder="1" applyAlignment="1">
      <alignment horizontal="center" wrapText="1"/>
    </xf>
    <xf numFmtId="10" fontId="20" fillId="0" borderId="30" xfId="0" applyNumberFormat="1" applyFont="1" applyBorder="1"/>
    <xf numFmtId="44" fontId="0" fillId="0" borderId="0" xfId="0" applyNumberFormat="1"/>
    <xf numFmtId="17" fontId="15" fillId="0" borderId="0" xfId="6" applyNumberFormat="1" applyFill="1" applyBorder="1" applyAlignment="1">
      <alignment horizontal="center"/>
    </xf>
    <xf numFmtId="8" fontId="0" fillId="0" borderId="0" xfId="0" applyNumberFormat="1"/>
    <xf numFmtId="170" fontId="0" fillId="0" borderId="0" xfId="0" applyNumberFormat="1"/>
    <xf numFmtId="8" fontId="16" fillId="0" borderId="0" xfId="0" applyNumberFormat="1" applyFont="1" applyAlignment="1">
      <alignment horizontal="center" vertical="center" wrapText="1"/>
    </xf>
    <xf numFmtId="10" fontId="1" fillId="0" borderId="0" xfId="1" applyNumberFormat="1"/>
    <xf numFmtId="10" fontId="19" fillId="20" borderId="30" xfId="0" applyNumberFormat="1" applyFont="1" applyFill="1" applyBorder="1" applyAlignment="1">
      <alignment horizontal="center"/>
    </xf>
    <xf numFmtId="0" fontId="8" fillId="21" borderId="3" xfId="0" applyFont="1" applyFill="1" applyBorder="1" applyAlignment="1">
      <alignment horizontal="left"/>
    </xf>
    <xf numFmtId="0" fontId="8" fillId="21" borderId="3" xfId="0" applyFont="1" applyFill="1" applyBorder="1" applyAlignment="1">
      <alignment horizontal="center" vertical="center"/>
    </xf>
    <xf numFmtId="0" fontId="11" fillId="21" borderId="3" xfId="0" applyFont="1" applyFill="1" applyBorder="1" applyAlignment="1">
      <alignment horizontal="justify" vertical="center"/>
    </xf>
    <xf numFmtId="0" fontId="6" fillId="21" borderId="3" xfId="1" applyNumberFormat="1" applyFont="1" applyFill="1" applyBorder="1"/>
    <xf numFmtId="0" fontId="6" fillId="21" borderId="3" xfId="0" applyFont="1" applyFill="1" applyBorder="1"/>
    <xf numFmtId="0" fontId="8" fillId="21" borderId="4" xfId="0" applyFont="1" applyFill="1" applyBorder="1" applyAlignment="1">
      <alignment horizontal="left"/>
    </xf>
    <xf numFmtId="0" fontId="8" fillId="0" borderId="16" xfId="0" applyFont="1" applyBorder="1" applyAlignment="1">
      <alignment horizontal="left"/>
    </xf>
    <xf numFmtId="0" fontId="8" fillId="21" borderId="4" xfId="0" applyFont="1" applyFill="1" applyBorder="1" applyAlignment="1">
      <alignment horizontal="center" vertical="center"/>
    </xf>
    <xf numFmtId="0" fontId="11" fillId="21" borderId="4" xfId="0" applyFont="1" applyFill="1" applyBorder="1" applyAlignment="1">
      <alignment horizontal="justify" vertical="center"/>
    </xf>
    <xf numFmtId="0" fontId="6" fillId="21" borderId="4" xfId="0" applyFont="1" applyFill="1" applyBorder="1"/>
    <xf numFmtId="0" fontId="5" fillId="0" borderId="16" xfId="0" applyFont="1" applyBorder="1"/>
    <xf numFmtId="0" fontId="8" fillId="11" borderId="3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justify" vertical="center"/>
    </xf>
    <xf numFmtId="0" fontId="6" fillId="11" borderId="3" xfId="0" applyFont="1" applyFill="1" applyBorder="1"/>
    <xf numFmtId="0" fontId="3" fillId="11" borderId="4" xfId="0" applyFont="1" applyFill="1" applyBorder="1" applyAlignment="1">
      <alignment horizontal="center" vertical="center"/>
    </xf>
    <xf numFmtId="0" fontId="8" fillId="21" borderId="16" xfId="0" applyFont="1" applyFill="1" applyBorder="1" applyAlignment="1">
      <alignment horizontal="left"/>
    </xf>
    <xf numFmtId="0" fontId="8" fillId="21" borderId="16" xfId="0" applyFont="1" applyFill="1" applyBorder="1" applyAlignment="1">
      <alignment horizontal="center" vertical="center"/>
    </xf>
    <xf numFmtId="0" fontId="11" fillId="21" borderId="16" xfId="0" applyFont="1" applyFill="1" applyBorder="1" applyAlignment="1">
      <alignment horizontal="justify" vertical="center"/>
    </xf>
    <xf numFmtId="0" fontId="6" fillId="21" borderId="16" xfId="0" applyFont="1" applyFill="1" applyBorder="1"/>
    <xf numFmtId="49" fontId="2" fillId="5" borderId="0" xfId="0" applyNumberFormat="1" applyFont="1" applyFill="1" applyAlignment="1">
      <alignment horizontal="center" vertical="center"/>
    </xf>
    <xf numFmtId="49" fontId="1" fillId="0" borderId="0" xfId="2" applyNumberFormat="1"/>
    <xf numFmtId="0" fontId="3" fillId="0" borderId="18" xfId="0" applyFont="1" applyBorder="1" applyAlignment="1">
      <alignment horizontal="center" vertical="center"/>
    </xf>
    <xf numFmtId="0" fontId="5" fillId="21" borderId="3" xfId="0" applyFont="1" applyFill="1" applyBorder="1"/>
    <xf numFmtId="0" fontId="3" fillId="4" borderId="20" xfId="0" applyFont="1" applyFill="1" applyBorder="1" applyAlignment="1">
      <alignment horizontal="center" vertical="center"/>
    </xf>
    <xf numFmtId="0" fontId="5" fillId="21" borderId="3" xfId="1" applyNumberFormat="1" applyFont="1" applyFill="1" applyBorder="1"/>
    <xf numFmtId="0" fontId="5" fillId="0" borderId="21" xfId="0" applyFont="1" applyBorder="1"/>
    <xf numFmtId="0" fontId="3" fillId="4" borderId="4" xfId="0" applyFont="1" applyFill="1" applyBorder="1" applyAlignment="1">
      <alignment horizontal="center" vertical="center"/>
    </xf>
    <xf numFmtId="9" fontId="1" fillId="0" borderId="0" xfId="2"/>
    <xf numFmtId="0" fontId="6" fillId="0" borderId="1" xfId="0" applyFont="1" applyBorder="1"/>
    <xf numFmtId="0" fontId="2" fillId="5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17" fontId="0" fillId="0" borderId="0" xfId="0" applyNumberFormat="1"/>
    <xf numFmtId="44" fontId="3" fillId="24" borderId="33" xfId="7" applyFont="1" applyFill="1" applyBorder="1" applyAlignment="1">
      <alignment horizontal="center" vertical="center"/>
    </xf>
    <xf numFmtId="0" fontId="22" fillId="21" borderId="4" xfId="0" applyFont="1" applyFill="1" applyBorder="1" applyAlignment="1">
      <alignment horizontal="justify" vertical="center"/>
    </xf>
    <xf numFmtId="0" fontId="22" fillId="0" borderId="3" xfId="0" applyFont="1" applyBorder="1" applyAlignment="1">
      <alignment horizontal="justify" vertical="center"/>
    </xf>
    <xf numFmtId="0" fontId="23" fillId="0" borderId="3" xfId="1" applyNumberFormat="1" applyFont="1" applyBorder="1"/>
    <xf numFmtId="0" fontId="22" fillId="21" borderId="3" xfId="0" applyFont="1" applyFill="1" applyBorder="1" applyAlignment="1">
      <alignment horizontal="justify" vertical="center"/>
    </xf>
    <xf numFmtId="0" fontId="23" fillId="21" borderId="3" xfId="0" applyFont="1" applyFill="1" applyBorder="1"/>
    <xf numFmtId="0" fontId="23" fillId="21" borderId="3" xfId="1" applyNumberFormat="1" applyFont="1" applyFill="1" applyBorder="1"/>
    <xf numFmtId="0" fontId="24" fillId="0" borderId="3" xfId="0" applyFont="1" applyBorder="1"/>
    <xf numFmtId="0" fontId="22" fillId="21" borderId="16" xfId="0" applyFont="1" applyFill="1" applyBorder="1" applyAlignment="1">
      <alignment horizontal="justify" vertical="center"/>
    </xf>
    <xf numFmtId="0" fontId="23" fillId="21" borderId="16" xfId="0" applyFont="1" applyFill="1" applyBorder="1"/>
    <xf numFmtId="0" fontId="22" fillId="0" borderId="16" xfId="0" applyFont="1" applyBorder="1" applyAlignment="1">
      <alignment horizontal="justify" vertical="center"/>
    </xf>
    <xf numFmtId="0" fontId="23" fillId="0" borderId="2" xfId="1" applyNumberFormat="1" applyFont="1" applyBorder="1"/>
    <xf numFmtId="0" fontId="23" fillId="0" borderId="16" xfId="1" applyNumberFormat="1" applyFont="1" applyBorder="1"/>
    <xf numFmtId="0" fontId="24" fillId="0" borderId="16" xfId="0" applyFont="1" applyBorder="1"/>
    <xf numFmtId="0" fontId="24" fillId="5" borderId="5" xfId="0" applyFont="1" applyFill="1" applyBorder="1"/>
    <xf numFmtId="0" fontId="24" fillId="5" borderId="6" xfId="0" applyFont="1" applyFill="1" applyBorder="1"/>
    <xf numFmtId="0" fontId="24" fillId="5" borderId="7" xfId="0" applyFont="1" applyFill="1" applyBorder="1"/>
    <xf numFmtId="1" fontId="25" fillId="4" borderId="5" xfId="0" applyNumberFormat="1" applyFont="1" applyFill="1" applyBorder="1" applyAlignment="1">
      <alignment horizontal="center" vertical="center"/>
    </xf>
    <xf numFmtId="0" fontId="26" fillId="5" borderId="5" xfId="0" applyFont="1" applyFill="1" applyBorder="1"/>
    <xf numFmtId="0" fontId="26" fillId="5" borderId="6" xfId="0" applyFont="1" applyFill="1" applyBorder="1"/>
    <xf numFmtId="0" fontId="27" fillId="5" borderId="6" xfId="0" applyFont="1" applyFill="1" applyBorder="1"/>
    <xf numFmtId="0" fontId="26" fillId="5" borderId="7" xfId="0" applyFont="1" applyFill="1" applyBorder="1"/>
    <xf numFmtId="0" fontId="26" fillId="5" borderId="5" xfId="0" applyFont="1" applyFill="1" applyBorder="1" applyAlignment="1">
      <alignment horizontal="center"/>
    </xf>
    <xf numFmtId="0" fontId="25" fillId="6" borderId="12" xfId="0" applyFont="1" applyFill="1" applyBorder="1" applyAlignment="1">
      <alignment horizontal="center" vertical="center"/>
    </xf>
    <xf numFmtId="0" fontId="25" fillId="6" borderId="13" xfId="0" applyFont="1" applyFill="1" applyBorder="1" applyAlignment="1">
      <alignment horizontal="center" vertical="center"/>
    </xf>
    <xf numFmtId="0" fontId="27" fillId="6" borderId="5" xfId="0" applyFont="1" applyFill="1" applyBorder="1"/>
    <xf numFmtId="0" fontId="27" fillId="6" borderId="6" xfId="0" applyFont="1" applyFill="1" applyBorder="1"/>
    <xf numFmtId="0" fontId="27" fillId="6" borderId="7" xfId="0" applyFont="1" applyFill="1" applyBorder="1"/>
    <xf numFmtId="0" fontId="25" fillId="6" borderId="14" xfId="0" applyFont="1" applyFill="1" applyBorder="1" applyAlignment="1">
      <alignment horizontal="center" vertical="center"/>
    </xf>
    <xf numFmtId="0" fontId="24" fillId="0" borderId="0" xfId="0" applyFont="1"/>
    <xf numFmtId="0" fontId="8" fillId="5" borderId="8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1" fontId="28" fillId="4" borderId="11" xfId="0" applyNumberFormat="1" applyFont="1" applyFill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0" fontId="25" fillId="6" borderId="9" xfId="0" applyFont="1" applyFill="1" applyBorder="1" applyAlignment="1">
      <alignment horizontal="center" vertical="center"/>
    </xf>
    <xf numFmtId="0" fontId="25" fillId="6" borderId="17" xfId="0" applyFont="1" applyFill="1" applyBorder="1" applyAlignment="1">
      <alignment horizontal="center" vertical="center"/>
    </xf>
    <xf numFmtId="0" fontId="25" fillId="6" borderId="15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65" fontId="24" fillId="21" borderId="3" xfId="0" applyNumberFormat="1" applyFont="1" applyFill="1" applyBorder="1"/>
    <xf numFmtId="165" fontId="24" fillId="21" borderId="3" xfId="0" applyNumberFormat="1" applyFont="1" applyFill="1" applyBorder="1" applyAlignment="1">
      <alignment horizontal="center"/>
    </xf>
    <xf numFmtId="166" fontId="24" fillId="21" borderId="4" xfId="0" applyNumberFormat="1" applyFont="1" applyFill="1" applyBorder="1"/>
    <xf numFmtId="166" fontId="24" fillId="0" borderId="0" xfId="1" applyFont="1"/>
    <xf numFmtId="0" fontId="24" fillId="14" borderId="4" xfId="0" applyFont="1" applyFill="1" applyBorder="1"/>
    <xf numFmtId="9" fontId="24" fillId="0" borderId="0" xfId="0" applyNumberFormat="1" applyFont="1"/>
    <xf numFmtId="165" fontId="24" fillId="0" borderId="3" xfId="1" applyNumberFormat="1" applyFont="1" applyBorder="1"/>
    <xf numFmtId="165" fontId="24" fillId="0" borderId="3" xfId="0" applyNumberFormat="1" applyFont="1" applyBorder="1"/>
    <xf numFmtId="166" fontId="24" fillId="0" borderId="3" xfId="0" applyNumberFormat="1" applyFont="1" applyBorder="1"/>
    <xf numFmtId="166" fontId="24" fillId="0" borderId="3" xfId="0" applyNumberFormat="1" applyFont="1" applyBorder="1" applyAlignment="1">
      <alignment horizontal="center" vertical="center"/>
    </xf>
    <xf numFmtId="0" fontId="24" fillId="0" borderId="4" xfId="0" applyFont="1" applyBorder="1"/>
    <xf numFmtId="166" fontId="24" fillId="21" borderId="3" xfId="0" applyNumberFormat="1" applyFont="1" applyFill="1" applyBorder="1"/>
    <xf numFmtId="166" fontId="24" fillId="14" borderId="3" xfId="0" applyNumberFormat="1" applyFont="1" applyFill="1" applyBorder="1"/>
    <xf numFmtId="166" fontId="24" fillId="14" borderId="3" xfId="0" applyNumberFormat="1" applyFont="1" applyFill="1" applyBorder="1" applyAlignment="1">
      <alignment horizontal="center" vertical="center"/>
    </xf>
    <xf numFmtId="165" fontId="24" fillId="0" borderId="3" xfId="0" applyNumberFormat="1" applyFont="1" applyBorder="1" applyAlignment="1">
      <alignment horizontal="center"/>
    </xf>
    <xf numFmtId="166" fontId="24" fillId="0" borderId="0" xfId="0" applyNumberFormat="1" applyFont="1"/>
    <xf numFmtId="165" fontId="24" fillId="0" borderId="16" xfId="1" applyNumberFormat="1" applyFont="1" applyBorder="1"/>
    <xf numFmtId="165" fontId="24" fillId="0" borderId="16" xfId="0" applyNumberFormat="1" applyFont="1" applyBorder="1"/>
    <xf numFmtId="166" fontId="24" fillId="0" borderId="16" xfId="0" applyNumberFormat="1" applyFont="1" applyBorder="1"/>
    <xf numFmtId="166" fontId="24" fillId="0" borderId="16" xfId="0" applyNumberFormat="1" applyFont="1" applyBorder="1" applyAlignment="1">
      <alignment horizontal="center" vertical="center"/>
    </xf>
    <xf numFmtId="0" fontId="24" fillId="11" borderId="4" xfId="0" applyFont="1" applyFill="1" applyBorder="1"/>
    <xf numFmtId="166" fontId="24" fillId="0" borderId="3" xfId="1" applyFont="1" applyBorder="1"/>
    <xf numFmtId="166" fontId="24" fillId="0" borderId="4" xfId="1" applyFont="1" applyBorder="1"/>
    <xf numFmtId="166" fontId="24" fillId="0" borderId="18" xfId="1" applyFont="1" applyBorder="1"/>
    <xf numFmtId="0" fontId="24" fillId="0" borderId="3" xfId="1" applyNumberFormat="1" applyFont="1" applyBorder="1"/>
    <xf numFmtId="165" fontId="24" fillId="0" borderId="3" xfId="1" applyNumberFormat="1" applyFont="1" applyBorder="1" applyAlignment="1">
      <alignment horizontal="center" vertical="center"/>
    </xf>
    <xf numFmtId="166" fontId="24" fillId="0" borderId="4" xfId="0" applyNumberFormat="1" applyFont="1" applyBorder="1" applyAlignment="1">
      <alignment horizontal="center" vertical="center"/>
    </xf>
    <xf numFmtId="166" fontId="24" fillId="0" borderId="18" xfId="0" applyNumberFormat="1" applyFont="1" applyBorder="1" applyAlignment="1">
      <alignment horizontal="center" vertical="center"/>
    </xf>
    <xf numFmtId="0" fontId="24" fillId="0" borderId="18" xfId="0" applyFont="1" applyBorder="1"/>
    <xf numFmtId="166" fontId="24" fillId="22" borderId="3" xfId="0" applyNumberFormat="1" applyFont="1" applyFill="1" applyBorder="1"/>
    <xf numFmtId="0" fontId="24" fillId="14" borderId="3" xfId="0" applyFont="1" applyFill="1" applyBorder="1"/>
    <xf numFmtId="165" fontId="24" fillId="14" borderId="4" xfId="0" applyNumberFormat="1" applyFont="1" applyFill="1" applyBorder="1" applyAlignment="1">
      <alignment horizontal="center" vertical="center"/>
    </xf>
    <xf numFmtId="166" fontId="24" fillId="0" borderId="4" xfId="0" applyNumberFormat="1" applyFont="1" applyBorder="1"/>
    <xf numFmtId="166" fontId="24" fillId="0" borderId="18" xfId="0" applyNumberFormat="1" applyFont="1" applyBorder="1"/>
    <xf numFmtId="165" fontId="24" fillId="21" borderId="16" xfId="1" applyNumberFormat="1" applyFont="1" applyFill="1" applyBorder="1"/>
    <xf numFmtId="165" fontId="24" fillId="21" borderId="16" xfId="1" applyNumberFormat="1" applyFont="1" applyFill="1" applyBorder="1" applyAlignment="1">
      <alignment horizontal="center"/>
    </xf>
    <xf numFmtId="166" fontId="24" fillId="21" borderId="16" xfId="0" applyNumberFormat="1" applyFont="1" applyFill="1" applyBorder="1"/>
    <xf numFmtId="166" fontId="24" fillId="14" borderId="16" xfId="0" applyNumberFormat="1" applyFont="1" applyFill="1" applyBorder="1"/>
    <xf numFmtId="166" fontId="24" fillId="14" borderId="16" xfId="0" applyNumberFormat="1" applyFont="1" applyFill="1" applyBorder="1" applyAlignment="1">
      <alignment horizontal="center" vertical="center"/>
    </xf>
    <xf numFmtId="0" fontId="24" fillId="14" borderId="16" xfId="0" applyFont="1" applyFill="1" applyBorder="1"/>
    <xf numFmtId="165" fontId="24" fillId="14" borderId="18" xfId="0" applyNumberFormat="1" applyFont="1" applyFill="1" applyBorder="1" applyAlignment="1">
      <alignment horizontal="center" vertical="center"/>
    </xf>
    <xf numFmtId="0" fontId="24" fillId="14" borderId="18" xfId="0" applyFont="1" applyFill="1" applyBorder="1"/>
    <xf numFmtId="165" fontId="24" fillId="0" borderId="0" xfId="0" applyNumberFormat="1" applyFont="1"/>
    <xf numFmtId="9" fontId="24" fillId="0" borderId="0" xfId="2" applyFont="1"/>
    <xf numFmtId="0" fontId="8" fillId="0" borderId="16" xfId="0" applyFont="1" applyBorder="1"/>
    <xf numFmtId="0" fontId="23" fillId="21" borderId="4" xfId="1" applyNumberFormat="1" applyFont="1" applyFill="1" applyBorder="1"/>
    <xf numFmtId="0" fontId="24" fillId="0" borderId="2" xfId="0" applyFont="1" applyBorder="1"/>
    <xf numFmtId="0" fontId="23" fillId="21" borderId="21" xfId="0" applyFont="1" applyFill="1" applyBorder="1"/>
    <xf numFmtId="165" fontId="24" fillId="21" borderId="16" xfId="0" applyNumberFormat="1" applyFont="1" applyFill="1" applyBorder="1"/>
    <xf numFmtId="165" fontId="24" fillId="0" borderId="4" xfId="1" applyNumberFormat="1" applyFont="1" applyBorder="1"/>
    <xf numFmtId="165" fontId="24" fillId="0" borderId="4" xfId="0" applyNumberFormat="1" applyFont="1" applyBorder="1"/>
    <xf numFmtId="165" fontId="24" fillId="21" borderId="16" xfId="0" applyNumberFormat="1" applyFont="1" applyFill="1" applyBorder="1" applyAlignment="1">
      <alignment horizontal="center"/>
    </xf>
    <xf numFmtId="166" fontId="24" fillId="0" borderId="0" xfId="0" applyNumberFormat="1" applyFont="1" applyAlignment="1">
      <alignment horizontal="center" vertical="center"/>
    </xf>
    <xf numFmtId="170" fontId="0" fillId="0" borderId="2" xfId="2" applyNumberFormat="1" applyFont="1" applyBorder="1"/>
    <xf numFmtId="172" fontId="0" fillId="0" borderId="0" xfId="0" applyNumberFormat="1"/>
    <xf numFmtId="173" fontId="0" fillId="25" borderId="0" xfId="0" applyNumberFormat="1" applyFill="1"/>
    <xf numFmtId="173" fontId="0" fillId="4" borderId="0" xfId="0" applyNumberFormat="1" applyFill="1"/>
    <xf numFmtId="174" fontId="0" fillId="4" borderId="0" xfId="0" applyNumberFormat="1" applyFill="1"/>
    <xf numFmtId="174" fontId="0" fillId="25" borderId="0" xfId="0" applyNumberFormat="1" applyFill="1"/>
    <xf numFmtId="175" fontId="0" fillId="0" borderId="0" xfId="0" applyNumberFormat="1"/>
    <xf numFmtId="174" fontId="0" fillId="6" borderId="0" xfId="0" applyNumberFormat="1" applyFill="1"/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32" fillId="5" borderId="6" xfId="0" applyFont="1" applyFill="1" applyBorder="1" applyAlignment="1">
      <alignment horizontal="center" vertical="center"/>
    </xf>
    <xf numFmtId="0" fontId="31" fillId="5" borderId="7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/>
    </xf>
    <xf numFmtId="0" fontId="33" fillId="16" borderId="12" xfId="5" applyFont="1" applyBorder="1" applyAlignment="1">
      <alignment horizontal="center" vertical="center"/>
    </xf>
    <xf numFmtId="0" fontId="33" fillId="16" borderId="13" xfId="5" applyFont="1" applyBorder="1" applyAlignment="1">
      <alignment horizontal="center" vertical="center"/>
    </xf>
    <xf numFmtId="0" fontId="33" fillId="16" borderId="14" xfId="5" applyFont="1" applyBorder="1" applyAlignment="1">
      <alignment horizontal="center" vertical="center"/>
    </xf>
    <xf numFmtId="0" fontId="34" fillId="5" borderId="8" xfId="0" applyFont="1" applyFill="1" applyBorder="1" applyAlignment="1">
      <alignment horizontal="center" vertical="center"/>
    </xf>
    <xf numFmtId="0" fontId="34" fillId="5" borderId="9" xfId="0" applyFont="1" applyFill="1" applyBorder="1" applyAlignment="1">
      <alignment horizontal="center" vertical="center"/>
    </xf>
    <xf numFmtId="0" fontId="34" fillId="5" borderId="10" xfId="0" applyFont="1" applyFill="1" applyBorder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0" fontId="33" fillId="16" borderId="8" xfId="5" applyFont="1" applyBorder="1" applyAlignment="1">
      <alignment horizontal="center" vertical="center"/>
    </xf>
    <xf numFmtId="0" fontId="33" fillId="16" borderId="10" xfId="5" applyFont="1" applyBorder="1" applyAlignment="1">
      <alignment horizontal="center" vertical="center"/>
    </xf>
    <xf numFmtId="0" fontId="33" fillId="16" borderId="9" xfId="5" applyFont="1" applyBorder="1" applyAlignment="1">
      <alignment horizontal="center" vertical="center"/>
    </xf>
    <xf numFmtId="0" fontId="33" fillId="16" borderId="17" xfId="5" applyFont="1" applyBorder="1" applyAlignment="1">
      <alignment horizontal="center" vertical="center"/>
    </xf>
    <xf numFmtId="0" fontId="33" fillId="16" borderId="15" xfId="5" applyFont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165" fontId="29" fillId="0" borderId="3" xfId="1" applyNumberFormat="1" applyFont="1" applyBorder="1" applyAlignment="1">
      <alignment horizontal="center" vertical="center"/>
    </xf>
    <xf numFmtId="165" fontId="29" fillId="0" borderId="3" xfId="0" applyNumberFormat="1" applyFont="1" applyBorder="1" applyAlignment="1">
      <alignment horizontal="center" vertical="center"/>
    </xf>
    <xf numFmtId="166" fontId="29" fillId="14" borderId="4" xfId="0" applyNumberFormat="1" applyFont="1" applyFill="1" applyBorder="1" applyAlignment="1">
      <alignment horizontal="center" vertical="center"/>
    </xf>
    <xf numFmtId="0" fontId="34" fillId="21" borderId="3" xfId="0" applyFont="1" applyFill="1" applyBorder="1" applyAlignment="1">
      <alignment horizontal="center" vertical="center"/>
    </xf>
    <xf numFmtId="166" fontId="29" fillId="14" borderId="3" xfId="0" applyNumberFormat="1" applyFont="1" applyFill="1" applyBorder="1" applyAlignment="1">
      <alignment horizontal="center" vertical="center"/>
    </xf>
    <xf numFmtId="168" fontId="29" fillId="21" borderId="3" xfId="0" applyNumberFormat="1" applyFont="1" applyFill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68" fontId="29" fillId="0" borderId="3" xfId="1" applyNumberFormat="1" applyFont="1" applyBorder="1" applyAlignment="1">
      <alignment horizontal="center" vertical="center"/>
    </xf>
    <xf numFmtId="166" fontId="29" fillId="0" borderId="3" xfId="0" applyNumberFormat="1" applyFont="1" applyBorder="1" applyAlignment="1">
      <alignment horizontal="center" vertical="center"/>
    </xf>
    <xf numFmtId="168" fontId="29" fillId="0" borderId="3" xfId="0" applyNumberFormat="1" applyFont="1" applyBorder="1" applyAlignment="1">
      <alignment horizontal="center" vertical="center"/>
    </xf>
    <xf numFmtId="166" fontId="35" fillId="0" borderId="3" xfId="0" applyNumberFormat="1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168" fontId="29" fillId="21" borderId="16" xfId="0" applyNumberFormat="1" applyFont="1" applyFill="1" applyBorder="1" applyAlignment="1">
      <alignment horizontal="center" vertical="center"/>
    </xf>
    <xf numFmtId="166" fontId="29" fillId="14" borderId="16" xfId="0" applyNumberFormat="1" applyFont="1" applyFill="1" applyBorder="1" applyAlignment="1">
      <alignment horizontal="center" vertical="center"/>
    </xf>
    <xf numFmtId="171" fontId="29" fillId="0" borderId="3" xfId="1" applyNumberFormat="1" applyFont="1" applyBorder="1" applyAlignment="1">
      <alignment horizontal="center" vertical="center"/>
    </xf>
    <xf numFmtId="0" fontId="34" fillId="23" borderId="3" xfId="0" applyFont="1" applyFill="1" applyBorder="1" applyAlignment="1">
      <alignment horizontal="center" vertical="center"/>
    </xf>
    <xf numFmtId="165" fontId="29" fillId="23" borderId="3" xfId="1" applyNumberFormat="1" applyFont="1" applyFill="1" applyBorder="1" applyAlignment="1">
      <alignment horizontal="center" vertical="center"/>
    </xf>
    <xf numFmtId="165" fontId="29" fillId="23" borderId="3" xfId="0" applyNumberFormat="1" applyFont="1" applyFill="1" applyBorder="1" applyAlignment="1">
      <alignment horizontal="center" vertical="center"/>
    </xf>
    <xf numFmtId="168" fontId="29" fillId="0" borderId="16" xfId="1" applyNumberFormat="1" applyFont="1" applyBorder="1" applyAlignment="1">
      <alignment horizontal="center" vertical="center"/>
    </xf>
    <xf numFmtId="168" fontId="29" fillId="0" borderId="16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5" fontId="29" fillId="0" borderId="16" xfId="1" applyNumberFormat="1" applyFont="1" applyBorder="1" applyAlignment="1">
      <alignment horizontal="center" vertical="center"/>
    </xf>
    <xf numFmtId="165" fontId="29" fillId="0" borderId="16" xfId="0" applyNumberFormat="1" applyFont="1" applyBorder="1" applyAlignment="1">
      <alignment horizontal="center" vertical="center"/>
    </xf>
    <xf numFmtId="0" fontId="34" fillId="21" borderId="16" xfId="0" applyFont="1" applyFill="1" applyBorder="1" applyAlignment="1">
      <alignment horizontal="center" vertical="center"/>
    </xf>
    <xf numFmtId="0" fontId="34" fillId="23" borderId="16" xfId="0" applyFont="1" applyFill="1" applyBorder="1" applyAlignment="1">
      <alignment horizontal="center" vertical="center"/>
    </xf>
    <xf numFmtId="165" fontId="29" fillId="23" borderId="16" xfId="1" applyNumberFormat="1" applyFont="1" applyFill="1" applyBorder="1" applyAlignment="1">
      <alignment horizontal="center" vertical="center"/>
    </xf>
    <xf numFmtId="165" fontId="29" fillId="23" borderId="16" xfId="0" applyNumberFormat="1" applyFont="1" applyFill="1" applyBorder="1" applyAlignment="1">
      <alignment horizontal="center" vertical="center"/>
    </xf>
    <xf numFmtId="0" fontId="34" fillId="0" borderId="18" xfId="0" applyFont="1" applyBorder="1" applyAlignment="1">
      <alignment horizontal="center" vertical="center"/>
    </xf>
    <xf numFmtId="0" fontId="34" fillId="23" borderId="18" xfId="0" applyFont="1" applyFill="1" applyBorder="1" applyAlignment="1">
      <alignment horizontal="center" vertical="center"/>
    </xf>
    <xf numFmtId="44" fontId="29" fillId="0" borderId="0" xfId="0" applyNumberFormat="1" applyFont="1" applyAlignment="1">
      <alignment horizontal="center"/>
    </xf>
    <xf numFmtId="166" fontId="29" fillId="0" borderId="0" xfId="1" applyFont="1" applyAlignment="1">
      <alignment horizontal="center"/>
    </xf>
    <xf numFmtId="167" fontId="29" fillId="0" borderId="0" xfId="0" applyNumberFormat="1" applyFont="1" applyAlignment="1">
      <alignment horizontal="center"/>
    </xf>
    <xf numFmtId="0" fontId="29" fillId="5" borderId="5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33" fillId="16" borderId="5" xfId="5" applyFont="1" applyBorder="1" applyAlignment="1">
      <alignment horizontal="center"/>
    </xf>
    <xf numFmtId="0" fontId="33" fillId="16" borderId="6" xfId="5" applyFont="1" applyBorder="1" applyAlignment="1">
      <alignment horizontal="center"/>
    </xf>
    <xf numFmtId="0" fontId="33" fillId="16" borderId="7" xfId="5" applyFont="1" applyBorder="1" applyAlignment="1">
      <alignment horizontal="center"/>
    </xf>
    <xf numFmtId="0" fontId="34" fillId="21" borderId="4" xfId="0" applyFont="1" applyFill="1" applyBorder="1" applyAlignment="1">
      <alignment horizontal="center"/>
    </xf>
    <xf numFmtId="166" fontId="29" fillId="21" borderId="4" xfId="0" applyNumberFormat="1" applyFont="1" applyFill="1" applyBorder="1" applyAlignment="1">
      <alignment horizontal="center"/>
    </xf>
    <xf numFmtId="0" fontId="29" fillId="0" borderId="3" xfId="0" applyFont="1" applyBorder="1" applyAlignment="1">
      <alignment horizontal="center"/>
    </xf>
    <xf numFmtId="166" fontId="29" fillId="14" borderId="4" xfId="0" applyNumberFormat="1" applyFont="1" applyFill="1" applyBorder="1" applyAlignment="1">
      <alignment horizontal="center"/>
    </xf>
    <xf numFmtId="0" fontId="29" fillId="14" borderId="4" xfId="0" applyFont="1" applyFill="1" applyBorder="1" applyAlignment="1">
      <alignment horizontal="center"/>
    </xf>
    <xf numFmtId="0" fontId="34" fillId="21" borderId="3" xfId="0" applyFont="1" applyFill="1" applyBorder="1" applyAlignment="1">
      <alignment horizontal="center"/>
    </xf>
    <xf numFmtId="166" fontId="29" fillId="21" borderId="3" xfId="0" applyNumberFormat="1" applyFont="1" applyFill="1" applyBorder="1" applyAlignment="1">
      <alignment horizontal="center"/>
    </xf>
    <xf numFmtId="166" fontId="29" fillId="14" borderId="3" xfId="0" applyNumberFormat="1" applyFont="1" applyFill="1" applyBorder="1" applyAlignment="1">
      <alignment horizontal="center"/>
    </xf>
    <xf numFmtId="0" fontId="34" fillId="0" borderId="3" xfId="0" applyFont="1" applyBorder="1" applyAlignment="1">
      <alignment horizontal="center"/>
    </xf>
    <xf numFmtId="166" fontId="29" fillId="0" borderId="3" xfId="0" applyNumberFormat="1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66" fontId="35" fillId="0" borderId="0" xfId="1" applyFont="1" applyAlignment="1">
      <alignment horizontal="center"/>
    </xf>
    <xf numFmtId="0" fontId="35" fillId="0" borderId="4" xfId="0" applyFont="1" applyBorder="1" applyAlignment="1">
      <alignment horizontal="center"/>
    </xf>
    <xf numFmtId="165" fontId="29" fillId="0" borderId="0" xfId="0" applyNumberFormat="1" applyFont="1" applyAlignment="1">
      <alignment horizontal="center"/>
    </xf>
    <xf numFmtId="166" fontId="29" fillId="0" borderId="0" xfId="0" applyNumberFormat="1" applyFont="1" applyAlignment="1">
      <alignment horizontal="center"/>
    </xf>
    <xf numFmtId="166" fontId="29" fillId="21" borderId="16" xfId="0" applyNumberFormat="1" applyFont="1" applyFill="1" applyBorder="1" applyAlignment="1">
      <alignment horizontal="center"/>
    </xf>
    <xf numFmtId="166" fontId="29" fillId="14" borderId="16" xfId="0" applyNumberFormat="1" applyFont="1" applyFill="1" applyBorder="1" applyAlignment="1">
      <alignment horizontal="center"/>
    </xf>
    <xf numFmtId="0" fontId="34" fillId="23" borderId="3" xfId="0" applyFont="1" applyFill="1" applyBorder="1" applyAlignment="1">
      <alignment horizontal="center"/>
    </xf>
    <xf numFmtId="0" fontId="34" fillId="0" borderId="16" xfId="0" applyFont="1" applyBorder="1" applyAlignment="1">
      <alignment horizontal="center"/>
    </xf>
    <xf numFmtId="166" fontId="29" fillId="0" borderId="16" xfId="0" applyNumberFormat="1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34" fillId="21" borderId="16" xfId="0" applyFont="1" applyFill="1" applyBorder="1" applyAlignment="1">
      <alignment horizontal="center"/>
    </xf>
    <xf numFmtId="0" fontId="29" fillId="14" borderId="18" xfId="0" applyFont="1" applyFill="1" applyBorder="1" applyAlignment="1">
      <alignment horizontal="center"/>
    </xf>
    <xf numFmtId="0" fontId="34" fillId="23" borderId="16" xfId="0" applyFont="1" applyFill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164" fontId="37" fillId="0" borderId="0" xfId="0" applyNumberFormat="1" applyFont="1" applyAlignment="1">
      <alignment horizontal="center" vertical="center"/>
    </xf>
    <xf numFmtId="0" fontId="38" fillId="21" borderId="4" xfId="0" applyFont="1" applyFill="1" applyBorder="1" applyAlignment="1">
      <alignment horizontal="center" vertical="center"/>
    </xf>
    <xf numFmtId="0" fontId="35" fillId="21" borderId="4" xfId="0" applyFont="1" applyFill="1" applyBorder="1" applyAlignment="1">
      <alignment horizontal="center"/>
    </xf>
    <xf numFmtId="0" fontId="38" fillId="21" borderId="3" xfId="0" applyFont="1" applyFill="1" applyBorder="1" applyAlignment="1">
      <alignment horizontal="center" vertical="center"/>
    </xf>
    <xf numFmtId="0" fontId="35" fillId="21" borderId="3" xfId="0" applyFont="1" applyFill="1" applyBorder="1" applyAlignment="1">
      <alignment horizontal="center"/>
    </xf>
    <xf numFmtId="0" fontId="39" fillId="4" borderId="4" xfId="0" applyFont="1" applyFill="1" applyBorder="1" applyAlignment="1">
      <alignment horizontal="center" vertical="center"/>
    </xf>
    <xf numFmtId="0" fontId="35" fillId="21" borderId="3" xfId="1" applyNumberFormat="1" applyFont="1" applyFill="1" applyBorder="1" applyAlignment="1">
      <alignment horizontal="center"/>
    </xf>
    <xf numFmtId="0" fontId="38" fillId="0" borderId="3" xfId="0" applyFont="1" applyBorder="1" applyAlignment="1">
      <alignment horizontal="center" vertical="center"/>
    </xf>
    <xf numFmtId="0" fontId="35" fillId="0" borderId="3" xfId="1" applyNumberFormat="1" applyFont="1" applyBorder="1" applyAlignment="1">
      <alignment horizontal="center"/>
    </xf>
    <xf numFmtId="0" fontId="38" fillId="0" borderId="16" xfId="0" applyFont="1" applyBorder="1" applyAlignment="1">
      <alignment horizontal="center" vertical="center"/>
    </xf>
    <xf numFmtId="0" fontId="35" fillId="0" borderId="16" xfId="1" applyNumberFormat="1" applyFont="1" applyBorder="1" applyAlignment="1">
      <alignment horizontal="center"/>
    </xf>
    <xf numFmtId="0" fontId="38" fillId="21" borderId="16" xfId="0" applyFont="1" applyFill="1" applyBorder="1" applyAlignment="1">
      <alignment horizontal="center" vertical="center"/>
    </xf>
    <xf numFmtId="0" fontId="38" fillId="23" borderId="3" xfId="0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/>
    </xf>
    <xf numFmtId="0" fontId="35" fillId="21" borderId="16" xfId="0" applyFont="1" applyFill="1" applyBorder="1" applyAlignment="1">
      <alignment horizontal="center"/>
    </xf>
    <xf numFmtId="0" fontId="38" fillId="23" borderId="16" xfId="0" applyFont="1" applyFill="1" applyBorder="1" applyAlignment="1">
      <alignment horizontal="center" vertical="center"/>
    </xf>
    <xf numFmtId="0" fontId="29" fillId="23" borderId="16" xfId="0" applyFont="1" applyFill="1" applyBorder="1" applyAlignment="1">
      <alignment horizontal="center"/>
    </xf>
    <xf numFmtId="0" fontId="34" fillId="0" borderId="0" xfId="0" applyFont="1" applyAlignment="1">
      <alignment horizontal="center"/>
    </xf>
    <xf numFmtId="0" fontId="35" fillId="0" borderId="2" xfId="1" applyNumberFormat="1" applyFont="1" applyBorder="1" applyAlignment="1">
      <alignment horizontal="center"/>
    </xf>
    <xf numFmtId="0" fontId="35" fillId="0" borderId="21" xfId="1" applyNumberFormat="1" applyFont="1" applyBorder="1" applyAlignment="1">
      <alignment horizontal="center"/>
    </xf>
    <xf numFmtId="168" fontId="29" fillId="21" borderId="4" xfId="0" applyNumberFormat="1" applyFont="1" applyFill="1" applyBorder="1" applyAlignment="1">
      <alignment horizontal="center" vertical="center"/>
    </xf>
    <xf numFmtId="166" fontId="35" fillId="0" borderId="16" xfId="0" applyNumberFormat="1" applyFont="1" applyBorder="1" applyAlignment="1">
      <alignment horizontal="center" vertical="center"/>
    </xf>
    <xf numFmtId="0" fontId="39" fillId="4" borderId="1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justify"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3" fillId="26" borderId="36" xfId="0" applyFont="1" applyFill="1" applyBorder="1"/>
    <xf numFmtId="10" fontId="17" fillId="19" borderId="28" xfId="0" applyNumberFormat="1" applyFont="1" applyFill="1" applyBorder="1" applyAlignment="1">
      <alignment horizontal="center"/>
    </xf>
    <xf numFmtId="0" fontId="17" fillId="19" borderId="28" xfId="0" applyFont="1" applyFill="1" applyBorder="1" applyAlignment="1">
      <alignment horizontal="center"/>
    </xf>
    <xf numFmtId="0" fontId="18" fillId="20" borderId="29" xfId="0" applyFont="1" applyFill="1" applyBorder="1" applyAlignment="1">
      <alignment horizontal="center" vertical="center" wrapText="1"/>
    </xf>
    <xf numFmtId="0" fontId="18" fillId="20" borderId="28" xfId="0" applyFont="1" applyFill="1" applyBorder="1" applyAlignment="1">
      <alignment horizontal="center" vertical="center" wrapText="1"/>
    </xf>
    <xf numFmtId="0" fontId="15" fillId="17" borderId="27" xfId="6" applyAlignment="1">
      <alignment horizontal="center" wrapText="1"/>
    </xf>
  </cellXfs>
  <cellStyles count="8">
    <cellStyle name="Celda de comprobación" xfId="4" builtinId="23"/>
    <cellStyle name="Énfasis6" xfId="5" builtinId="49"/>
    <cellStyle name="Entrada" xfId="6" builtinId="20"/>
    <cellStyle name="Incorrecto" xfId="3" builtinId="27"/>
    <cellStyle name="Moneda" xfId="1" builtinId="4"/>
    <cellStyle name="Moneda 2" xfId="7" xr:uid="{58A1B5E1-3D19-4017-9A2F-F0109AFAE276}"/>
    <cellStyle name="Normal" xfId="0" builtinId="0"/>
    <cellStyle name="Porcentaje" xfId="2" builtinId="5"/>
  </cellStyles>
  <dxfs count="100"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>
          <bgColor rgb="FFFFFF00"/>
        </patternFill>
      </fill>
    </dxf>
    <dxf>
      <numFmt numFmtId="0" formatCode="General"/>
      <border>
        <left/>
        <right style="thin">
          <color theme="8"/>
        </right>
        <top style="thin">
          <color theme="8"/>
        </top>
        <bottom/>
        <vertical/>
        <horizontal/>
      </border>
    </dxf>
    <dxf>
      <border>
        <left/>
        <right/>
        <top style="thin">
          <color theme="8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rgb="FF000000"/>
        <name val="Trebuchet MS"/>
        <family val="2"/>
      </font>
      <fill>
        <patternFill patternType="solid">
          <fgColor indexed="64"/>
          <bgColor theme="6" tint="0.59999389629810485"/>
        </patternFill>
      </fill>
      <alignment horizontal="justify" vertical="center"/>
      <border>
        <left/>
        <right/>
        <top style="thin">
          <color theme="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 Light"/>
        <family val="2"/>
        <scheme val="major"/>
      </font>
      <numFmt numFmtId="166" formatCode="_ &quot;$&quot;\ * #,##0.00_ ;_ &quot;$&quot;\ * \-#,##0.00_ ;_ &quot;$&quot;\ * &quot;-&quot;??_ ;_ @_ "/>
      <fill>
        <patternFill patternType="solid">
          <fgColor indexed="64"/>
          <bgColor theme="6" tint="0.59999389629810485"/>
        </patternFill>
      </fill>
      <alignment horizontal="general" vertical="bottom"/>
      <border>
        <left/>
        <right/>
        <top style="thin">
          <color theme="4"/>
        </top>
        <bottom/>
        <vertical/>
        <horizontal/>
      </border>
    </dxf>
    <dxf>
      <font>
        <b/>
        <strike val="0"/>
        <condense val="0"/>
        <extend val="0"/>
        <outline val="0"/>
        <shadow val="0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6" tint="0.59999389629810485"/>
        </patternFill>
      </fill>
      <border>
        <left/>
        <right/>
        <top style="thin">
          <color theme="4"/>
        </top>
        <bottom/>
        <vertical/>
        <horizontal/>
      </border>
    </dxf>
    <dxf>
      <border outline="0">
        <left style="medium">
          <color indexed="64"/>
        </left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/>
    </dxf>
    <dxf>
      <font>
        <color rgb="FF9C0006"/>
      </font>
      <fill>
        <patternFill>
          <bgColor rgb="FFFFC7CE"/>
        </patternFill>
      </fill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170" formatCode="0.000%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hair">
          <color theme="7"/>
        </left>
        <right style="hair">
          <color theme="7"/>
        </right>
        <top style="thin">
          <color theme="9"/>
        </top>
        <bottom style="hair">
          <color theme="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 Light"/>
        <family val="2"/>
        <scheme val="major"/>
      </font>
      <border diagonalUp="0" diagonalDown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rebuchet MS"/>
        <family val="2"/>
        <scheme val="none"/>
      </font>
      <alignment horizontal="justify" vertical="center" textRotation="0" wrapText="0" indent="0" justifyLastLine="0" shrinkToFit="0" readingOrder="0"/>
      <border diagonalUp="0" diagonalDown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\-yy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/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 patternType="solid">
          <fgColor indexed="64"/>
          <bgColor theme="9" tint="0.59999389629810485"/>
        </patternFill>
      </fill>
      <alignment horizontal="center" vertical="center"/>
      <border outline="0">
        <left style="hair">
          <color theme="7"/>
        </left>
        <right style="hair">
          <color theme="7"/>
        </right>
        <top/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 patternType="solid">
          <fgColor indexed="64"/>
          <bgColor theme="9" tint="0.59999389629810485"/>
        </patternFill>
      </fill>
      <alignment horizontal="center" vertical="center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 patternType="solid">
          <fgColor indexed="64"/>
          <bgColor theme="9" tint="0.5999938962981048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>
          <fgColor indexed="64"/>
          <bgColor indexed="65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>
          <fgColor indexed="64"/>
          <bgColor auto="1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>
          <fgColor indexed="64"/>
          <bgColor auto="1"/>
        </patternFill>
      </fill>
      <alignment horizontal="center" vertical="bottom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>
          <fgColor indexed="64"/>
          <bgColor auto="1"/>
        </patternFill>
      </fill>
      <alignment horizontal="center" vertical="bottom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>
          <fgColor indexed="64"/>
          <bgColor auto="1"/>
        </patternFill>
      </fill>
      <alignment horizontal="center" vertical="bottom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>
          <fgColor indexed="64"/>
          <bgColor auto="1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numFmt numFmtId="165" formatCode="&quot;$&quot;\ #,##0.00"/>
      <fill>
        <patternFill>
          <fgColor indexed="64"/>
          <bgColor auto="1"/>
        </patternFill>
      </fill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7"/>
        </left>
        <right style="hair">
          <color theme="7"/>
        </right>
        <top/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general" vertical="bottom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justify" vertical="center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outline val="0"/>
        <shadow val="0"/>
        <vertAlign val="baseline"/>
        <sz val="10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bottom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Calibri"/>
        <family val="2"/>
        <scheme val="minor"/>
      </font>
      <fill>
        <patternFill patternType="solid">
          <fgColor rgb="FF000000"/>
          <bgColor rgb="FFA9D08E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/>
        <bottom style="hair">
          <color theme="7"/>
        </bottom>
      </border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textRotation="0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 patternType="solid">
          <fgColor indexed="64"/>
          <bgColor theme="9" tint="0.59999389629810485"/>
        </patternFill>
      </fill>
      <alignment horizontal="center" vertic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 patternType="solid">
          <fgColor indexed="64"/>
          <bgColor theme="9" tint="0.59999389629810485"/>
        </patternFill>
      </fill>
      <alignment horizont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>
          <fgColor indexed="64"/>
          <bgColor indexed="65"/>
        </patternFill>
      </fill>
      <alignment horizont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6" formatCode="_ &quot;$&quot;\ * #,##0.00_ ;_ &quot;$&quot;\ * \-#,##0.00_ ;_ &quot;$&quot;\ * &quot;-&quot;??_ ;_ @_ "/>
      <fill>
        <patternFill>
          <fgColor indexed="64"/>
          <bgColor auto="1"/>
        </patternFill>
      </fill>
      <alignment horizont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8" formatCode="&quot;$&quot;\ #,##0"/>
      <fill>
        <patternFill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8" formatCode="&quot;$&quot;\ #,##0"/>
      <fill>
        <patternFill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8" formatCode="&quot;$&quot;\ #,##0"/>
      <fill>
        <patternFill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8" formatCode="&quot;$&quot;\ #,##0"/>
      <fill>
        <patternFill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numFmt numFmtId="168" formatCode="&quot;$&quot;\ #,##0"/>
      <fill>
        <patternFill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7"/>
        </left>
        <right style="hair">
          <color theme="7"/>
        </right>
        <top/>
        <bottom style="hair">
          <color theme="7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numFmt numFmtId="0" formatCode="General"/>
      <fill>
        <patternFill>
          <fgColor indexed="64"/>
          <bgColor auto="1"/>
        </patternFill>
      </fill>
      <alignment horizontal="center" vertical="bottom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rgb="FF000000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outline val="0"/>
        <shadow val="0"/>
        <vertAlign val="baseline"/>
        <sz val="9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bottom" textRotation="0" indent="0" justifyLastLine="0" shrinkToFit="0" readingOrder="0"/>
      <border outline="0">
        <left style="hair">
          <color theme="7"/>
        </left>
        <right style="hair">
          <color theme="7"/>
        </right>
        <top style="hair">
          <color theme="7"/>
        </top>
        <bottom style="hair">
          <color theme="7"/>
        </bottom>
      </border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indent="0" justifyLastLine="0" shrinkToFit="0" readingOrder="0"/>
    </dxf>
    <dxf>
      <font>
        <b/>
        <strike val="0"/>
        <condense val="0"/>
        <extend val="0"/>
        <outline val="0"/>
        <shadow val="0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sz val="9"/>
        <name val="Calibri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pivotCacheDefinition" Target="pivotCache/pivotCacheDefinition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</xdr:row>
          <xdr:rowOff>38100</xdr:rowOff>
        </xdr:from>
        <xdr:to>
          <xdr:col>2</xdr:col>
          <xdr:colOff>819150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985838</xdr:colOff>
      <xdr:row>0</xdr:row>
      <xdr:rowOff>85726</xdr:rowOff>
    </xdr:from>
    <xdr:to>
      <xdr:col>8</xdr:col>
      <xdr:colOff>517525</xdr:colOff>
      <xdr:row>8</xdr:row>
      <xdr:rowOff>79375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">
              <a:extLst>
                <a:ext uri="{FF2B5EF4-FFF2-40B4-BE49-F238E27FC236}">
                  <a16:creationId xmlns:a16="http://schemas.microsoft.com/office/drawing/2014/main" id="{6BA1F10A-8A32-A72C-7514-75986F3942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19550" y="85726"/>
              <a:ext cx="4972050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8</xdr:col>
      <xdr:colOff>555625</xdr:colOff>
      <xdr:row>0</xdr:row>
      <xdr:rowOff>95250</xdr:rowOff>
    </xdr:from>
    <xdr:to>
      <xdr:col>11</xdr:col>
      <xdr:colOff>4763</xdr:colOff>
      <xdr:row>8</xdr:row>
      <xdr:rowOff>12700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VINCE">
              <a:extLst>
                <a:ext uri="{FF2B5EF4-FFF2-40B4-BE49-F238E27FC236}">
                  <a16:creationId xmlns:a16="http://schemas.microsoft.com/office/drawing/2014/main" id="{0DDF6CC8-E9DF-C640-B429-D4C1D5CF8F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95250"/>
              <a:ext cx="1828800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11</xdr:col>
      <xdr:colOff>61913</xdr:colOff>
      <xdr:row>0</xdr:row>
      <xdr:rowOff>95251</xdr:rowOff>
    </xdr:from>
    <xdr:to>
      <xdr:col>12</xdr:col>
      <xdr:colOff>598487</xdr:colOff>
      <xdr:row>8</xdr:row>
      <xdr:rowOff>22226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CITY FOS">
              <a:extLst>
                <a:ext uri="{FF2B5EF4-FFF2-40B4-BE49-F238E27FC236}">
                  <a16:creationId xmlns:a16="http://schemas.microsoft.com/office/drawing/2014/main" id="{9510ED88-CBAC-9D46-A940-F47CCEE3B4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TY F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15650" y="95251"/>
              <a:ext cx="1828800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190500</xdr:colOff>
      <xdr:row>0</xdr:row>
      <xdr:rowOff>104776</xdr:rowOff>
    </xdr:from>
    <xdr:to>
      <xdr:col>5</xdr:col>
      <xdr:colOff>507627</xdr:colOff>
      <xdr:row>9</xdr:row>
      <xdr:rowOff>114301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ARRIER 1">
              <a:extLst>
                <a:ext uri="{FF2B5EF4-FFF2-40B4-BE49-F238E27FC236}">
                  <a16:creationId xmlns:a16="http://schemas.microsoft.com/office/drawing/2014/main" id="{6C30D4D2-58A4-940E-9620-97EA84E167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RI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71900" y="104776"/>
              <a:ext cx="3390900" cy="1733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1657350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901.685543634259" createdVersion="8" refreshedVersion="8" minRefreshableVersion="3" recordCount="205" xr:uid="{64126CDB-58A8-42E4-9EAE-C616CA29ABB8}">
  <cacheSource type="worksheet">
    <worksheetSource ref="A12:AE243" sheet="Aumentos"/>
  </cacheSource>
  <cacheFields count="31">
    <cacheField name="CARRIER" numFmtId="0">
      <sharedItems containsBlank="1" count="9">
        <s v="ANDREANI LOGISTICA S.A."/>
        <s v="CELSUR LOGISTICA S.A"/>
        <s v="DISTRI 10 S.R.L."/>
        <s v="GIAMPAOLETTI BUOSI S.A."/>
        <s v="I-FLOW S.A."/>
        <s v="LOGISCHER NEA SA"/>
        <s v="TTES. LOS AMIGOS S.A."/>
        <s v="WAL-MART ARGENTINA SRL"/>
        <m u="1"/>
      </sharedItems>
    </cacheField>
    <cacheField name="RUTA" numFmtId="0">
      <sharedItems/>
    </cacheField>
    <cacheField name="PROVINCE" numFmtId="0">
      <sharedItems/>
    </cacheField>
    <cacheField name="CITY FOS" numFmtId="0">
      <sharedItems/>
    </cacheField>
    <cacheField name="TRANSPORT ZONE" numFmtId="0">
      <sharedItems/>
    </cacheField>
    <cacheField name="TYPE OF SHIPMENT" numFmtId="0">
      <sharedItems/>
    </cacheField>
    <cacheField name="0,00%" numFmtId="0">
      <sharedItems containsMixedTypes="1" containsNumber="1" containsInteger="1" minValue="0" maxValue="0"/>
    </cacheField>
    <cacheField name="ene-24" numFmtId="170">
      <sharedItems containsNonDate="0" containsString="0" containsBlank="1"/>
    </cacheField>
    <cacheField name="feb-24" numFmtId="170">
      <sharedItems containsString="0" containsBlank="1" containsNumber="1" minValue="0.26640000000000003" maxValue="0.39"/>
    </cacheField>
    <cacheField name="mar-24" numFmtId="170">
      <sharedItems containsString="0" containsBlank="1" containsNumber="1" minValue="0.10249999999999999" maxValue="0.3"/>
    </cacheField>
    <cacheField name="abr-24" numFmtId="170">
      <sharedItems containsString="0" containsBlank="1" containsNumber="1" minValue="0.1067" maxValue="0.1542"/>
    </cacheField>
    <cacheField name="may-24" numFmtId="170">
      <sharedItems containsString="0" containsBlank="1" containsNumber="1" minValue="0.1" maxValue="0.1188"/>
    </cacheField>
    <cacheField name="jun-24" numFmtId="170">
      <sharedItems containsString="0" containsBlank="1" containsNumber="1" minValue="0.14410000000000001" maxValue="0.14410000000000001"/>
    </cacheField>
    <cacheField name="jul-24" numFmtId="170">
      <sharedItems containsString="0" containsBlank="1" containsNumber="1" minValue="7.1099999999999997E-2" maxValue="0.21740000000000001"/>
    </cacheField>
    <cacheField name="ago-24" numFmtId="170">
      <sharedItems containsNonDate="0" containsString="0" containsBlank="1"/>
    </cacheField>
    <cacheField name="sept-24" numFmtId="170">
      <sharedItems containsString="0" containsBlank="1" containsNumber="1" minValue="0.154" maxValue="0.154"/>
    </cacheField>
    <cacheField name="oct-24" numFmtId="170">
      <sharedItems containsString="0" containsBlank="1" containsNumber="1" minValue="0.1056" maxValue="0.1056"/>
    </cacheField>
    <cacheField name="nov-24" numFmtId="170">
      <sharedItems containsString="0" containsBlank="1" containsNumber="1" minValue="9.4299999999999995E-2" maxValue="0.11799999999999999"/>
    </cacheField>
    <cacheField name="dic-24" numFmtId="0">
      <sharedItems containsString="0" containsBlank="1" containsNumber="1" minValue="0.36163168525999989" maxValue="0.78229455989616015"/>
    </cacheField>
    <cacheField name="ene-25" numFmtId="170">
      <sharedItems containsString="0" containsBlank="1" containsNumber="1" minValue="4.2200000000000001E-2" maxValue="0.08"/>
    </cacheField>
    <cacheField name="feb-25" numFmtId="170">
      <sharedItems containsString="0" containsBlank="1" containsNumber="1" minValue="6.8000000000000005E-2" maxValue="7.1999999999999995E-2"/>
    </cacheField>
    <cacheField name="mar-25" numFmtId="170">
      <sharedItems containsString="0" containsBlank="1" containsNumber="1" minValue="7.9399999999999998E-2" maxValue="7.9399999999999998E-2"/>
    </cacheField>
    <cacheField name="abr-25" numFmtId="170">
      <sharedItems containsString="0" containsBlank="1" containsNumber="1" minValue="0.06" maxValue="0.06"/>
    </cacheField>
    <cacheField name="may-25" numFmtId="170">
      <sharedItems containsString="0" containsBlank="1" containsNumber="1" minValue="4.2999999999999997E-2" maxValue="0.10290000000000001"/>
    </cacheField>
    <cacheField name="jun-25" numFmtId="170">
      <sharedItems containsNonDate="0" containsString="0" containsBlank="1"/>
    </cacheField>
    <cacheField name="jul-25" numFmtId="170">
      <sharedItems containsString="0" containsBlank="1" containsNumber="1" minValue="3.1199999999999999E-2" maxValue="9.06E-2"/>
    </cacheField>
    <cacheField name="ago-25" numFmtId="170">
      <sharedItems containsString="0" containsBlank="1" containsNumber="1" minValue="-0.03" maxValue="-1.499E-2"/>
    </cacheField>
    <cacheField name="sept-25" numFmtId="170">
      <sharedItems containsNonDate="0" containsString="0" containsBlank="1"/>
    </cacheField>
    <cacheField name="oct-252" numFmtId="170">
      <sharedItems containsNonDate="0" containsString="0" containsBlank="1"/>
    </cacheField>
    <cacheField name="nov-252" numFmtId="170">
      <sharedItems containsNonDate="0" containsString="0" containsBlank="1"/>
    </cacheField>
    <cacheField name="dic-25" numFmtId="17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mez, Fernando" refreshedDate="45964.632717361113" createdVersion="8" refreshedVersion="8" minRefreshableVersion="3" recordCount="408" xr:uid="{DC4D160D-576E-43E8-BB60-F27680240FC6}">
  <cacheSource type="worksheet">
    <worksheetSource name="Tabla16"/>
  </cacheSource>
  <cacheFields count="22">
    <cacheField name="RUT" numFmtId="0">
      <sharedItems/>
    </cacheField>
    <cacheField name="&amp;ZONA (Parada) Base ICDRB" numFmtId="0">
      <sharedItems/>
    </cacheField>
    <cacheField name="&amp;ZONA (Parada) Para tarifario" numFmtId="0">
      <sharedItems count="205">
        <s v="Santa Cruz"/>
        <s v="Santiago"/>
        <s v="Asuncion"/>
        <s v="Capital"/>
        <s v="Zona Norte"/>
        <s v="Zona Oeste"/>
        <s v="Zona Sur"/>
        <s v="Mercedes"/>
        <s v="Campana"/>
        <s v="Zarate"/>
        <s v="Pilar"/>
        <s v="Balcarce"/>
        <s v="Gral.Madariaga"/>
        <s v="Mar de Ajo"/>
        <s v="Mar Del Plata"/>
        <s v="Miramar"/>
        <s v="Necochea"/>
        <s v="Pinamar"/>
        <s v="San Bernardo"/>
        <s v="San Clemente del Tuyu"/>
        <s v="Villa Gessel"/>
        <s v="Bahia Blanca"/>
        <s v="9 de Julio"/>
        <s v="America, Buenos Aires"/>
        <s v="Azul"/>
        <s v="Bragado"/>
        <s v="Chascomus"/>
        <s v="Chivilcoy, Buenos Aires"/>
        <s v="Coronel Suarez"/>
        <s v="Dolores, Buenos Aires"/>
        <s v="Bolivar"/>
        <s v="Gral.Villegas, Buenos Aires"/>
        <s v="Junin"/>
        <s v="Lincoln, Buenos Aires"/>
        <s v="Loberia, Buenos Aires"/>
        <s v="Olavarria"/>
        <s v="Otamendi, Buenos Aires"/>
        <s v="Pehuajo"/>
        <s v="Pergamino"/>
        <s v="Pigue, Buenos Aires"/>
        <s v="Saladillo, Buenos Aires"/>
        <s v="Tandil"/>
        <s v="Tres Arroyos, Buenos Aires"/>
        <s v="Vedia BS AS"/>
        <s v="San Nicolas"/>
        <s v="Trenque Lauquen"/>
        <s v="Catamarca"/>
        <s v="Alta Gracia"/>
        <s v="Arguello, Cordoba"/>
        <s v="Arroyito, Cordoba"/>
        <s v="B.Villa Cabrera"/>
        <s v="Barrio Alto Verde"/>
        <s v="Camino Colonia Tirolesa"/>
        <s v="Colonia Caroya, Cordoba"/>
        <s v="Cordoba"/>
        <s v="Corral de Bustos"/>
        <s v="Cosquin, Cordoba"/>
        <s v="Embalse Rio Tercero, Cordoba"/>
        <s v="Jesus Maria, Cordoba"/>
        <s v="Las Peyas, Cordoba"/>
        <s v="Monte Cristo, Cordoba"/>
        <s v="Obispo Trejo, Cordoba"/>
        <s v="Rio Ceballos"/>
        <s v="Rio Cuarto"/>
        <s v="Rio Tercero"/>
        <s v="San Francisco"/>
        <s v="San Francisco Del Chanar"/>
        <s v="Santa Rosa de Rio Primero"/>
        <s v="Unquillo"/>
        <s v="Villa Carlos Paz"/>
        <s v="Villa del Rosario, Cordoba"/>
        <s v="Villa Maria"/>
        <s v="Corrientes"/>
        <s v="Goya ,Corrientes"/>
        <s v="Paso de los Libres"/>
        <s v="Chajari, Entre Rios"/>
        <s v="Colon, Entre Rios"/>
        <s v="Concepcion del Uruguay"/>
        <s v="Concordia"/>
        <s v="Crespo, Entre Rios"/>
        <s v="Diamante, Entre Rios"/>
        <s v="Gualeguay, Entre Rios"/>
        <s v="Gualeguaychu"/>
        <s v="La Paz, Entre Rios"/>
        <s v="Mesopotamia 1"/>
        <s v="Nogoya, Entre Rios"/>
        <s v="Santa Helena, Entre Rios"/>
        <s v="Victoria, Entre Rios"/>
        <s v="Villaguay, Entre Rios"/>
        <s v="Parana"/>
        <s v="Clorinda"/>
        <s v="Formosa"/>
        <s v="La Quiaca, Jujuy"/>
        <s v="Lib.Gral.San Martin"/>
        <s v="Palpala"/>
        <s v="San Pedro de Jujuy, Jujuy"/>
        <s v="San S. de Jujuy, Jujuy"/>
        <s v="Gral. Pico"/>
        <s v="Intendente Alvear, La Pampa"/>
        <s v="La Pampa"/>
        <s v="Santa Rosa"/>
        <s v="Chilecito"/>
        <s v="La Rioja"/>
        <s v="Acceso Este Rodeo de la Cruz"/>
        <s v="Godoy Cruz"/>
        <s v="Gral.Alvear"/>
        <s v="Guaymallen"/>
        <s v="Las Heras"/>
        <s v="Lujan de Cuyo"/>
        <s v="Mendoza"/>
        <s v="Rivadavia"/>
        <s v="San Jose"/>
        <s v="San Martin"/>
        <s v="Obera, Misiones"/>
        <s v="Villanueva, Mendonza"/>
        <s v="San Rafael"/>
        <s v="Eldorado"/>
        <s v="Jardin America, Misiones"/>
        <s v="Leandro N. Alem, Misiones"/>
        <s v="Posadas"/>
        <s v="Puerto Rico, Misiones"/>
        <s v="Choele Choel"/>
        <s v="Cipolletti"/>
        <s v="El Bolson"/>
        <s v="Gral. Roca"/>
        <s v="Rio Negro"/>
        <s v="San C. de Bariloche"/>
        <s v="Viedma"/>
        <s v="Villa Regina, Rio Negro"/>
        <s v="Cerrillos"/>
        <s v="Pocitos, Salta"/>
        <s v="Salta"/>
        <s v="San Juan "/>
        <s v="Santa Lucia "/>
        <s v="Villa Krause, San Juan"/>
        <s v="San Luis"/>
        <s v="Villa Mercedes"/>
        <s v="Caleta Olivia"/>
        <s v="Cte.Luis Piedrabuena"/>
        <s v="El Calafate"/>
        <s v="Gobernador Gregores"/>
        <s v="Los Antiguos"/>
        <s v="Patagonia"/>
        <s v="Perito Moreno"/>
        <s v="Pico Truncado"/>
        <s v="Pto.Deseado"/>
        <s v="Puerto San Julian"/>
        <s v="Puerto Santa Cruz"/>
        <s v="Rio Gallegos"/>
        <s v="Rio Turbio"/>
        <s v="Avellaneda, Santa Fe"/>
        <s v="Cañada de Gomez"/>
        <s v="Capitan Bermudez"/>
        <s v="Casilda"/>
        <s v="Chabas"/>
        <s v="Chanar Ladeado"/>
        <s v="EMP V Constitucion, Santa Fe"/>
        <s v="Esperanza, Santa Fe"/>
        <s v="Firmat"/>
        <s v="Frontera"/>
        <s v="Granadero Baigorria, Santa Fe"/>
        <s v="Laguna Paiva, Santa Fe"/>
        <s v="Maggiolo, Santa Fe"/>
        <s v="Rafaela"/>
        <s v="Reconquista"/>
        <s v="Rosario"/>
        <s v="Rufino"/>
        <s v="San Jorge, Santa Fe"/>
        <s v="San Justo"/>
        <s v="San Lorenzo, Santa Fe"/>
        <s v="Santa Fe"/>
        <s v="Santa Fe 1"/>
        <s v="Santo Tome"/>
        <s v="Venado Tuerto"/>
        <s v="Villa Gobernador Galvez,Santa"/>
        <s v="Fernandez, Sgo. del Estero"/>
        <s v="Santiago del Estero"/>
        <s v="Rio Grande"/>
        <s v="Ushuaia"/>
        <s v="Aguilares, Tucuman"/>
        <s v="Concepcion, Tucuman"/>
        <s v="Juan B.Alberdi, Tucuman"/>
        <s v="Monteros, Tucuman"/>
        <s v="San M.de Tucuman"/>
        <s v="Yerba Buena, Tucuman"/>
        <s v="Charata"/>
        <s v="Pcia.Roque S.PE&amp;A"/>
        <s v="Quitilipi, Chaco  "/>
        <s v="Resistencia"/>
        <s v="Villa Ángela"/>
        <s v="Comodoro Rivadavia"/>
        <s v="Esquel"/>
        <s v="Playa Union"/>
        <s v="Puerto Madryn"/>
        <s v="Rawson"/>
        <s v="Rio Mayo, Chubut"/>
        <s v="Sarmiento"/>
        <s v="Trelew"/>
        <s v="Puerto Madryn, Chubut"/>
        <s v="Centenario, Neuquen"/>
        <s v="Neuquen, Neuquen"/>
        <s v="San M. de Los Andes,Neuquen"/>
        <s v="Zapala"/>
        <s v="Neuquén"/>
        <s v="Montevideo"/>
      </sharedItems>
    </cacheField>
    <cacheField name="Provincia" numFmtId="0">
      <sharedItems count="27">
        <s v="Bolivia"/>
        <s v="Chile"/>
        <s v="Paraguay"/>
        <s v="Provincia de Buenos Aires"/>
        <s v="Provincia de Catamarca"/>
        <s v="Provincia de Córdoba"/>
        <s v="Provincia de Corrientes"/>
        <s v="Provincia de Entre Ríos"/>
        <s v="Provincia de Formosa"/>
        <s v="Provincia de Jujuy"/>
        <s v="Provincia de La Pampa"/>
        <s v="Provincia de La Rioja"/>
        <s v="Provincia de Mendoza"/>
        <s v="Provincia de Misiones"/>
        <s v="Provincia de Río Negro"/>
        <s v="Provincia de Salta"/>
        <s v="Provincia de San Juan"/>
        <s v="Provincia de San Luis"/>
        <s v="Provincia de Santa Cruz"/>
        <s v="Provincia de Santa Fe"/>
        <s v="Provincia de Santiago del Estero"/>
        <s v="Provincia de Tierra del Fuego, Antártida e Islas del Atlántico Sur"/>
        <s v="Provincia de Tucumán"/>
        <s v="Provincia del Chaco"/>
        <s v="Provincia del Chubut"/>
        <s v="Provincia del Neuquén"/>
        <s v="Uruguay"/>
      </sharedItems>
    </cacheField>
    <cacheField name="Ruta" numFmtId="0">
      <sharedItems containsBlank="1" count="12">
        <m/>
        <s v="BUE"/>
        <s v="ATL"/>
        <s v="BHN"/>
        <s v="PAM"/>
        <s v="SFE"/>
        <s v="NOA"/>
        <s v="COR"/>
        <s v="NEA"/>
        <s v="MSO"/>
        <s v="CUY"/>
        <s v="PAT"/>
      </sharedItems>
    </cacheField>
    <cacheField name="ZONA" numFmtId="0">
      <sharedItems containsBlank="1" containsMixedTypes="1" containsNumber="1" containsInteger="1" minValue="261" maxValue="362"/>
    </cacheField>
    <cacheField name="Parada" numFmtId="0">
      <sharedItems containsBlank="1" containsMixedTypes="1" containsNumber="1" containsInteger="1" minValue="230" maxValue="995"/>
    </cacheField>
    <cacheField name="ABR_01" numFmtId="0">
      <sharedItems/>
    </cacheField>
    <cacheField name="ABR_02" numFmtId="0">
      <sharedItems/>
    </cacheField>
    <cacheField name="ZONA2" numFmtId="49">
      <sharedItems/>
    </cacheField>
    <cacheField name="PARADA2" numFmtId="49">
      <sharedItems/>
    </cacheField>
    <cacheField name="FROM" numFmtId="0">
      <sharedItems/>
    </cacheField>
    <cacheField name="TO" numFmtId="0">
      <sharedItems/>
    </cacheField>
    <cacheField name="Pick Pack" numFmtId="0">
      <sharedItems/>
    </cacheField>
    <cacheField name="Shipping condition" numFmtId="0">
      <sharedItems/>
    </cacheField>
    <cacheField name="Shipping Description" numFmtId="0">
      <sharedItems/>
    </cacheField>
    <cacheField name="Transit time" numFmtId="0">
      <sharedItems/>
    </cacheField>
    <cacheField name="Transport Zone SAP" numFmtId="0">
      <sharedItems count="204">
        <s v="AR00BO1002"/>
        <s v="AR00CL1004"/>
        <s v="AR00PA1003"/>
        <s v="AR00BA1001"/>
        <s v="AR00BA1002"/>
        <s v="AR00BA1003"/>
        <s v="AR00BA1004"/>
        <s v="AR00BA1005"/>
        <s v="AR00BA1006"/>
        <s v="AR00BA1007"/>
        <s v="AR00BA1008"/>
        <s v="AR00BA2001"/>
        <s v="AR00BA2002"/>
        <s v="AR00BA2003"/>
        <s v="AR00BA2004"/>
        <s v="AR00BA2005"/>
        <s v="AR00BA2006"/>
        <s v="AR00BA2007"/>
        <s v="AR00BA2008"/>
        <s v="AR00BA2009"/>
        <s v="AR00BA2010"/>
        <s v="AR00BA4001"/>
        <s v="AR00BA3001"/>
        <s v="AR00BA3002"/>
        <s v="AR00BA3003"/>
        <s v="AR00BA3004"/>
        <s v="AR00BA3005"/>
        <s v="AR00BA3006"/>
        <s v="AR00BA3007"/>
        <s v="AR00BA3008"/>
        <s v="AR00BA3009"/>
        <s v="AR00BA3010"/>
        <s v="AR00BA3011"/>
        <s v="AR00BA3012"/>
        <s v="AR00BA3013"/>
        <s v="AR00BA3014"/>
        <s v="AR00BA3015"/>
        <s v="AR00BA3016"/>
        <s v="AR00BA3017"/>
        <s v="AR00BA3018"/>
        <s v="AR00BA3019"/>
        <s v="AR00BA3020"/>
        <s v="AR00BA3021"/>
        <s v="AR00BA3022"/>
        <s v="AR00BA3023"/>
        <s v="AR00BA3024"/>
        <s v="AR00BA3025"/>
        <s v="AR00CA1001"/>
        <s v="AR00CB1001"/>
        <s v="AR00CB1002"/>
        <s v="AR00CB1003"/>
        <s v="AR00CB1004"/>
        <s v="AR00CB1005"/>
        <s v="AR00CB1006"/>
        <s v="AR00CB1007"/>
        <s v="AR00CB1008"/>
        <s v="AR00CB1009"/>
        <s v="AR00CB1010"/>
        <s v="AR00CB1011"/>
        <s v="AR00CB1012"/>
        <s v="AR00CB1013"/>
        <s v="AR00CB1014"/>
        <s v="AR00CB1015"/>
        <s v="AR00CB1016"/>
        <s v="AR00CB1017"/>
        <s v="AR00CB1018"/>
        <s v="AR00CB1019"/>
        <s v="AR00CB1020"/>
        <s v="AR00CB1021"/>
        <s v="AR00CB1022"/>
        <s v="AR00CB1023"/>
        <s v="AR00CB1024"/>
        <s v="AR00CB1025"/>
        <s v="AR00CR1001"/>
        <s v="AR00CR1002"/>
        <s v="AR00CR1003"/>
        <s v="AR00ER1001"/>
        <s v="AR00ER1002"/>
        <s v="AR00ER1003"/>
        <s v="AR00ER1004"/>
        <s v="AR00ER1005"/>
        <s v="AR00ER1006"/>
        <s v="AR00ER1007"/>
        <s v="AR00ER1008"/>
        <s v="AR00ER1009"/>
        <s v="AR00ER1010"/>
        <s v="AR00ER1011"/>
        <s v="AR00ER1012"/>
        <s v="AR00ER1013"/>
        <s v="AR00ER1014"/>
        <s v="AR00ER1015"/>
        <s v="AR00FO1001"/>
        <s v="AR00FO1002"/>
        <s v="AR00JY1001"/>
        <s v="AR00JY1002"/>
        <s v="AR00JY1003"/>
        <s v="AR00JY1004"/>
        <s v="AR00JY1005"/>
        <s v="AR00LP1001"/>
        <s v="AR00LP1002"/>
        <s v="AR00LP1003"/>
        <s v="AR00LP1004"/>
        <s v="AR00LR1001"/>
        <s v="AR00LR1002"/>
        <s v="AR00MZ1001"/>
        <s v="AR00MZ1002"/>
        <s v="AR00MZ1003"/>
        <s v="AR00MZ1004"/>
        <s v="AR00MZ1005"/>
        <s v="AR00MZ1006"/>
        <s v="AR00MZ1007"/>
        <s v="AR00MZ1008"/>
        <s v="AR00MZ1009"/>
        <s v="AR00MZ1010"/>
        <s v="AR00MZ1011"/>
        <s v="AR00MZ1012"/>
        <s v="AR00MI1001"/>
        <s v="AR00MI1002"/>
        <s v="AR00MI1003"/>
        <s v="AR00MI1004"/>
        <s v="AR00MI1005"/>
        <s v="AR00MI1006"/>
        <s v="AR00RN1001"/>
        <s v="AR00RN1002"/>
        <s v="AR00RN1003"/>
        <s v="AR00RN1004"/>
        <s v="AR00RN1005"/>
        <s v="AR00RN1006"/>
        <s v="AR00RN1007"/>
        <s v="AR00RN1008"/>
        <s v="AR00SA1001"/>
        <s v="AR00SA1002"/>
        <s v="AR00SA1003"/>
        <s v="AR00SJ1001"/>
        <s v="AR00SJ1002"/>
        <s v="AR00SJ1003"/>
        <s v="AR00SL1001"/>
        <s v="AR00SL1002"/>
        <s v="AR00SC1001"/>
        <s v="AR00SC1002"/>
        <s v="AR00SC1003"/>
        <s v="AR00SC1004"/>
        <s v="AR00SC1005"/>
        <s v="AR00SC1006"/>
        <s v="AR00SC1007"/>
        <s v="AR00SC1008"/>
        <s v="AR00SC1009"/>
        <s v="AR00SC1010"/>
        <s v="AR00SC1011"/>
        <s v="AR00SC1012"/>
        <s v="AR00SC1013"/>
        <s v="AR00SF1001"/>
        <s v="AR00SF1002"/>
        <s v="AR00SF1003"/>
        <s v="AR00SF1004"/>
        <s v="AR00SF1005"/>
        <s v="AR00SF1006"/>
        <s v="AR00SF1007"/>
        <s v="AR00SF1008"/>
        <s v="AR00SF1009"/>
        <s v="AR00SF1010"/>
        <s v="AR00SF1011"/>
        <s v="AR00SF1012"/>
        <s v="AR00SF1013"/>
        <s v="AR00SF1014"/>
        <s v="AR00SF1015"/>
        <s v="AR00SF1016"/>
        <s v="AR00SF1017"/>
        <s v="AR00SF1018"/>
        <s v="AR00SF1019"/>
        <s v="AR00SF1020"/>
        <s v="AR00SF1021"/>
        <s v="AR00SF1022"/>
        <s v="AR00SF1023"/>
        <s v="AR00SF1024"/>
        <s v="AR00SF1025"/>
        <s v="AR00SE1001"/>
        <s v="AR00SE1002"/>
        <s v="AR00TF1001"/>
        <s v="AR00TF1002"/>
        <s v="AR00TU1001"/>
        <s v="AR00TU1002"/>
        <s v="AR00TU1003"/>
        <s v="AR00TU1004"/>
        <s v="AR00TU1005"/>
        <s v="AR00TU1006"/>
        <s v="AR00CH1001"/>
        <s v="AR00CH1002"/>
        <s v="AR00CH1003"/>
        <s v="AR00CH1004"/>
        <s v="AR00CH1005"/>
        <s v="AR00CT1001"/>
        <s v="AR00CT1002"/>
        <s v="AR00CT1003"/>
        <s v="AR00CT1004"/>
        <s v="AR00CT1005"/>
        <s v="AR00CT1006"/>
        <s v="AR00CT1007"/>
        <s v="AR00CT1008"/>
        <s v="AR00NQ1001"/>
        <s v="AR00NQ1002"/>
        <s v="AR00NQ1003"/>
        <s v="AR00NQ1004"/>
        <s v="AR00UR1001"/>
      </sharedItems>
    </cacheField>
    <cacheField name="Ruta SAP" numFmtId="0">
      <sharedItems/>
    </cacheField>
    <cacheField name="Health" numFmtId="0">
      <sharedItems containsBlank="1"/>
    </cacheField>
    <cacheField name="Hyho" numFmtId="0">
      <sharedItems/>
    </cacheField>
    <cacheField name="CUT O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x v="0"/>
    <s v="BHN"/>
    <s v="Buenos Aires"/>
    <s v="Bahia Blanca"/>
    <s v="AR00BA4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Buenos Aires"/>
    <s v="Junin"/>
    <s v="AR00BA301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ATL"/>
    <s v="Buenos Aires"/>
    <s v="Mar del Plata"/>
    <s v="AR00BA2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Buenos Aires"/>
    <s v="PEHUAJO"/>
    <s v="AR00BA301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Buenos Aires"/>
    <s v="Tandil"/>
    <s v="AR00BA302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Catamarca"/>
    <s v="Catamarca"/>
    <s v="AR00CA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Chaco"/>
    <s v="Pcia.Roque S.PE&amp;A"/>
    <s v="AR00CH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Chaco"/>
    <s v="Resistencia"/>
    <s v="AR00CH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Comodoro Rivadavia"/>
    <s v="AR00CT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Esquel"/>
    <s v="AR00CT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Puerto Madryn"/>
    <s v="AR00CT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Rawson"/>
    <s v="AR00CT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Sarmiento"/>
    <s v="AR00CT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Chubut"/>
    <s v="Trelew"/>
    <s v="AR00CT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Cordoba"/>
    <s v="AR00CB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Rio Cuarto"/>
    <s v="AR00CB101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SAN FRANCISCO"/>
    <s v="AR00CB1019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Cordoba"/>
    <s v="Villa Maria"/>
    <s v="AR00CB102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MSO"/>
    <s v="Entre Rios"/>
    <s v="Concordia"/>
    <s v="AR00ER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MSO"/>
    <s v="Entre Rios"/>
    <s v="Gualeguaychu"/>
    <s v="AR00ER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Formosa"/>
    <s v="Formosa"/>
    <s v="AR00FO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Jujuy"/>
    <s v="San S. de Jujuy, Jujuy"/>
    <s v="AR00JY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La Pampa"/>
    <s v="Gral. Pico"/>
    <s v="AR00LP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M"/>
    <s v="La Pampa"/>
    <s v="Santa rosa"/>
    <s v="AR00LP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OR"/>
    <s v="La Rioja"/>
    <s v="La Rioja"/>
    <s v="AR00LR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Mendoza"/>
    <s v="Mendoza"/>
    <s v="AR00MZ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Mendoza"/>
    <s v="San Rafael"/>
    <s v="AR00MZ101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EA"/>
    <s v="Misiones"/>
    <s v="Posadas"/>
    <s v="AR00MI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Neuquén"/>
    <s v="AR00NQ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San C. de Bariloche"/>
    <s v="AR00RN1006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San M. de Los Andes,Neuquen"/>
    <s v="AR00NQ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Neuquén"/>
    <s v="Zapala"/>
    <s v="AR00NQ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Choele Choel"/>
    <s v="AR00RN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El Bolson"/>
    <s v="AR00RN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Gral. Roca"/>
    <s v="AR00RN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Viedma"/>
    <s v="AR00RN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BHN"/>
    <s v="Río Negro"/>
    <s v="Villa Regina, Rio Negro"/>
    <s v="AR00RN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Salta"/>
    <s v="Cerrillos"/>
    <s v="AR00SA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Salta"/>
    <s v="Salta"/>
    <s v="AR00SA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San Juan"/>
    <s v="San Juan "/>
    <s v="AR00SJ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San Luis"/>
    <s v="San luis"/>
    <s v="AR00SL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CUY"/>
    <s v="San Luis"/>
    <s v="Villa Mercedes"/>
    <s v="AR00SL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Caleta Olivia"/>
    <s v="AR00SC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Cte.Luis Piedrabuena"/>
    <s v="AR00SC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El Calafate"/>
    <s v="AR00SC100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erito Moreno"/>
    <s v="AR00SC1007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ico Truncado"/>
    <s v="AR00SC1008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to.Deseado"/>
    <s v="AR00SC1009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Puerto Santa Cruz"/>
    <s v="AR00SC101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Rio Gallegos"/>
    <s v="AR00SC101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Santa Cruz"/>
    <s v="Rio Turbio"/>
    <s v="AR00SC1013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Casilda"/>
    <s v="AR00SF100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RECONQUISTA"/>
    <s v="AR00SF101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Rosario"/>
    <s v="AR00SF1016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Santa Fe"/>
    <s v="AR00SF102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SFE"/>
    <s v="Santa Fe"/>
    <s v="Venado Tuerto"/>
    <s v="AR00SF1024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Santiago del Estero"/>
    <s v="Santiago del Estero"/>
    <s v="AR00SE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Tierra del Fuego"/>
    <s v="Rio Grande"/>
    <s v="AR00TF1001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PAT"/>
    <s v="Tierra del Fuego"/>
    <s v="Ushuaia"/>
    <s v="AR00TF1002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0"/>
    <s v="NOA"/>
    <s v="Tucuman"/>
    <s v="San M.de Tucuman"/>
    <s v="AR00TU1005"/>
    <s v="Distribucion"/>
    <s v="145,33%"/>
    <m/>
    <n v="0.26640000000000003"/>
    <n v="0.10249999999999999"/>
    <n v="0.13539999999999999"/>
    <n v="0.1188"/>
    <m/>
    <n v="0.12130000000000001"/>
    <m/>
    <m/>
    <m/>
    <n v="9.4299999999999995E-2"/>
    <m/>
    <m/>
    <n v="7.1999999999999995E-2"/>
    <m/>
    <m/>
    <m/>
    <m/>
    <n v="5.16E-2"/>
    <m/>
    <m/>
    <m/>
    <m/>
    <m/>
  </r>
  <r>
    <x v="1"/>
    <s v="BUE"/>
    <s v="Buenos Aires"/>
    <s v="Zona Oeste"/>
    <s v="AR00BA1003"/>
    <s v="Directo"/>
    <n v="0"/>
    <m/>
    <m/>
    <m/>
    <m/>
    <m/>
    <m/>
    <m/>
    <m/>
    <m/>
    <m/>
    <m/>
    <m/>
    <m/>
    <m/>
    <m/>
    <m/>
    <m/>
    <m/>
    <m/>
    <m/>
    <m/>
    <m/>
    <m/>
    <m/>
  </r>
  <r>
    <x v="2"/>
    <s v="BUE"/>
    <s v="Buenos Aires"/>
    <s v="Capital"/>
    <s v="AR00BA1001"/>
    <s v="Directo"/>
    <n v="0"/>
    <m/>
    <m/>
    <m/>
    <m/>
    <m/>
    <m/>
    <m/>
    <m/>
    <m/>
    <m/>
    <m/>
    <m/>
    <m/>
    <m/>
    <m/>
    <m/>
    <m/>
    <m/>
    <m/>
    <m/>
    <m/>
    <m/>
    <m/>
    <m/>
  </r>
  <r>
    <x v="3"/>
    <s v="BUE"/>
    <s v="Buenos Aires"/>
    <s v="Bahia Blanca"/>
    <s v="AR00BA4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UE"/>
    <s v="Buenos Aires"/>
    <s v="Coronel Suarez"/>
    <s v="AR00BA3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UE"/>
    <s v="Buenos Aires"/>
    <s v="Pigue, Buenos Aires"/>
    <s v="AR00BA3019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UE"/>
    <s v="Buenos Aires"/>
    <s v="Tres Arroyos, Buenos Aires"/>
    <s v="AR00BA302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Comodoro Rivadavia"/>
    <s v="AR00CT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Esquel"/>
    <s v="AR00CT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Playa Union"/>
    <s v="AR00CT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Puerto Madryn"/>
    <s v="AR00CT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Rawson"/>
    <s v="AR00CT1005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Rio Mayo, Chubut"/>
    <s v="AR00CT1006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Sarmiento"/>
    <s v="AR00CT1007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Chubut"/>
    <s v="Trelew"/>
    <s v="AR00CT1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Centenario, Neuquen"/>
    <s v="AR00NQ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Neuquén"/>
    <s v="AR00NQ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San M. de Los Andes,Neuquen"/>
    <s v="AR00NQ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Neuquén"/>
    <s v="Zapala"/>
    <s v="AR00NQ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Choele Choel"/>
    <s v="AR00RN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Cipolletti"/>
    <s v="AR00RN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El Bolson"/>
    <s v="AR00RN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Gral. Roca"/>
    <s v="AR00RN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San C. de Bariloche"/>
    <s v="AR00RN1006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Viedma"/>
    <s v="AR00RN1007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BHN"/>
    <s v="Río Negro"/>
    <s v="Villa Regina, Rio Negro"/>
    <s v="AR00RN1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Caleta Olivia"/>
    <s v="AR00SC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Cte.Luis Piedrabuena"/>
    <s v="AR00SC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El Calafate"/>
    <s v="AR00SC100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Gobernador Gregores"/>
    <s v="AR00SC1004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Los Antiguos"/>
    <s v="AR00SC1005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erito Moreno"/>
    <s v="AR00SC1007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ico Truncado"/>
    <s v="AR00SC1008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to.Deseado"/>
    <s v="AR00SC1009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uerto San Julian"/>
    <s v="AR00SC1010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Puerto Santa Cruz"/>
    <s v="AR00SC101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Rio Gallegos"/>
    <s v="AR00SC101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Santa Cruz"/>
    <s v="Rio Turbio"/>
    <s v="AR00SC1013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Tierra del Fuego"/>
    <s v="Rio Grande"/>
    <s v="AR00TF1001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3"/>
    <s v="PAT"/>
    <s v="Tierra del Fuego"/>
    <s v="Ushuaia"/>
    <s v="AR00TF1002"/>
    <s v="Distribucion"/>
    <s v="101,53%"/>
    <m/>
    <m/>
    <n v="0.3"/>
    <m/>
    <m/>
    <m/>
    <n v="0.21740000000000001"/>
    <m/>
    <m/>
    <n v="0.1056"/>
    <m/>
    <m/>
    <n v="5.3699999999999998E-2"/>
    <m/>
    <m/>
    <n v="0.06"/>
    <m/>
    <m/>
    <n v="3.1199999999999999E-2"/>
    <m/>
    <m/>
    <m/>
    <m/>
    <m/>
  </r>
  <r>
    <x v="4"/>
    <s v="BHN"/>
    <s v="Buenos Aires"/>
    <s v="Bahia Blanca"/>
    <s v="AR00BA400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M"/>
    <s v="Buenos Aires"/>
    <s v="Bragado"/>
    <s v="AR00BA3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Campana"/>
    <s v="AR00BA1006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Capital"/>
    <s v="AR00BA1001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PAM"/>
    <s v="Buenos Aires"/>
    <s v="Chascomus"/>
    <s v="AR00BA3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M"/>
    <s v="Buenos Aires"/>
    <s v="Junin"/>
    <s v="AR00BA301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ATL"/>
    <s v="Buenos Aires"/>
    <s v="Mar de Ajo"/>
    <s v="AR00BA2003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ATL"/>
    <s v="Buenos Aires"/>
    <s v="Mar Del Plata"/>
    <s v="AR00BA2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Mercedes"/>
    <s v="AR00BA1005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PAM"/>
    <s v="Buenos Aires"/>
    <s v="Olavarria"/>
    <s v="AR00BA301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Pilar"/>
    <s v="AR00BA1008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PAM"/>
    <s v="Buenos Aires"/>
    <s v="Tandil"/>
    <s v="AR00BA302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UE"/>
    <s v="Buenos Aires"/>
    <s v="Zarate"/>
    <s v="AR00BA1007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Zona Norte"/>
    <s v="AR00BA1002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Zona Oeste"/>
    <s v="AR00BA1003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BUE"/>
    <s v="Buenos Aires"/>
    <s v="Zona Sur"/>
    <s v="AR00BA1004"/>
    <s v="Directo"/>
    <s v="67,69%"/>
    <m/>
    <m/>
    <m/>
    <m/>
    <m/>
    <m/>
    <m/>
    <m/>
    <m/>
    <m/>
    <n v="0.10561"/>
    <n v="0.36163168525999989"/>
    <m/>
    <n v="6.8000000000000005E-2"/>
    <m/>
    <m/>
    <n v="4.2999999999999997E-2"/>
    <m/>
    <m/>
    <m/>
    <m/>
    <m/>
    <m/>
    <m/>
  </r>
  <r>
    <x v="4"/>
    <s v="NEA"/>
    <s v="Chaco"/>
    <s v="Pcia.Roque S.PE&amp;A"/>
    <s v="AR00CH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EA"/>
    <s v="Chaco"/>
    <s v="Resistencia"/>
    <s v="AR00CH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T"/>
    <s v="Chubut"/>
    <s v="Esquel"/>
    <s v="AR00CT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T"/>
    <s v="Chubut"/>
    <s v="Trelew"/>
    <s v="AR00CT1008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B.Villa Cabrera"/>
    <s v="AR00CB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Barrio Alto Verde"/>
    <s v="AR00CB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Camino Colonia Tirolesa"/>
    <s v="AR00CB1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Cordoba"/>
    <s v="AR00CB1008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Rio Cuarto"/>
    <s v="AR00CB1017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Rio Tercero"/>
    <s v="AR00CB1018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OR"/>
    <s v="Cordoba"/>
    <s v="Villa Maria"/>
    <s v="AR00CB102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EA"/>
    <s v="Corrientes"/>
    <s v="Corrientes"/>
    <s v="AR00CR100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MSO"/>
    <s v="Entre Rios"/>
    <s v="Concordia"/>
    <s v="AR00ER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MSO"/>
    <s v="Entre Rios"/>
    <s v="Parana"/>
    <s v="AR00ER101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OA"/>
    <s v="Jujuy"/>
    <s v="San S. de Jujuy, Jujuy"/>
    <s v="AR00JY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PAM"/>
    <s v="La Pampa"/>
    <s v="Santa Rosa"/>
    <s v="AR00LP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Godoy Cruz"/>
    <s v="AR00MZ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Guaymallen"/>
    <s v="AR00MZ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Las Heras"/>
    <s v="AR00MZ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Lujan de Cuyo"/>
    <s v="AR00MZ1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Mendoza"/>
    <s v="AR00MZ1007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San Jose"/>
    <s v="AR00MZ1009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Mendoza"/>
    <s v="San Rafael"/>
    <s v="AR00MZ101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EA"/>
    <s v="Misiones"/>
    <s v="Posadas"/>
    <s v="AR00MI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HN"/>
    <s v="Neuquén"/>
    <s v="Neuquén"/>
    <s v="AR00NQ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HN"/>
    <s v="Río Negro"/>
    <s v="Gral. Roca"/>
    <s v="AR00RN1004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BHN"/>
    <s v="Río Negro"/>
    <s v="San C. de Bariloche"/>
    <s v="AR00RN100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OA"/>
    <s v="Salta"/>
    <s v="Salta"/>
    <s v="AR00SA1003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San Juan"/>
    <s v="San Juan "/>
    <s v="AR00SJ100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CUY"/>
    <s v="San Juan"/>
    <s v="Santa Lucia "/>
    <s v="AR00SJ1002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SFE"/>
    <s v="Santa Fe"/>
    <s v="Rosario"/>
    <s v="AR00SF1016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SFE"/>
    <s v="Santa Fe"/>
    <s v="Santa Fe"/>
    <s v="AR00SF1021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4"/>
    <s v="NOA"/>
    <s v="Tucuman"/>
    <s v="San M.de Tucuman"/>
    <s v="AR00TU1005"/>
    <s v="Directo"/>
    <s v="151,13%"/>
    <m/>
    <m/>
    <m/>
    <m/>
    <m/>
    <n v="0.14410000000000001"/>
    <m/>
    <m/>
    <m/>
    <m/>
    <n v="0.1056"/>
    <n v="0.78229455989616015"/>
    <m/>
    <n v="6.8000000000000005E-2"/>
    <m/>
    <m/>
    <n v="4.2999999999999997E-2"/>
    <m/>
    <m/>
    <m/>
    <m/>
    <m/>
    <m/>
    <m/>
  </r>
  <r>
    <x v="5"/>
    <s v="BHN"/>
    <s v="Buenos Aires"/>
    <s v="Bahia Blanca"/>
    <s v="AR00BA400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Campana"/>
    <s v="AR00BA1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Capital"/>
    <s v="AR00BA1001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PAM"/>
    <s v="Buenos Aires"/>
    <s v="Junin"/>
    <s v="AR00BA301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ATL"/>
    <s v="Buenos Aires"/>
    <s v="Mar de Ajo"/>
    <s v="AR00BA2003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ATL"/>
    <s v="Buenos Aires"/>
    <s v="Mar del Plata"/>
    <s v="AR00BA2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Mercedes"/>
    <s v="AR00BA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ATL"/>
    <s v="Buenos Aires"/>
    <s v="Necochea"/>
    <s v="AR00BA2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M"/>
    <s v="Buenos Aires"/>
    <s v="Olavarria"/>
    <s v="AR00BA301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Pilar"/>
    <s v="AR00BA1008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M"/>
    <s v="Buenos Aires"/>
    <s v="Tandil"/>
    <s v="AR00BA302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Zarate"/>
    <s v="AR00BA1007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UE"/>
    <s v="Buenos Aires"/>
    <s v="Zona Norte"/>
    <s v="AR00BA1002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BUE"/>
    <s v="Buenos Aires"/>
    <s v="Zona Oeste"/>
    <s v="AR00BA1003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BUE"/>
    <s v="Buenos Aires"/>
    <s v="Zona Sur"/>
    <s v="AR00BA1004"/>
    <s v="Directo_AMBA"/>
    <s v="11,5%"/>
    <m/>
    <m/>
    <m/>
    <m/>
    <m/>
    <m/>
    <m/>
    <m/>
    <m/>
    <m/>
    <m/>
    <m/>
    <n v="4.2200000000000001E-2"/>
    <m/>
    <m/>
    <m/>
    <n v="0.10290000000000001"/>
    <m/>
    <m/>
    <n v="-0.03"/>
    <m/>
    <m/>
    <m/>
    <m/>
  </r>
  <r>
    <x v="5"/>
    <s v="NEA"/>
    <s v="Chaco"/>
    <s v="Pcia.Roque S.PE&amp;A"/>
    <s v="AR00CH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EA"/>
    <s v="Chaco"/>
    <s v="Resistencia"/>
    <s v="AR00CH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T"/>
    <s v="Chubut"/>
    <s v="Trelew"/>
    <s v="AR00CT1008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B.Villa Cabrera"/>
    <s v="AR00CB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Camino Colonia Tirolesa"/>
    <s v="AR00CB1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Cordoba"/>
    <s v="AR00CB1008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Rio Cuarto"/>
    <s v="AR00CB1017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OR"/>
    <s v="Cordoba"/>
    <s v="Villa Maria"/>
    <s v="AR00CB102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EA"/>
    <s v="Corrientes"/>
    <s v="Corrientes"/>
    <s v="AR00CR100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MSO"/>
    <s v="Entre Rios"/>
    <s v="Concordia"/>
    <s v="AR00ER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MSO"/>
    <s v="Entre Rios"/>
    <s v="Parana"/>
    <s v="AR00ER101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OA"/>
    <s v="Jujuy"/>
    <s v="San S. de Jujuy, Jujuy"/>
    <s v="AR00JY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PAM"/>
    <s v="La Pampa"/>
    <s v="Santa rosa"/>
    <s v="AR00LP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Godoy Cruz"/>
    <s v="AR00MZ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Guaymallen"/>
    <s v="AR00MZ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Las Heras"/>
    <s v="AR00MZ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Mendoza"/>
    <s v="AR00MZ1007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San Jose"/>
    <s v="AR00MZ1009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Mendoza"/>
    <s v="San Rafael"/>
    <s v="AR00MZ101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EA"/>
    <s v="Misiones"/>
    <s v="Posadas"/>
    <s v="AR00MI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HN"/>
    <s v="Neuquén"/>
    <s v="Neuquén"/>
    <s v="AR00NQ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HN"/>
    <s v="Neuquén"/>
    <s v="San C. de Bariloche"/>
    <s v="AR00RN100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BHN"/>
    <s v="Río Negro"/>
    <s v="Gral. Roca"/>
    <s v="AR00RN1004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OA"/>
    <s v="Salta"/>
    <s v="Salta"/>
    <s v="AR00SA1003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San Juan"/>
    <s v="Santa Lucia "/>
    <s v="AR00SJ1002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CUY"/>
    <s v="San Luis"/>
    <s v="San luis"/>
    <s v="AR00SL100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SFE"/>
    <s v="Santa Fe"/>
    <s v="Frontera"/>
    <s v="AR00SF1010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SFE"/>
    <s v="Santa Fe"/>
    <s v="Rosario"/>
    <s v="AR00SF1016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SFE"/>
    <s v="Santa Fe"/>
    <s v="Santa Fe"/>
    <s v="AR00SF1021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5"/>
    <s v="NOA"/>
    <s v="Tucuman"/>
    <s v="San M.de Tucuman"/>
    <s v="AR00TU1005"/>
    <s v="Directo"/>
    <s v="115,73%"/>
    <m/>
    <n v="0.29799999999999999"/>
    <m/>
    <n v="0.1542"/>
    <m/>
    <m/>
    <n v="0.08"/>
    <m/>
    <n v="0.154"/>
    <m/>
    <m/>
    <m/>
    <n v="0.08"/>
    <m/>
    <m/>
    <m/>
    <n v="0.10290000000000001"/>
    <m/>
    <m/>
    <n v="-0.03"/>
    <m/>
    <m/>
    <m/>
    <m/>
  </r>
  <r>
    <x v="6"/>
    <s v="BUE"/>
    <s v="Buenos Aires"/>
    <s v="Alcance Depo Fiscal"/>
    <s v="PY00000001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Alcance Depo Fiscal"/>
    <s v="UY00000001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Campana"/>
    <s v="AR00BA1006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Capital"/>
    <s v="AR00BA1001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Mercedes"/>
    <s v="AR00BA1005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Pilar"/>
    <s v="AR00BA1008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arate"/>
    <s v="AR00BA1007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ona Norte"/>
    <s v="AR00BA1002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ona Oeste"/>
    <s v="AR00BA1003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6"/>
    <s v="BUE"/>
    <s v="Buenos Aires"/>
    <s v="Zona Sur"/>
    <s v="AR00BA1004"/>
    <s v="Directo"/>
    <s v="191,96%"/>
    <m/>
    <n v="0.39"/>
    <n v="0.24260000000000001"/>
    <n v="0.1067"/>
    <n v="0.1"/>
    <m/>
    <n v="7.1099999999999997E-2"/>
    <m/>
    <m/>
    <m/>
    <n v="0.11799999999999999"/>
    <m/>
    <m/>
    <m/>
    <n v="7.9399999999999998E-2"/>
    <m/>
    <m/>
    <m/>
    <n v="9.06E-2"/>
    <n v="-1.499E-2"/>
    <m/>
    <m/>
    <m/>
    <m/>
  </r>
  <r>
    <x v="7"/>
    <s v="BUE"/>
    <s v="Buenos Aires"/>
    <s v="Zona Oeste"/>
    <s v="AR00BA1002"/>
    <s v="Directo"/>
    <n v="0"/>
    <m/>
    <m/>
    <m/>
    <m/>
    <m/>
    <m/>
    <m/>
    <m/>
    <m/>
    <m/>
    <m/>
    <m/>
    <m/>
    <m/>
    <m/>
    <m/>
    <m/>
    <m/>
    <m/>
    <m/>
    <m/>
    <m/>
    <m/>
    <m/>
  </r>
  <r>
    <x v="7"/>
    <s v="BUE"/>
    <s v="Buenos Aires"/>
    <s v="Zona Oeste"/>
    <s v="AR00BA1003"/>
    <s v="Directo"/>
    <n v="0"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8">
  <r>
    <s v="Exportacion"/>
    <s v="Santa Cruz"/>
    <x v="0"/>
    <x v="0"/>
    <x v="0"/>
    <m/>
    <m/>
    <s v="AR"/>
    <s v="BO"/>
    <s v="1"/>
    <s v="02"/>
    <s v="RB_FV"/>
    <s v="BO"/>
    <s v="1d"/>
    <s v="01"/>
    <s v="Road/Truck"/>
    <s v="3d"/>
    <x v="0"/>
    <s v="AR1X03"/>
    <s v="X"/>
    <s v="X"/>
    <s v="Expo"/>
  </r>
  <r>
    <s v="Exportacion"/>
    <s v="Santa Cruz"/>
    <x v="0"/>
    <x v="0"/>
    <x v="0"/>
    <m/>
    <m/>
    <s v="AR"/>
    <s v="BO"/>
    <s v="1"/>
    <s v="02"/>
    <s v="RB_FV"/>
    <s v="BO"/>
    <s v="1d"/>
    <s v="04"/>
    <s v="3PL Direct"/>
    <s v="3d"/>
    <x v="0"/>
    <s v="AR1X03"/>
    <s v="X"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1"/>
    <s v="Road/Truck"/>
    <s v="3d"/>
    <x v="1"/>
    <s v="AR1X03"/>
    <m/>
    <s v="X"/>
    <s v="Expo"/>
  </r>
  <r>
    <s v="Exportacion"/>
    <s v="Santiago"/>
    <x v="1"/>
    <x v="1"/>
    <x v="0"/>
    <m/>
    <m/>
    <s v="AR"/>
    <s v="CL"/>
    <s v="1"/>
    <s v="04"/>
    <s v="RB_FV"/>
    <s v="CL"/>
    <s v="1d"/>
    <s v="04"/>
    <s v="3PL Direct"/>
    <s v="3d"/>
    <x v="1"/>
    <s v="AR1X03"/>
    <m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1"/>
    <s v="Road/Truck"/>
    <s v="3d"/>
    <x v="2"/>
    <s v="AR1X03"/>
    <s v="X"/>
    <s v="X"/>
    <s v="Expo"/>
  </r>
  <r>
    <s v="Exportacion"/>
    <s v="Asuncion"/>
    <x v="2"/>
    <x v="2"/>
    <x v="0"/>
    <m/>
    <m/>
    <s v="AR"/>
    <s v="PA"/>
    <s v="1"/>
    <s v="03"/>
    <s v="RB_FV"/>
    <s v="PA"/>
    <s v="1d"/>
    <s v="04"/>
    <s v="3PL Direct"/>
    <s v="3d"/>
    <x v="2"/>
    <s v="AR1X03"/>
    <s v="X"/>
    <s v="X"/>
    <s v="Expo"/>
  </r>
  <r>
    <s v="Cap - GBA"/>
    <s v="Capital"/>
    <x v="3"/>
    <x v="3"/>
    <x v="1"/>
    <s v="CPF"/>
    <s v="CPF"/>
    <s v="AR"/>
    <s v="BA"/>
    <s v="1"/>
    <s v="01"/>
    <s v="RB_FV"/>
    <s v="BA"/>
    <s v="1d"/>
    <s v="01"/>
    <s v="Road/Truck"/>
    <s v="1d"/>
    <x v="3"/>
    <s v="AR1X01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1"/>
    <s v="Road/Truck"/>
    <s v="1d"/>
    <x v="4"/>
    <s v="AR1X01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1"/>
    <s v="Road/Truck"/>
    <s v="1d"/>
    <x v="5"/>
    <s v="AR1X01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1"/>
    <s v="Road/Truck"/>
    <s v="1d"/>
    <x v="6"/>
    <s v="AR1X01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1"/>
    <s v="Road/Truck"/>
    <s v="1d"/>
    <x v="7"/>
    <s v="AR1X01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1"/>
    <s v="Road/Truck"/>
    <s v="1d"/>
    <x v="8"/>
    <s v="AR1X01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1"/>
    <s v="Road/Truck"/>
    <s v="1d"/>
    <x v="9"/>
    <s v="AR1X01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1"/>
    <s v="Road/Truck"/>
    <s v="1d"/>
    <x v="10"/>
    <s v="AR1X01"/>
    <s v="X"/>
    <s v="X"/>
    <s v="No Cut Off"/>
  </r>
  <r>
    <s v="Cap - GBA"/>
    <s v="Capital"/>
    <x v="3"/>
    <x v="3"/>
    <x v="1"/>
    <s v="CPF"/>
    <s v="CPF"/>
    <s v="AR"/>
    <s v="BA"/>
    <s v="1"/>
    <s v="01"/>
    <s v="RB_FV"/>
    <s v="BA"/>
    <s v="1d"/>
    <s v="04"/>
    <s v="3PL Direct"/>
    <s v="0d"/>
    <x v="3"/>
    <s v="AR0X00"/>
    <s v="X"/>
    <s v="X"/>
    <s v="No Cut Off"/>
  </r>
  <r>
    <s v="Cap - GBA"/>
    <s v="Zona Norte"/>
    <x v="4"/>
    <x v="3"/>
    <x v="1"/>
    <s v="GBA"/>
    <s v="GBA"/>
    <s v="AR"/>
    <s v="BA"/>
    <s v="1"/>
    <s v="02"/>
    <s v="RB_FV"/>
    <s v="BA"/>
    <s v="1d"/>
    <s v="04"/>
    <s v="3PL Direct"/>
    <s v="0d"/>
    <x v="4"/>
    <s v="AR0X00"/>
    <s v="X"/>
    <s v="X"/>
    <s v="No Cut Off"/>
  </r>
  <r>
    <s v="Cap - GBA"/>
    <s v="Zona Oeste"/>
    <x v="5"/>
    <x v="3"/>
    <x v="1"/>
    <s v="GBA"/>
    <s v="004"/>
    <s v="AR"/>
    <s v="BA"/>
    <s v="1"/>
    <s v="03"/>
    <s v="RB_FV"/>
    <s v="BA"/>
    <s v="1d"/>
    <s v="04"/>
    <s v="3PL Direct"/>
    <s v="0d"/>
    <x v="5"/>
    <s v="AR0X00"/>
    <s v="X"/>
    <s v="X"/>
    <s v="No Cut Off"/>
  </r>
  <r>
    <s v="Cap - GBA"/>
    <s v="Zona Sur"/>
    <x v="6"/>
    <x v="3"/>
    <x v="1"/>
    <s v="ZMB"/>
    <s v="ZMB"/>
    <s v="AR"/>
    <s v="BA"/>
    <s v="1"/>
    <s v="04"/>
    <s v="RB_FV"/>
    <s v="BA"/>
    <s v="1d"/>
    <s v="04"/>
    <s v="3PL Direct"/>
    <s v="0d"/>
    <x v="6"/>
    <s v="AR0X00"/>
    <s v="X"/>
    <s v="X"/>
    <s v="No Cut Off"/>
  </r>
  <r>
    <s v="Cap - GBA"/>
    <s v="Mercedes"/>
    <x v="7"/>
    <x v="3"/>
    <x v="1"/>
    <s v="GBA"/>
    <s v="005"/>
    <s v="AR"/>
    <s v="BA"/>
    <s v="1"/>
    <s v="05"/>
    <s v="RB_FV"/>
    <s v="BA"/>
    <s v="1d"/>
    <s v="04"/>
    <s v="3PL Direct"/>
    <s v="0d"/>
    <x v="7"/>
    <s v="AR0X00"/>
    <s v="X"/>
    <s v="X"/>
    <s v="No Cut Off"/>
  </r>
  <r>
    <s v="Cap - GBA"/>
    <s v="Campana"/>
    <x v="8"/>
    <x v="3"/>
    <x v="1"/>
    <s v="GBA"/>
    <s v="006"/>
    <s v="AR"/>
    <s v="BA"/>
    <s v="1"/>
    <s v="06"/>
    <s v="RB_FV"/>
    <s v="BA"/>
    <s v="1d"/>
    <s v="04"/>
    <s v="3PL Direct"/>
    <s v="0d"/>
    <x v="8"/>
    <s v="AR0X00"/>
    <s v="X"/>
    <s v="X"/>
    <s v="No Cut Off"/>
  </r>
  <r>
    <s v="Cap - GBA"/>
    <s v="Zarate"/>
    <x v="9"/>
    <x v="3"/>
    <x v="1"/>
    <s v="GBA"/>
    <s v="007"/>
    <s v="AR"/>
    <s v="BA"/>
    <s v="1"/>
    <s v="07"/>
    <s v="RB_FV"/>
    <s v="BA"/>
    <s v="1d"/>
    <s v="04"/>
    <s v="3PL Direct"/>
    <s v="0d"/>
    <x v="9"/>
    <s v="AR0X00"/>
    <s v="X"/>
    <s v="X"/>
    <s v="No Cut Off"/>
  </r>
  <r>
    <s v="Cap - GBA"/>
    <s v="Pilar"/>
    <x v="10"/>
    <x v="3"/>
    <x v="1"/>
    <s v="GBA"/>
    <s v="008"/>
    <s v="AR"/>
    <s v="BA"/>
    <s v="1"/>
    <s v="08"/>
    <s v="RB_FV"/>
    <s v="BA"/>
    <s v="1d"/>
    <s v="04"/>
    <s v="3PL Direct"/>
    <s v="0d"/>
    <x v="10"/>
    <s v="AR0X00"/>
    <s v="X"/>
    <s v="X"/>
    <s v="No 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1"/>
    <s v="Road/Truck"/>
    <s v="6d"/>
    <x v="11"/>
    <s v="AR1X06"/>
    <s v="X"/>
    <s v="X"/>
    <s v="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1"/>
    <s v="Road/Truck"/>
    <s v="6d"/>
    <x v="12"/>
    <s v="AR1X06"/>
    <s v="X"/>
    <s v="X"/>
    <s v="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1"/>
    <s v="Road/Truck"/>
    <s v="6d"/>
    <x v="13"/>
    <s v="AR1X06"/>
    <s v="X"/>
    <s v="X"/>
    <s v="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1"/>
    <s v="Road/Truck"/>
    <s v="6d"/>
    <x v="14"/>
    <s v="AR1X06"/>
    <s v="X"/>
    <s v="X"/>
    <s v="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1"/>
    <s v="Road/Truck"/>
    <s v="6d"/>
    <x v="15"/>
    <s v="AR1X06"/>
    <s v="X"/>
    <s v="X"/>
    <s v="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1"/>
    <s v="Road/Truck"/>
    <s v="6d"/>
    <x v="16"/>
    <s v="AR1X06"/>
    <s v="X"/>
    <s v="X"/>
    <s v="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1"/>
    <s v="Road/Truck"/>
    <s v="6d"/>
    <x v="17"/>
    <s v="AR1X06"/>
    <s v="X"/>
    <s v="X"/>
    <s v="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1"/>
    <s v="Road/Truck"/>
    <s v="6d"/>
    <x v="18"/>
    <s v="AR1X06"/>
    <s v="X"/>
    <s v="X"/>
    <s v="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1"/>
    <s v="Road/Truck"/>
    <s v="6d"/>
    <x v="19"/>
    <s v="AR1X06"/>
    <s v="X"/>
    <s v="X"/>
    <s v="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1"/>
    <s v="Road/Truck"/>
    <s v="6d"/>
    <x v="20"/>
    <s v="AR1X06"/>
    <s v="X"/>
    <s v="X"/>
    <s v="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1"/>
    <s v="Road/Truck"/>
    <s v="7d"/>
    <x v="21"/>
    <s v="AR1X07"/>
    <s v="X"/>
    <s v="X"/>
    <s v="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1"/>
    <s v="Road/Truck"/>
    <s v="6d"/>
    <x v="22"/>
    <s v="AR1X06"/>
    <s v="X"/>
    <s v="X"/>
    <s v="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1"/>
    <s v="Road/Truck"/>
    <s v="6d"/>
    <x v="23"/>
    <s v="AR1X06"/>
    <s v="X"/>
    <s v="X"/>
    <s v="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1"/>
    <s v="Road/Truck"/>
    <s v="6d"/>
    <x v="24"/>
    <s v="AR1X06"/>
    <s v="X"/>
    <s v="X"/>
    <s v="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1"/>
    <s v="Road/Truck"/>
    <s v="6d"/>
    <x v="25"/>
    <s v="AR1X06"/>
    <s v="X"/>
    <s v="X"/>
    <s v="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1"/>
    <s v="Road/Truck"/>
    <s v="6d"/>
    <x v="26"/>
    <s v="AR1X06"/>
    <s v="X"/>
    <s v="X"/>
    <s v="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1"/>
    <s v="Road/Truck"/>
    <s v="6d"/>
    <x v="27"/>
    <s v="AR1X06"/>
    <s v="X"/>
    <s v="X"/>
    <s v="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1"/>
    <s v="Road/Truck"/>
    <s v="6d"/>
    <x v="28"/>
    <s v="AR1X06"/>
    <s v="X"/>
    <s v="X"/>
    <s v="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1"/>
    <s v="Road/Truck"/>
    <s v="6d"/>
    <x v="29"/>
    <s v="AR1X06"/>
    <s v="X"/>
    <s v="X"/>
    <s v="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1"/>
    <s v="Road/Truck"/>
    <s v="6d"/>
    <x v="30"/>
    <s v="AR1X06"/>
    <s v="X"/>
    <s v="X"/>
    <s v="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1"/>
    <s v="Road/Truck"/>
    <s v="6d"/>
    <x v="31"/>
    <s v="AR1X06"/>
    <s v="X"/>
    <s v="X"/>
    <s v="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1"/>
    <s v="Road/Truck"/>
    <s v="6d"/>
    <x v="32"/>
    <s v="AR1X06"/>
    <s v="X"/>
    <s v="X"/>
    <s v="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1"/>
    <s v="Road/Truck"/>
    <s v="6d"/>
    <x v="33"/>
    <s v="AR1X06"/>
    <s v="X"/>
    <s v="X"/>
    <s v="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1"/>
    <s v="Road/Truck"/>
    <s v="6d"/>
    <x v="34"/>
    <s v="AR1X06"/>
    <s v="X"/>
    <s v="X"/>
    <s v="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1"/>
    <s v="Road/Truck"/>
    <s v="6d"/>
    <x v="35"/>
    <s v="AR1X06"/>
    <s v="X"/>
    <s v="X"/>
    <s v="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1"/>
    <s v="Road/Truck"/>
    <s v="6d"/>
    <x v="36"/>
    <s v="AR1X06"/>
    <s v="X"/>
    <s v="X"/>
    <s v="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1"/>
    <s v="Road/Truck"/>
    <s v="6d"/>
    <x v="37"/>
    <s v="AR1X06"/>
    <s v="X"/>
    <s v="X"/>
    <s v="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1"/>
    <s v="Road/Truck"/>
    <s v="6d"/>
    <x v="38"/>
    <s v="AR1X06"/>
    <s v="X"/>
    <s v="X"/>
    <s v="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1"/>
    <s v="Road/Truck"/>
    <s v="6d"/>
    <x v="39"/>
    <s v="AR1X06"/>
    <s v="X"/>
    <s v="X"/>
    <s v="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1"/>
    <s v="Road/Truck"/>
    <s v="6d"/>
    <x v="40"/>
    <s v="AR1X06"/>
    <s v="X"/>
    <s v="X"/>
    <s v="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1"/>
    <s v="Road/Truck"/>
    <s v="6d"/>
    <x v="41"/>
    <s v="AR1X06"/>
    <s v="X"/>
    <s v="X"/>
    <s v="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1"/>
    <s v="Road/Truck"/>
    <s v="6d"/>
    <x v="42"/>
    <s v="AR1X06"/>
    <s v="X"/>
    <s v="X"/>
    <s v="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1"/>
    <s v="Road/Truck"/>
    <s v="6d"/>
    <x v="43"/>
    <s v="AR1X06"/>
    <s v="X"/>
    <s v="X"/>
    <s v="Cut Off"/>
  </r>
  <r>
    <s v="Interior"/>
    <s v="Vedia BS AS"/>
    <x v="43"/>
    <x v="3"/>
    <x v="4"/>
    <s v="BSI"/>
    <n v="819"/>
    <s v="AR"/>
    <s v="BA"/>
    <s v="3"/>
    <s v="23"/>
    <s v="RB_FV"/>
    <s v="BA"/>
    <s v="1d"/>
    <s v="01"/>
    <s v="Road/Truck"/>
    <s v="6d"/>
    <x v="44"/>
    <s v="AR1X06"/>
    <s v="X"/>
    <s v="X"/>
    <s v="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1"/>
    <s v="Road/Truck"/>
    <s v="6d"/>
    <x v="45"/>
    <s v="AR1X06"/>
    <s v="X"/>
    <s v="X"/>
    <s v="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1"/>
    <s v="Road/Truck"/>
    <s v="6d"/>
    <x v="46"/>
    <s v="AR1X06"/>
    <s v="X"/>
    <s v="X"/>
    <s v="Cut Off"/>
  </r>
  <r>
    <s v="Interior"/>
    <s v="Balcarce, Buenos Aires"/>
    <x v="11"/>
    <x v="3"/>
    <x v="2"/>
    <s v="BSC"/>
    <n v="885"/>
    <s v="AR"/>
    <s v="BA"/>
    <s v="2"/>
    <s v="01"/>
    <s v="RB_FV"/>
    <s v="BA"/>
    <s v="1d"/>
    <s v="04"/>
    <s v="3PL Direct"/>
    <s v="1d"/>
    <x v="11"/>
    <s v="AR1X01"/>
    <s v="X"/>
    <s v="X"/>
    <s v="No Cut Off"/>
  </r>
  <r>
    <s v="Interior"/>
    <s v="Gral.Madariaga, Buenos Aires"/>
    <x v="12"/>
    <x v="3"/>
    <x v="2"/>
    <s v="BSC"/>
    <n v="856"/>
    <s v="AR"/>
    <s v="BA"/>
    <s v="2"/>
    <s v="02"/>
    <s v="RB_FV"/>
    <s v="BA"/>
    <s v="1d"/>
    <s v="04"/>
    <s v="3PL Direct"/>
    <s v="1d"/>
    <x v="12"/>
    <s v="AR1X01"/>
    <s v="X"/>
    <s v="X"/>
    <s v="No Cut Off"/>
  </r>
  <r>
    <s v="Interior"/>
    <s v="Mar de Ajo, Buenos Aires"/>
    <x v="13"/>
    <x v="3"/>
    <x v="2"/>
    <s v="BSC"/>
    <n v="823"/>
    <s v="AR"/>
    <s v="BA"/>
    <s v="2"/>
    <s v="03"/>
    <s v="RB_FV"/>
    <s v="BA"/>
    <s v="1d"/>
    <s v="04"/>
    <s v="3PL Direct"/>
    <s v="1d"/>
    <x v="13"/>
    <s v="AR1X01"/>
    <s v="X"/>
    <s v="X"/>
    <s v="No Cut Off"/>
  </r>
  <r>
    <s v="Interior"/>
    <s v="Mar Del Plata, Buenos Aires"/>
    <x v="14"/>
    <x v="3"/>
    <x v="2"/>
    <s v="BSC"/>
    <n v="870"/>
    <s v="AR"/>
    <s v="BA"/>
    <s v="2"/>
    <s v="04"/>
    <s v="RB_FV"/>
    <s v="BA"/>
    <s v="1d"/>
    <s v="04"/>
    <s v="3PL Direct"/>
    <s v="1d"/>
    <x v="14"/>
    <s v="AR1X01"/>
    <s v="X"/>
    <s v="X"/>
    <s v="No Cut Off"/>
  </r>
  <r>
    <s v="Interior"/>
    <s v="Miramar, Buenos Aires"/>
    <x v="15"/>
    <x v="3"/>
    <x v="2"/>
    <s v="BSC"/>
    <n v="880"/>
    <s v="AR"/>
    <s v="BA"/>
    <s v="2"/>
    <s v="05"/>
    <s v="RB_FV"/>
    <s v="BA"/>
    <s v="1d"/>
    <s v="04"/>
    <s v="3PL Direct"/>
    <s v="1d"/>
    <x v="15"/>
    <s v="AR1X01"/>
    <s v="X"/>
    <s v="X"/>
    <s v="No Cut Off"/>
  </r>
  <r>
    <s v="Interior"/>
    <s v="Necochea, Buenos Aires"/>
    <x v="16"/>
    <x v="3"/>
    <x v="2"/>
    <s v="BSC"/>
    <n v="890"/>
    <s v="AR"/>
    <s v="BA"/>
    <s v="2"/>
    <s v="06"/>
    <s v="RB_FV"/>
    <s v="BA"/>
    <s v="1d"/>
    <s v="04"/>
    <s v="3PL Direct"/>
    <s v="1d"/>
    <x v="16"/>
    <s v="AR1X01"/>
    <s v="X"/>
    <s v="X"/>
    <s v="No Cut Off"/>
  </r>
  <r>
    <s v="Interior"/>
    <s v="Pinamar, Buenos Aires"/>
    <x v="17"/>
    <x v="3"/>
    <x v="2"/>
    <s v="BSC"/>
    <n v="860"/>
    <s v="AR"/>
    <s v="BA"/>
    <s v="2"/>
    <s v="07"/>
    <s v="RB_FV"/>
    <s v="BA"/>
    <s v="1d"/>
    <s v="04"/>
    <s v="3PL Direct"/>
    <s v="1d"/>
    <x v="17"/>
    <s v="AR1X01"/>
    <s v="X"/>
    <s v="X"/>
    <s v="No Cut Off"/>
  </r>
  <r>
    <s v="Interior"/>
    <s v="San Bernardo, Buenos Aires"/>
    <x v="18"/>
    <x v="3"/>
    <x v="2"/>
    <s v="BSC"/>
    <n v="854"/>
    <s v="AR"/>
    <s v="BA"/>
    <s v="2"/>
    <s v="08"/>
    <s v="RB_FV"/>
    <s v="BA"/>
    <s v="1d"/>
    <s v="04"/>
    <s v="3PL Direct"/>
    <s v="1d"/>
    <x v="18"/>
    <s v="AR1X01"/>
    <s v="X"/>
    <s v="X"/>
    <s v="No Cut Off"/>
  </r>
  <r>
    <s v="Interior"/>
    <s v="San Clemente del Tuyu,Buenos A"/>
    <x v="19"/>
    <x v="3"/>
    <x v="2"/>
    <s v="BSC"/>
    <n v="852"/>
    <s v="AR"/>
    <s v="BA"/>
    <s v="2"/>
    <s v="09"/>
    <s v="RB_FV"/>
    <s v="BA"/>
    <s v="1d"/>
    <s v="04"/>
    <s v="3PL Direct"/>
    <s v="1d"/>
    <x v="19"/>
    <s v="AR1X01"/>
    <s v="X"/>
    <s v="X"/>
    <s v="No Cut Off"/>
  </r>
  <r>
    <s v="Interior"/>
    <s v="Villa Gessel, Buenos Aires"/>
    <x v="20"/>
    <x v="3"/>
    <x v="2"/>
    <s v="BSC"/>
    <n v="858"/>
    <s v="AR"/>
    <s v="BA"/>
    <s v="2"/>
    <s v="10"/>
    <s v="RB_FV"/>
    <s v="BA"/>
    <s v="1d"/>
    <s v="04"/>
    <s v="3PL Direct"/>
    <s v="1d"/>
    <x v="20"/>
    <s v="AR1X01"/>
    <s v="X"/>
    <s v="X"/>
    <s v="No Cut Off"/>
  </r>
  <r>
    <s v="Interior"/>
    <s v="Bahia Blanca, Buenos Aires"/>
    <x v="21"/>
    <x v="3"/>
    <x v="3"/>
    <n v="283"/>
    <n v="900"/>
    <s v="AR"/>
    <s v="BA"/>
    <s v="4"/>
    <s v="01"/>
    <s v="RB_FV"/>
    <s v="BA"/>
    <s v="1d"/>
    <s v="04"/>
    <s v="3PL Direct"/>
    <s v="1d"/>
    <x v="21"/>
    <s v="AR1X01"/>
    <s v="X"/>
    <s v="X"/>
    <s v="No Cut Off"/>
  </r>
  <r>
    <s v="Interior"/>
    <s v="9 de Julio, Buenos Aires"/>
    <x v="22"/>
    <x v="3"/>
    <x v="4"/>
    <s v="BSI"/>
    <n v="825"/>
    <s v="AR"/>
    <s v="BA"/>
    <s v="3"/>
    <s v="01"/>
    <s v="RB_FV"/>
    <s v="BA"/>
    <s v="1d"/>
    <s v="04"/>
    <s v="3PL Direct"/>
    <s v="1d"/>
    <x v="22"/>
    <s v="AR1X01"/>
    <s v="X"/>
    <s v="X"/>
    <s v="No Cut Off"/>
  </r>
  <r>
    <s v="Interior"/>
    <s v="America, Buenos Aires"/>
    <x v="23"/>
    <x v="3"/>
    <x v="4"/>
    <s v="BSI"/>
    <n v="810"/>
    <s v="AR"/>
    <s v="BA"/>
    <s v="3"/>
    <s v="02"/>
    <s v="RB_FV"/>
    <s v="BA"/>
    <s v="1d"/>
    <s v="04"/>
    <s v="3PL Direct"/>
    <s v="1d"/>
    <x v="23"/>
    <s v="AR1X01"/>
    <s v="X"/>
    <s v="X"/>
    <s v="No Cut Off"/>
  </r>
  <r>
    <s v="Interior"/>
    <s v="Azul, Buenos Aires"/>
    <x v="24"/>
    <x v="3"/>
    <x v="4"/>
    <s v="BSI"/>
    <n v="814"/>
    <s v="AR"/>
    <s v="BA"/>
    <s v="3"/>
    <s v="03"/>
    <s v="RB_FV"/>
    <s v="BA"/>
    <s v="1d"/>
    <s v="04"/>
    <s v="3PL Direct"/>
    <s v="1d"/>
    <x v="24"/>
    <s v="AR1X01"/>
    <s v="X"/>
    <s v="X"/>
    <s v="No Cut Off"/>
  </r>
  <r>
    <s v="Interior"/>
    <s v="Bragado, Buenos Aires"/>
    <x v="25"/>
    <x v="3"/>
    <x v="4"/>
    <s v="BSI"/>
    <n v="809"/>
    <s v="AR"/>
    <s v="BA"/>
    <s v="3"/>
    <s v="04"/>
    <s v="RB_FV"/>
    <s v="BA"/>
    <s v="1d"/>
    <s v="04"/>
    <s v="3PL Direct"/>
    <s v="1d"/>
    <x v="25"/>
    <s v="AR1X01"/>
    <s v="X"/>
    <s v="X"/>
    <s v="No Cut Off"/>
  </r>
  <r>
    <s v="Interior"/>
    <s v="Campana, Buenos Aires"/>
    <x v="8"/>
    <x v="3"/>
    <x v="4"/>
    <s v="BSI"/>
    <n v="862"/>
    <s v="AR"/>
    <s v="BA"/>
    <s v="3"/>
    <s v="05"/>
    <s v="RB_FV"/>
    <s v="BA"/>
    <s v="1d"/>
    <s v="04"/>
    <s v="3PL Direct"/>
    <s v="1d"/>
    <x v="26"/>
    <s v="AR1X01"/>
    <s v="X"/>
    <s v="X"/>
    <s v="No Cut Off"/>
  </r>
  <r>
    <s v="Interior"/>
    <s v="Chascomus,Buenos Aires"/>
    <x v="26"/>
    <x v="3"/>
    <x v="4"/>
    <s v="BSI"/>
    <n v="811"/>
    <s v="AR"/>
    <s v="BA"/>
    <s v="3"/>
    <s v="06"/>
    <s v="RB_FV"/>
    <s v="BA"/>
    <s v="1d"/>
    <s v="04"/>
    <s v="3PL Direct"/>
    <s v="1d"/>
    <x v="27"/>
    <s v="AR1X01"/>
    <s v="X"/>
    <s v="X"/>
    <s v="No Cut Off"/>
  </r>
  <r>
    <s v="Interior"/>
    <s v="Chivilcoy, Buenos Aires"/>
    <x v="27"/>
    <x v="3"/>
    <x v="4"/>
    <s v="BSI"/>
    <n v="830"/>
    <s v="AR"/>
    <s v="BA"/>
    <s v="3"/>
    <s v="07"/>
    <s v="RB_FV"/>
    <s v="BA"/>
    <s v="1d"/>
    <s v="04"/>
    <s v="3PL Direct"/>
    <s v="1d"/>
    <x v="28"/>
    <s v="AR1X01"/>
    <s v="X"/>
    <s v="X"/>
    <s v="No Cut Off"/>
  </r>
  <r>
    <s v="Interior"/>
    <s v="Coronel Suarez,Buenos Aires"/>
    <x v="28"/>
    <x v="3"/>
    <x v="4"/>
    <s v="BSI"/>
    <n v="813"/>
    <s v="AR"/>
    <s v="BA"/>
    <s v="3"/>
    <s v="08"/>
    <s v="RB_FV"/>
    <s v="BA"/>
    <s v="1d"/>
    <s v="04"/>
    <s v="3PL Direct"/>
    <s v="1d"/>
    <x v="29"/>
    <s v="AR1X01"/>
    <s v="X"/>
    <s v="X"/>
    <s v="No Cut Off"/>
  </r>
  <r>
    <s v="Interior"/>
    <s v="Dolores, Buenos Aires"/>
    <x v="29"/>
    <x v="3"/>
    <x v="4"/>
    <s v="BSI"/>
    <n v="850"/>
    <s v="AR"/>
    <s v="BA"/>
    <s v="3"/>
    <s v="09"/>
    <s v="RB_FV"/>
    <s v="BA"/>
    <s v="1d"/>
    <s v="04"/>
    <s v="3PL Direct"/>
    <s v="1d"/>
    <x v="30"/>
    <s v="AR1X01"/>
    <s v="X"/>
    <s v="X"/>
    <s v="No Cut Off"/>
  </r>
  <r>
    <s v="Interior"/>
    <s v="Bolivar, Buenos Aires"/>
    <x v="30"/>
    <x v="3"/>
    <x v="4"/>
    <s v="BSI"/>
    <n v="848"/>
    <s v="AR"/>
    <s v="BA"/>
    <s v="3"/>
    <s v="10"/>
    <s v="RB_FV"/>
    <s v="BA"/>
    <s v="1d"/>
    <s v="04"/>
    <s v="3PL Direct"/>
    <s v="1d"/>
    <x v="31"/>
    <s v="AR1X01"/>
    <s v="X"/>
    <s v="X"/>
    <s v="No Cut Off"/>
  </r>
  <r>
    <s v="Interior"/>
    <s v="Gral.Villegas, Buenos Aires"/>
    <x v="31"/>
    <x v="3"/>
    <x v="4"/>
    <s v="BSI"/>
    <n v="808"/>
    <s v="AR"/>
    <s v="BA"/>
    <s v="3"/>
    <s v="11"/>
    <s v="RB_FV"/>
    <s v="BA"/>
    <s v="1d"/>
    <s v="04"/>
    <s v="3PL Direct"/>
    <s v="1d"/>
    <x v="32"/>
    <s v="AR1X01"/>
    <s v="X"/>
    <s v="X"/>
    <s v="No Cut Off"/>
  </r>
  <r>
    <s v="Interior"/>
    <s v="Junin, Buenos Aires"/>
    <x v="32"/>
    <x v="3"/>
    <x v="4"/>
    <s v="BSI"/>
    <s v="lo "/>
    <s v="AR"/>
    <s v="BA"/>
    <s v="3"/>
    <s v="12"/>
    <s v="RB_FV"/>
    <s v="BA"/>
    <s v="1d"/>
    <s v="04"/>
    <s v="3PL Direct"/>
    <s v="1d"/>
    <x v="33"/>
    <s v="AR1X01"/>
    <s v="X"/>
    <s v="X"/>
    <s v="No Cut Off"/>
  </r>
  <r>
    <s v="Interior"/>
    <s v="Lincoln, Buenos Aires"/>
    <x v="33"/>
    <x v="3"/>
    <x v="4"/>
    <s v="BSI"/>
    <n v="802"/>
    <s v="AR"/>
    <s v="BA"/>
    <s v="3"/>
    <s v="13"/>
    <s v="RB_FV"/>
    <s v="BA"/>
    <s v="1d"/>
    <s v="04"/>
    <s v="3PL Direct"/>
    <s v="1d"/>
    <x v="34"/>
    <s v="AR1X01"/>
    <s v="X"/>
    <s v="X"/>
    <s v="No Cut Off"/>
  </r>
  <r>
    <s v="Interior"/>
    <s v="Loberia, Buenos Aires"/>
    <x v="34"/>
    <x v="3"/>
    <x v="4"/>
    <s v="BSI"/>
    <n v="895"/>
    <s v="AR"/>
    <s v="BA"/>
    <s v="3"/>
    <s v="14"/>
    <s v="RB_FV"/>
    <s v="BA"/>
    <s v="1d"/>
    <s v="04"/>
    <s v="3PL Direct"/>
    <s v="1d"/>
    <x v="35"/>
    <s v="AR1X01"/>
    <s v="X"/>
    <s v="X"/>
    <s v="No Cut Off"/>
  </r>
  <r>
    <s v="Interior"/>
    <s v="Olavarria, Buenos Aires"/>
    <x v="35"/>
    <x v="3"/>
    <x v="4"/>
    <s v="BSI"/>
    <n v="816"/>
    <s v="AR"/>
    <s v="BA"/>
    <s v="3"/>
    <s v="15"/>
    <s v="RB_FV"/>
    <s v="BA"/>
    <s v="1d"/>
    <s v="04"/>
    <s v="3PL Direct"/>
    <s v="1d"/>
    <x v="36"/>
    <s v="AR1X01"/>
    <s v="X"/>
    <s v="X"/>
    <s v="No Cut Off"/>
  </r>
  <r>
    <s v="Interior"/>
    <s v="Otamendi, Buenos Aires"/>
    <x v="36"/>
    <x v="3"/>
    <x v="4"/>
    <s v="BSI"/>
    <n v="875"/>
    <s v="AR"/>
    <s v="BA"/>
    <s v="3"/>
    <s v="16"/>
    <s v="RB_FV"/>
    <s v="BA"/>
    <s v="1d"/>
    <s v="04"/>
    <s v="3PL Direct"/>
    <s v="1d"/>
    <x v="37"/>
    <s v="AR1X01"/>
    <s v="X"/>
    <s v="X"/>
    <s v="No Cut Off"/>
  </r>
  <r>
    <s v="Interior"/>
    <s v="Pehuajo,Buenos Aires"/>
    <x v="37"/>
    <x v="3"/>
    <x v="4"/>
    <s v="BSI"/>
    <n v="817"/>
    <s v="AR"/>
    <s v="BA"/>
    <s v="3"/>
    <s v="17"/>
    <s v="RB_FV"/>
    <s v="BA"/>
    <s v="1d"/>
    <s v="04"/>
    <s v="3PL Direct"/>
    <s v="1d"/>
    <x v="38"/>
    <s v="AR1X01"/>
    <s v="X"/>
    <s v="X"/>
    <s v="No Cut Off"/>
  </r>
  <r>
    <s v="Interior"/>
    <s v="Pergamino, Buenos Aires"/>
    <x v="38"/>
    <x v="3"/>
    <x v="4"/>
    <s v="BSI"/>
    <n v="755"/>
    <s v="AR"/>
    <s v="BA"/>
    <s v="3"/>
    <s v="18"/>
    <s v="RB_FV"/>
    <s v="BA"/>
    <s v="1d"/>
    <s v="04"/>
    <s v="3PL Direct"/>
    <s v="1d"/>
    <x v="39"/>
    <s v="AR1X01"/>
    <s v="X"/>
    <s v="X"/>
    <s v="No Cut Off"/>
  </r>
  <r>
    <s v="Interior"/>
    <s v="Pigue, Buenos Aires"/>
    <x v="39"/>
    <x v="3"/>
    <x v="4"/>
    <s v="BSI"/>
    <n v="902"/>
    <s v="AR"/>
    <s v="BA"/>
    <s v="3"/>
    <s v="19"/>
    <s v="RB_FV"/>
    <s v="BA"/>
    <s v="1d"/>
    <s v="04"/>
    <s v="3PL Direct"/>
    <s v="1d"/>
    <x v="40"/>
    <s v="AR1X01"/>
    <s v="X"/>
    <s v="X"/>
    <s v="No Cut Off"/>
  </r>
  <r>
    <s v="Interior"/>
    <s v="Saladillo, Buenos Aires"/>
    <x v="40"/>
    <x v="3"/>
    <x v="4"/>
    <s v="BSI"/>
    <n v="812"/>
    <s v="AR"/>
    <s v="BA"/>
    <s v="3"/>
    <s v="20"/>
    <s v="RB_FV"/>
    <s v="BA"/>
    <s v="1d"/>
    <s v="04"/>
    <s v="3PL Direct"/>
    <s v="1d"/>
    <x v="41"/>
    <s v="AR1X01"/>
    <s v="X"/>
    <s v="X"/>
    <s v="No Cut Off"/>
  </r>
  <r>
    <s v="Interior"/>
    <s v="Tandil, Buenos Aires"/>
    <x v="41"/>
    <x v="3"/>
    <x v="4"/>
    <s v="BSI"/>
    <n v="840"/>
    <s v="AR"/>
    <s v="BA"/>
    <s v="3"/>
    <s v="21"/>
    <s v="RB_FV"/>
    <s v="BA"/>
    <s v="1d"/>
    <s v="04"/>
    <s v="3PL Direct"/>
    <s v="1d"/>
    <x v="42"/>
    <s v="AR1X01"/>
    <s v="X"/>
    <s v="X"/>
    <s v="No Cut Off"/>
  </r>
  <r>
    <s v="Interior"/>
    <s v="Tres Arroyos, Buenos Aires"/>
    <x v="42"/>
    <x v="3"/>
    <x v="4"/>
    <s v="BSI"/>
    <n v="818"/>
    <s v="AR"/>
    <s v="BA"/>
    <s v="3"/>
    <s v="22"/>
    <s v="RB_FV"/>
    <s v="BA"/>
    <s v="1d"/>
    <s v="04"/>
    <s v="3PL Direct"/>
    <s v="1d"/>
    <x v="43"/>
    <s v="AR1X01"/>
    <s v="X"/>
    <s v="X"/>
    <s v="No Cut Off"/>
  </r>
  <r>
    <s v="Interior"/>
    <s v="Vedia BS AS"/>
    <x v="43"/>
    <x v="3"/>
    <x v="4"/>
    <s v="BSI"/>
    <n v="819"/>
    <s v="AR"/>
    <s v="BA"/>
    <s v="3"/>
    <s v="23"/>
    <s v="RB_FV"/>
    <s v="BA"/>
    <s v="1d"/>
    <s v="04"/>
    <s v="3PL Direct"/>
    <s v="1d"/>
    <x v="44"/>
    <s v="AR1X01"/>
    <s v="X"/>
    <s v="X"/>
    <s v="No Cut Off"/>
  </r>
  <r>
    <s v="Interior"/>
    <s v="San Nicolas, Buenos Aires"/>
    <x v="44"/>
    <x v="3"/>
    <x v="5"/>
    <n v="342"/>
    <n v="775"/>
    <s v="AR"/>
    <s v="BA"/>
    <s v="3"/>
    <s v="24"/>
    <s v="RB_FV"/>
    <s v="BA"/>
    <s v="1d"/>
    <s v="04"/>
    <s v="3PL Direct"/>
    <s v="1d"/>
    <x v="45"/>
    <s v="AR1X01"/>
    <s v="X"/>
    <s v="X"/>
    <s v="No Cut Off"/>
  </r>
  <r>
    <s v="Interior"/>
    <s v="Trenque Lauquen"/>
    <x v="45"/>
    <x v="3"/>
    <x v="4"/>
    <s v="BSI"/>
    <s v="010"/>
    <s v="AR"/>
    <s v="BA"/>
    <s v="3"/>
    <s v="25"/>
    <s v="RB_FV"/>
    <s v="BA"/>
    <s v="1d"/>
    <s v="04"/>
    <s v="3PL Direct"/>
    <s v="1d"/>
    <x v="46"/>
    <s v="AR1X01"/>
    <s v="X"/>
    <s v="X"/>
    <s v="No 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1"/>
    <s v="Road/Truck"/>
    <s v="7d"/>
    <x v="47"/>
    <s v="AR1X07"/>
    <s v="X"/>
    <s v="X"/>
    <s v="Cut Off"/>
  </r>
  <r>
    <s v="Interior"/>
    <s v="Catamarca, Catamarca"/>
    <x v="46"/>
    <x v="4"/>
    <x v="6"/>
    <n v="354"/>
    <n v="470"/>
    <s v="AR"/>
    <s v="CA"/>
    <s v="1"/>
    <s v="01"/>
    <s v="RB_FV"/>
    <s v="CA"/>
    <s v="1d"/>
    <s v="04"/>
    <s v="3PL Direct"/>
    <s v="2d"/>
    <x v="47"/>
    <s v="AR1X02"/>
    <s v="X"/>
    <s v="X"/>
    <s v="No 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1"/>
    <s v="Road/Truck"/>
    <s v="7d"/>
    <x v="48"/>
    <s v="AR1X07"/>
    <s v="X"/>
    <s v="X"/>
    <s v="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1"/>
    <s v="Road/Truck"/>
    <s v="7d"/>
    <x v="49"/>
    <s v="AR1X07"/>
    <s v="X"/>
    <s v="X"/>
    <s v="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1"/>
    <s v="Road/Truck"/>
    <s v="7d"/>
    <x v="50"/>
    <s v="AR1X07"/>
    <s v="X"/>
    <s v="X"/>
    <s v="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1"/>
    <s v="Road/Truck"/>
    <s v="7d"/>
    <x v="51"/>
    <s v="AR1X07"/>
    <s v="X"/>
    <s v="X"/>
    <s v="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1"/>
    <s v="Road/Truck"/>
    <s v="7d"/>
    <x v="52"/>
    <s v="AR1X07"/>
    <s v="X"/>
    <s v="X"/>
    <s v="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1"/>
    <s v="Road/Truck"/>
    <s v="7d"/>
    <x v="53"/>
    <s v="AR1X07"/>
    <s v="X"/>
    <s v="X"/>
    <s v="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1"/>
    <s v="Road/Truck"/>
    <s v="7d"/>
    <x v="54"/>
    <s v="AR1X07"/>
    <s v="X"/>
    <s v="X"/>
    <s v="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1"/>
    <s v="Road/Truck"/>
    <s v="7d"/>
    <x v="55"/>
    <s v="AR1X07"/>
    <s v="X"/>
    <s v="X"/>
    <s v="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1"/>
    <s v="Road/Truck"/>
    <s v="7d"/>
    <x v="56"/>
    <s v="AR1X07"/>
    <s v="X"/>
    <s v="X"/>
    <s v="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1"/>
    <s v="Road/Truck"/>
    <s v="7d"/>
    <x v="57"/>
    <s v="AR1X07"/>
    <s v="X"/>
    <s v="X"/>
    <s v="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1"/>
    <s v="Road/Truck"/>
    <s v="7d"/>
    <x v="58"/>
    <s v="AR1X07"/>
    <s v="X"/>
    <s v="X"/>
    <s v="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1"/>
    <s v="Road/Truck"/>
    <s v="7d"/>
    <x v="59"/>
    <s v="AR1X07"/>
    <s v="X"/>
    <s v="X"/>
    <s v="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1"/>
    <s v="Road/Truck"/>
    <s v="7d"/>
    <x v="60"/>
    <s v="AR1X07"/>
    <s v="X"/>
    <s v="X"/>
    <s v="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1"/>
    <s v="Road/Truck"/>
    <s v="7d"/>
    <x v="61"/>
    <s v="AR1X07"/>
    <s v="X"/>
    <s v="X"/>
    <s v="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1"/>
    <s v="Road/Truck"/>
    <s v="7d"/>
    <x v="62"/>
    <s v="AR1X07"/>
    <s v="X"/>
    <s v="X"/>
    <s v="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1"/>
    <s v="Road/Truck"/>
    <s v="7d"/>
    <x v="63"/>
    <s v="AR1X07"/>
    <s v="X"/>
    <s v="X"/>
    <s v="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1"/>
    <s v="Road/Truck"/>
    <s v="7d"/>
    <x v="64"/>
    <s v="AR1X07"/>
    <s v="X"/>
    <s v="X"/>
    <s v="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1"/>
    <s v="Road/Truck"/>
    <s v="7d"/>
    <x v="65"/>
    <s v="AR1X07"/>
    <s v="X"/>
    <s v="X"/>
    <s v="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1"/>
    <s v="Road/Truck"/>
    <s v="7d"/>
    <x v="66"/>
    <s v="AR1X07"/>
    <s v="X"/>
    <s v="X"/>
    <s v="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1"/>
    <s v="Road/Truck"/>
    <s v="7d"/>
    <x v="67"/>
    <s v="AR1X07"/>
    <s v="X"/>
    <s v="X"/>
    <s v="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1"/>
    <s v="Road/Truck"/>
    <s v="7d"/>
    <x v="68"/>
    <s v="AR1X07"/>
    <s v="X"/>
    <s v="X"/>
    <s v="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1"/>
    <s v="Road/Truck"/>
    <s v="7d"/>
    <x v="69"/>
    <s v="AR1X07"/>
    <s v="X"/>
    <s v="X"/>
    <s v="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1"/>
    <s v="Road/Truck"/>
    <s v="7d"/>
    <x v="70"/>
    <s v="AR1X07"/>
    <s v="X"/>
    <s v="X"/>
    <s v="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1"/>
    <s v="Road/Truck"/>
    <s v="7d"/>
    <x v="71"/>
    <s v="AR1X07"/>
    <s v="X"/>
    <s v="X"/>
    <s v="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1"/>
    <s v="Road/Truck"/>
    <s v="7d"/>
    <x v="72"/>
    <s v="AR1X07"/>
    <s v="X"/>
    <s v="X"/>
    <s v="Cut Off"/>
  </r>
  <r>
    <s v="Interior"/>
    <s v="Alta Gracia, Cordoba  "/>
    <x v="47"/>
    <x v="5"/>
    <x v="7"/>
    <n v="351"/>
    <n v="607"/>
    <s v="AR"/>
    <s v="CB"/>
    <s v="1"/>
    <s v="01"/>
    <s v="RB_FV"/>
    <s v="CB"/>
    <s v="1d"/>
    <s v="04"/>
    <s v="3PL Direct"/>
    <s v="1d"/>
    <x v="48"/>
    <s v="AR1X01"/>
    <s v="X"/>
    <s v="X"/>
    <s v="No Cut Off"/>
  </r>
  <r>
    <s v="Interior"/>
    <s v="Arguello, Cordoba"/>
    <x v="48"/>
    <x v="5"/>
    <x v="7"/>
    <n v="351"/>
    <n v="635"/>
    <s v="AR"/>
    <s v="CB"/>
    <s v="1"/>
    <s v="02"/>
    <s v="RB_FV"/>
    <s v="CB"/>
    <s v="1d"/>
    <s v="04"/>
    <s v="3PL Direct"/>
    <s v="1d"/>
    <x v="49"/>
    <s v="AR1X01"/>
    <s v="X"/>
    <s v="X"/>
    <s v="No Cut Off"/>
  </r>
  <r>
    <s v="Interior"/>
    <s v="Arroyito, Cordoba"/>
    <x v="49"/>
    <x v="5"/>
    <x v="7"/>
    <n v="351"/>
    <n v="725"/>
    <s v="AR"/>
    <s v="CB"/>
    <s v="1"/>
    <s v="03"/>
    <s v="RB_FV"/>
    <s v="CB"/>
    <s v="1d"/>
    <s v="04"/>
    <s v="3PL Direct"/>
    <s v="1d"/>
    <x v="50"/>
    <s v="AR1X01"/>
    <s v="X"/>
    <s v="X"/>
    <s v="No Cut Off"/>
  </r>
  <r>
    <s v="Interior"/>
    <s v="B.Villa Cabrera"/>
    <x v="50"/>
    <x v="5"/>
    <x v="7"/>
    <n v="351"/>
    <n v="627"/>
    <s v="AR"/>
    <s v="CB"/>
    <s v="1"/>
    <s v="04"/>
    <s v="RB_FV"/>
    <s v="CB"/>
    <s v="1d"/>
    <s v="04"/>
    <s v="3PL Direct"/>
    <s v="1d"/>
    <x v="51"/>
    <s v="AR1X01"/>
    <s v="X"/>
    <s v="X"/>
    <s v="No Cut Off"/>
  </r>
  <r>
    <s v="Interior"/>
    <s v="Barrio Alto Verde"/>
    <x v="51"/>
    <x v="5"/>
    <x v="7"/>
    <n v="351"/>
    <n v="628"/>
    <s v="AR"/>
    <s v="CB"/>
    <s v="1"/>
    <s v="05"/>
    <s v="RB_FV"/>
    <s v="CB"/>
    <s v="1d"/>
    <s v="04"/>
    <s v="3PL Direct"/>
    <s v="1d"/>
    <x v="52"/>
    <s v="AR1X01"/>
    <s v="X"/>
    <s v="X"/>
    <s v="No Cut Off"/>
  </r>
  <r>
    <s v="Interior"/>
    <s v="Camino Colonia Tirolesa, Cordo"/>
    <x v="52"/>
    <x v="5"/>
    <x v="7"/>
    <n v="351"/>
    <n v="605"/>
    <s v="AR"/>
    <s v="CB"/>
    <s v="1"/>
    <s v="06"/>
    <s v="RB_FV"/>
    <s v="CB"/>
    <s v="1d"/>
    <s v="04"/>
    <s v="3PL Direct"/>
    <s v="1d"/>
    <x v="53"/>
    <s v="AR1X01"/>
    <s v="X"/>
    <s v="X"/>
    <s v="No Cut Off"/>
  </r>
  <r>
    <s v="Interior"/>
    <s v="Colonia Caroya, Cordoba"/>
    <x v="53"/>
    <x v="5"/>
    <x v="7"/>
    <n v="351"/>
    <n v="650"/>
    <s v="AR"/>
    <s v="CB"/>
    <s v="1"/>
    <s v="07"/>
    <s v="RB_FV"/>
    <s v="CB"/>
    <s v="1d"/>
    <s v="04"/>
    <s v="3PL Direct"/>
    <s v="1d"/>
    <x v="54"/>
    <s v="AR1X01"/>
    <s v="X"/>
    <s v="X"/>
    <s v="No Cut Off"/>
  </r>
  <r>
    <s v="Interior"/>
    <s v="Cordoba, Cordoba"/>
    <x v="54"/>
    <x v="5"/>
    <x v="7"/>
    <n v="351"/>
    <n v="600"/>
    <s v="AR"/>
    <s v="CB"/>
    <s v="1"/>
    <s v="08"/>
    <s v="RB_FV"/>
    <s v="CB"/>
    <s v="1d"/>
    <s v="04"/>
    <s v="3PL Direct"/>
    <s v="1d"/>
    <x v="55"/>
    <s v="AR1X01"/>
    <s v="X"/>
    <s v="X"/>
    <s v="No Cut Off"/>
  </r>
  <r>
    <s v="Interior"/>
    <s v="Corral de Bustos, Cordoba"/>
    <x v="55"/>
    <x v="5"/>
    <x v="7"/>
    <n v="351"/>
    <n v="680"/>
    <s v="AR"/>
    <s v="CB"/>
    <s v="1"/>
    <s v="09"/>
    <s v="RB_FV"/>
    <s v="CB"/>
    <s v="1d"/>
    <s v="04"/>
    <s v="3PL Direct"/>
    <s v="1d"/>
    <x v="56"/>
    <s v="AR1X01"/>
    <s v="X"/>
    <s v="X"/>
    <s v="No Cut Off"/>
  </r>
  <r>
    <s v="Interior"/>
    <s v="Cosquin, Cordoba"/>
    <x v="56"/>
    <x v="5"/>
    <x v="7"/>
    <n v="351"/>
    <n v="610"/>
    <s v="AR"/>
    <s v="CB"/>
    <s v="1"/>
    <s v="10"/>
    <s v="RB_FV"/>
    <s v="CB"/>
    <s v="1d"/>
    <s v="04"/>
    <s v="3PL Direct"/>
    <s v="1d"/>
    <x v="57"/>
    <s v="AR1X01"/>
    <s v="X"/>
    <s v="X"/>
    <s v="No Cut Off"/>
  </r>
  <r>
    <s v="Interior"/>
    <s v="Embalse Rio Tercero, Cordoba"/>
    <x v="57"/>
    <x v="5"/>
    <x v="7"/>
    <n v="351"/>
    <n v="670"/>
    <s v="AR"/>
    <s v="CB"/>
    <s v="1"/>
    <s v="11"/>
    <s v="RB_FV"/>
    <s v="CB"/>
    <s v="1d"/>
    <s v="04"/>
    <s v="3PL Direct"/>
    <s v="1d"/>
    <x v="58"/>
    <s v="AR1X01"/>
    <s v="X"/>
    <s v="X"/>
    <s v="No Cut Off"/>
  </r>
  <r>
    <s v="Interior"/>
    <s v="Jesus Maria, Cordoba"/>
    <x v="58"/>
    <x v="5"/>
    <x v="7"/>
    <n v="351"/>
    <n v="645"/>
    <s v="AR"/>
    <s v="CB"/>
    <s v="1"/>
    <s v="12"/>
    <s v="RB_FV"/>
    <s v="CB"/>
    <s v="1d"/>
    <s v="04"/>
    <s v="3PL Direct"/>
    <s v="1d"/>
    <x v="59"/>
    <s v="AR1X01"/>
    <s v="X"/>
    <s v="X"/>
    <s v="No Cut Off"/>
  </r>
  <r>
    <s v="Interior"/>
    <s v="Las Peyas, Cordoba"/>
    <x v="59"/>
    <x v="5"/>
    <x v="7"/>
    <n v="351"/>
    <n v="660"/>
    <s v="AR"/>
    <s v="CB"/>
    <s v="1"/>
    <s v="13"/>
    <s v="RB_FV"/>
    <s v="CB"/>
    <s v="1d"/>
    <s v="04"/>
    <s v="3PL Direct"/>
    <s v="1d"/>
    <x v="60"/>
    <s v="AR1X01"/>
    <s v="X"/>
    <s v="X"/>
    <s v="No Cut Off"/>
  </r>
  <r>
    <s v="Interior"/>
    <s v="Monte Cristo, Cordoba"/>
    <x v="60"/>
    <x v="5"/>
    <x v="7"/>
    <n v="351"/>
    <n v="625"/>
    <s v="AR"/>
    <s v="CB"/>
    <s v="1"/>
    <s v="14"/>
    <s v="RB_FV"/>
    <s v="CB"/>
    <s v="1d"/>
    <s v="04"/>
    <s v="3PL Direct"/>
    <s v="1d"/>
    <x v="61"/>
    <s v="AR1X01"/>
    <s v="X"/>
    <s v="X"/>
    <s v="No Cut Off"/>
  </r>
  <r>
    <s v="Interior"/>
    <s v="Obispo Trejo, Cordoba"/>
    <x v="61"/>
    <x v="5"/>
    <x v="7"/>
    <n v="351"/>
    <n v="655"/>
    <s v="AR"/>
    <s v="CB"/>
    <s v="1"/>
    <s v="15"/>
    <s v="RB_FV"/>
    <s v="CB"/>
    <s v="1d"/>
    <s v="04"/>
    <s v="3PL Direct"/>
    <s v="1d"/>
    <x v="62"/>
    <s v="AR1X01"/>
    <s v="X"/>
    <s v="X"/>
    <s v="No Cut Off"/>
  </r>
  <r>
    <s v="Interior"/>
    <s v="Rio Ceballos, Cordoba"/>
    <x v="62"/>
    <x v="5"/>
    <x v="7"/>
    <n v="351"/>
    <n v="620"/>
    <s v="AR"/>
    <s v="CB"/>
    <s v="1"/>
    <s v="16"/>
    <s v="RB_FV"/>
    <s v="CB"/>
    <s v="1d"/>
    <s v="04"/>
    <s v="3PL Direct"/>
    <s v="1d"/>
    <x v="63"/>
    <s v="AR1X01"/>
    <s v="X"/>
    <s v="X"/>
    <s v="No Cut Off"/>
  </r>
  <r>
    <s v="Interior"/>
    <s v="Rio Cuarto, Cordoba"/>
    <x v="63"/>
    <x v="5"/>
    <x v="7"/>
    <n v="351"/>
    <n v="662"/>
    <s v="AR"/>
    <s v="CB"/>
    <s v="1"/>
    <s v="17"/>
    <s v="RB_FV"/>
    <s v="CB"/>
    <s v="1d"/>
    <s v="04"/>
    <s v="3PL Direct"/>
    <s v="1d"/>
    <x v="64"/>
    <s v="AR1X01"/>
    <s v="X"/>
    <s v="X"/>
    <s v="No Cut Off"/>
  </r>
  <r>
    <s v="Interior"/>
    <s v="Rio Tercero, Cordoba"/>
    <x v="64"/>
    <x v="5"/>
    <x v="7"/>
    <n v="351"/>
    <n v="665"/>
    <s v="AR"/>
    <s v="CB"/>
    <s v="1"/>
    <s v="18"/>
    <s v="RB_FV"/>
    <s v="CB"/>
    <s v="1d"/>
    <s v="04"/>
    <s v="3PL Direct"/>
    <s v="1d"/>
    <x v="65"/>
    <s v="AR1X01"/>
    <s v="X"/>
    <s v="X"/>
    <s v="No Cut Off"/>
  </r>
  <r>
    <s v="Interior"/>
    <s v="San Francisco, Cordoba"/>
    <x v="65"/>
    <x v="5"/>
    <x v="7"/>
    <n v="351"/>
    <n v="720"/>
    <s v="AR"/>
    <s v="CB"/>
    <s v="1"/>
    <s v="19"/>
    <s v="RB_FV"/>
    <s v="CB"/>
    <s v="1d"/>
    <s v="04"/>
    <s v="3PL Direct"/>
    <s v="1d"/>
    <x v="66"/>
    <s v="AR1X01"/>
    <s v="X"/>
    <s v="X"/>
    <s v="No Cut Off"/>
  </r>
  <r>
    <s v="Interior"/>
    <s v="San Francisco Del Chanar"/>
    <x v="66"/>
    <x v="5"/>
    <x v="7"/>
    <n v="351"/>
    <n v="657"/>
    <s v="AR"/>
    <s v="CB"/>
    <s v="1"/>
    <s v="20"/>
    <s v="RB_FV"/>
    <s v="CB"/>
    <s v="1d"/>
    <s v="04"/>
    <s v="3PL Direct"/>
    <s v="1d"/>
    <x v="67"/>
    <s v="AR1X01"/>
    <s v="X"/>
    <s v="X"/>
    <s v="No Cut Off"/>
  </r>
  <r>
    <s v="Interior"/>
    <s v="Santa Rosa de Rio Primero,Cord"/>
    <x v="67"/>
    <x v="5"/>
    <x v="7"/>
    <n v="351"/>
    <n v="630"/>
    <s v="AR"/>
    <s v="CB"/>
    <s v="1"/>
    <s v="21"/>
    <s v="RB_FV"/>
    <s v="CB"/>
    <s v="1d"/>
    <s v="04"/>
    <s v="3PL Direct"/>
    <s v="1d"/>
    <x v="68"/>
    <s v="AR1X01"/>
    <s v="X"/>
    <s v="X"/>
    <s v="No Cut Off"/>
  </r>
  <r>
    <s v="Interior"/>
    <s v="Unquillo, Cordoba"/>
    <x v="68"/>
    <x v="5"/>
    <x v="7"/>
    <n v="351"/>
    <n v="615"/>
    <s v="AR"/>
    <s v="CB"/>
    <s v="1"/>
    <s v="22"/>
    <s v="RB_FV"/>
    <s v="CB"/>
    <s v="1d"/>
    <s v="04"/>
    <s v="3PL Direct"/>
    <s v="1d"/>
    <x v="69"/>
    <s v="AR1X01"/>
    <s v="X"/>
    <s v="X"/>
    <s v="No Cut Off"/>
  </r>
  <r>
    <s v="Interior"/>
    <s v="Villa Carlos Paz, Cordoba"/>
    <x v="69"/>
    <x v="5"/>
    <x v="7"/>
    <n v="351"/>
    <n v="640"/>
    <s v="AR"/>
    <s v="CB"/>
    <s v="1"/>
    <s v="23"/>
    <s v="RB_FV"/>
    <s v="CB"/>
    <s v="1d"/>
    <s v="04"/>
    <s v="3PL Direct"/>
    <s v="1d"/>
    <x v="70"/>
    <s v="AR1X01"/>
    <s v="X"/>
    <s v="X"/>
    <s v="No Cut Off"/>
  </r>
  <r>
    <s v="Interior"/>
    <s v="Villa del Rosario, Cordoba"/>
    <x v="70"/>
    <x v="5"/>
    <x v="7"/>
    <n v="351"/>
    <n v="685"/>
    <s v="AR"/>
    <s v="CB"/>
    <s v="1"/>
    <s v="24"/>
    <s v="RB_FV"/>
    <s v="CB"/>
    <s v="1d"/>
    <s v="04"/>
    <s v="3PL Direct"/>
    <s v="1d"/>
    <x v="71"/>
    <s v="AR1X01"/>
    <s v="X"/>
    <s v="X"/>
    <s v="No Cut Off"/>
  </r>
  <r>
    <s v="Interior"/>
    <s v="Villa Maria, Cordoba"/>
    <x v="71"/>
    <x v="5"/>
    <x v="7"/>
    <n v="351"/>
    <n v="675"/>
    <s v="AR"/>
    <s v="CB"/>
    <s v="1"/>
    <s v="25"/>
    <s v="RB_FV"/>
    <s v="CB"/>
    <s v="1d"/>
    <s v="04"/>
    <s v="3PL Direct"/>
    <s v="1d"/>
    <x v="72"/>
    <s v="AR1X01"/>
    <s v="X"/>
    <s v="X"/>
    <s v="No 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1"/>
    <s v="Road/Truck"/>
    <s v="7d"/>
    <x v="73"/>
    <s v="AR1X07"/>
    <s v="X"/>
    <s v="X"/>
    <s v="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1"/>
    <s v="Road/Truck"/>
    <s v="7d"/>
    <x v="74"/>
    <s v="AR1X07"/>
    <s v="X"/>
    <s v="X"/>
    <s v="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1"/>
    <s v="Road/Truck"/>
    <s v="7d"/>
    <x v="75"/>
    <s v="AR1X07"/>
    <s v="X"/>
    <s v="X"/>
    <s v="Cut Off"/>
  </r>
  <r>
    <s v="Interior"/>
    <s v="Corrientes, Corrientes"/>
    <x v="72"/>
    <x v="6"/>
    <x v="8"/>
    <n v="361"/>
    <n v="330"/>
    <s v="AR"/>
    <s v="CR"/>
    <s v="1"/>
    <s v="01"/>
    <s v="RB_FV"/>
    <s v="CR"/>
    <s v="1d"/>
    <s v="04"/>
    <s v="3PL Direct"/>
    <s v="2d"/>
    <x v="73"/>
    <s v="AR1X02"/>
    <s v="X"/>
    <s v="X"/>
    <s v="No Cut Off"/>
  </r>
  <r>
    <s v="Interior"/>
    <s v="Goya ,Corrientes"/>
    <x v="73"/>
    <x v="6"/>
    <x v="8"/>
    <n v="361"/>
    <n v="335"/>
    <s v="AR"/>
    <s v="CR"/>
    <s v="1"/>
    <s v="02"/>
    <s v="RB_FV"/>
    <s v="CR"/>
    <s v="1d"/>
    <s v="04"/>
    <s v="3PL Direct"/>
    <s v="2d"/>
    <x v="74"/>
    <s v="AR1X02"/>
    <s v="X"/>
    <s v="X"/>
    <s v="No Cut Off"/>
  </r>
  <r>
    <s v="Interior"/>
    <s v="Paso de los Libres,Corrientes"/>
    <x v="74"/>
    <x v="6"/>
    <x v="8"/>
    <n v="361"/>
    <n v="285"/>
    <s v="AR"/>
    <s v="CR"/>
    <s v="1"/>
    <s v="03"/>
    <s v="RB_FV"/>
    <s v="CR"/>
    <s v="1d"/>
    <s v="04"/>
    <s v="3PL Direct"/>
    <s v="2d"/>
    <x v="75"/>
    <s v="AR1X02"/>
    <s v="X"/>
    <s v="X"/>
    <s v="No 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1"/>
    <s v="Road/Truck"/>
    <s v="6d"/>
    <x v="76"/>
    <s v="AR1X06"/>
    <s v="X"/>
    <s v="X"/>
    <s v="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1"/>
    <s v="Road/Truck"/>
    <s v="6d"/>
    <x v="77"/>
    <s v="AR1X06"/>
    <s v="X"/>
    <s v="X"/>
    <s v="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1"/>
    <s v="Road/Truck"/>
    <s v="6d"/>
    <x v="78"/>
    <s v="AR1X06"/>
    <s v="X"/>
    <s v="X"/>
    <s v="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1"/>
    <s v="Road/Truck"/>
    <s v="6d"/>
    <x v="79"/>
    <s v="AR1X06"/>
    <s v="X"/>
    <s v="X"/>
    <s v="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1"/>
    <s v="Road/Truck"/>
    <s v="6d"/>
    <x v="80"/>
    <s v="AR1X06"/>
    <s v="X"/>
    <s v="X"/>
    <s v="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1"/>
    <s v="Road/Truck"/>
    <s v="6d"/>
    <x v="81"/>
    <s v="AR1X06"/>
    <s v="X"/>
    <s v="X"/>
    <s v="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1"/>
    <s v="Road/Truck"/>
    <s v="6d"/>
    <x v="82"/>
    <s v="AR1X06"/>
    <s v="X"/>
    <s v="X"/>
    <s v="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1"/>
    <s v="Road/Truck"/>
    <s v="6d"/>
    <x v="83"/>
    <s v="AR1X06"/>
    <s v="X"/>
    <s v="X"/>
    <s v="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1"/>
    <s v="Road/Truck"/>
    <s v="6d"/>
    <x v="84"/>
    <s v="AR1X06"/>
    <s v="X"/>
    <s v="X"/>
    <s v="Cut Off"/>
  </r>
  <r>
    <s v="Interior"/>
    <s v="Mesopotamia 1"/>
    <x v="84"/>
    <x v="7"/>
    <x v="9"/>
    <n v="347"/>
    <n v="343"/>
    <s v="AR"/>
    <s v="ER"/>
    <s v="1"/>
    <s v="10"/>
    <s v="RB_FV"/>
    <s v="ER"/>
    <s v="1d"/>
    <s v="01"/>
    <s v="Road/Truck"/>
    <s v="6d"/>
    <x v="85"/>
    <s v="AR1X06"/>
    <s v="X"/>
    <s v="X"/>
    <s v="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1"/>
    <s v="Road/Truck"/>
    <s v="6d"/>
    <x v="86"/>
    <s v="AR1X06"/>
    <s v="X"/>
    <s v="X"/>
    <s v="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1"/>
    <s v="Road/Truck"/>
    <s v="6d"/>
    <x v="87"/>
    <s v="AR1X06"/>
    <s v="X"/>
    <s v="X"/>
    <s v="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1"/>
    <s v="Road/Truck"/>
    <s v="6d"/>
    <x v="88"/>
    <s v="AR1X06"/>
    <s v="X"/>
    <s v="X"/>
    <s v="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1"/>
    <s v="Road/Truck"/>
    <s v="6d"/>
    <x v="89"/>
    <s v="AR1X06"/>
    <s v="X"/>
    <s v="X"/>
    <s v="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1"/>
    <s v="Road/Truck"/>
    <s v="6d"/>
    <x v="90"/>
    <s v="AR1X06"/>
    <s v="X"/>
    <s v="X"/>
    <s v="Cut Off"/>
  </r>
  <r>
    <s v="Interior"/>
    <s v="Chajari, Entre Rios"/>
    <x v="75"/>
    <x v="7"/>
    <x v="9"/>
    <n v="347"/>
    <n v="280"/>
    <s v="AR"/>
    <s v="ER"/>
    <s v="1"/>
    <s v="01"/>
    <s v="RB_FV"/>
    <s v="ER"/>
    <s v="1d"/>
    <s v="04"/>
    <s v="3PL Direct"/>
    <s v="1d"/>
    <x v="76"/>
    <s v="AR1X01"/>
    <s v="X"/>
    <s v="X"/>
    <s v="No Cut Off"/>
  </r>
  <r>
    <s v="Interior"/>
    <s v="Colon, Entre Rios"/>
    <x v="76"/>
    <x v="7"/>
    <x v="9"/>
    <n v="347"/>
    <n v="298"/>
    <s v="AR"/>
    <s v="ER"/>
    <s v="1"/>
    <s v="02"/>
    <s v="RB_FV"/>
    <s v="ER"/>
    <s v="1d"/>
    <s v="04"/>
    <s v="3PL Direct"/>
    <s v="1d"/>
    <x v="77"/>
    <s v="AR1X01"/>
    <s v="X"/>
    <s v="X"/>
    <s v="No Cut Off"/>
  </r>
  <r>
    <s v="Interior"/>
    <s v="Concepcion del Uruguay,Entre R"/>
    <x v="77"/>
    <x v="7"/>
    <x v="9"/>
    <n v="347"/>
    <n v="293"/>
    <s v="AR"/>
    <s v="ER"/>
    <s v="1"/>
    <s v="03"/>
    <s v="RB_FV"/>
    <s v="ER"/>
    <s v="1d"/>
    <s v="04"/>
    <s v="3PL Direct"/>
    <s v="1d"/>
    <x v="78"/>
    <s v="AR1X01"/>
    <s v="X"/>
    <s v="X"/>
    <s v="No Cut Off"/>
  </r>
  <r>
    <s v="Interior"/>
    <s v="Concordia, Entre Rios"/>
    <x v="78"/>
    <x v="7"/>
    <x v="9"/>
    <n v="347"/>
    <n v="277"/>
    <s v="AR"/>
    <s v="ER"/>
    <s v="1"/>
    <s v="04"/>
    <s v="RB_FV"/>
    <s v="ER"/>
    <s v="1d"/>
    <s v="04"/>
    <s v="3PL Direct"/>
    <s v="1d"/>
    <x v="79"/>
    <s v="AR1X01"/>
    <s v="X"/>
    <s v="X"/>
    <s v="No Cut Off"/>
  </r>
  <r>
    <s v="Interior"/>
    <s v="Crespo, Entre Rios"/>
    <x v="79"/>
    <x v="7"/>
    <x v="9"/>
    <n v="347"/>
    <n v="250"/>
    <s v="AR"/>
    <s v="ER"/>
    <s v="1"/>
    <s v="05"/>
    <s v="RB_FV"/>
    <s v="ER"/>
    <s v="1d"/>
    <s v="04"/>
    <s v="3PL Direct"/>
    <s v="1d"/>
    <x v="80"/>
    <s v="AR1X01"/>
    <s v="X"/>
    <s v="X"/>
    <s v="No Cut Off"/>
  </r>
  <r>
    <s v="Interior"/>
    <s v="Diamante, Entre Rios"/>
    <x v="80"/>
    <x v="7"/>
    <x v="9"/>
    <n v="347"/>
    <n v="245"/>
    <s v="AR"/>
    <s v="ER"/>
    <s v="1"/>
    <s v="06"/>
    <s v="RB_FV"/>
    <s v="ER"/>
    <s v="1d"/>
    <s v="04"/>
    <s v="3PL Direct"/>
    <s v="1d"/>
    <x v="81"/>
    <s v="AR1X01"/>
    <s v="X"/>
    <s v="X"/>
    <s v="No Cut Off"/>
  </r>
  <r>
    <s v="Interior"/>
    <s v="Gualeguay, Entre Rios"/>
    <x v="81"/>
    <x v="7"/>
    <x v="9"/>
    <n v="347"/>
    <n v="235"/>
    <s v="AR"/>
    <s v="ER"/>
    <s v="1"/>
    <s v="07"/>
    <s v="RB_FV"/>
    <s v="ER"/>
    <s v="1d"/>
    <s v="04"/>
    <s v="3PL Direct"/>
    <s v="1d"/>
    <x v="82"/>
    <s v="AR1X01"/>
    <s v="X"/>
    <s v="X"/>
    <s v="No Cut Off"/>
  </r>
  <r>
    <s v="Interior"/>
    <s v="Gualeguaychu, Entre Rios"/>
    <x v="82"/>
    <x v="7"/>
    <x v="9"/>
    <n v="347"/>
    <n v="230"/>
    <s v="AR"/>
    <s v="ER"/>
    <s v="1"/>
    <s v="08"/>
    <s v="RB_FV"/>
    <s v="ER"/>
    <s v="1d"/>
    <s v="04"/>
    <s v="3PL Direct"/>
    <s v="1d"/>
    <x v="83"/>
    <s v="AR1X01"/>
    <s v="X"/>
    <s v="X"/>
    <s v="No Cut Off"/>
  </r>
  <r>
    <s v="Interior"/>
    <s v="La Paz, Entre Rios"/>
    <x v="83"/>
    <x v="7"/>
    <x v="9"/>
    <n v="347"/>
    <n v="267"/>
    <s v="AR"/>
    <s v="ER"/>
    <s v="1"/>
    <s v="09"/>
    <s v="RB_FV"/>
    <s v="ER"/>
    <s v="1d"/>
    <s v="04"/>
    <s v="3PL Direct"/>
    <s v="1d"/>
    <x v="84"/>
    <s v="AR1X01"/>
    <s v="X"/>
    <s v="X"/>
    <s v="No Cut Off"/>
  </r>
  <r>
    <s v="Interior"/>
    <s v="Mesopotamia 1"/>
    <x v="84"/>
    <x v="7"/>
    <x v="9"/>
    <n v="347"/>
    <n v="343"/>
    <s v="AR"/>
    <s v="ER"/>
    <s v="1"/>
    <s v="10"/>
    <s v="RB_FV"/>
    <s v="ER"/>
    <s v="1d"/>
    <s v="04"/>
    <s v="3PL Direct"/>
    <s v="1d"/>
    <x v="85"/>
    <s v="AR1X01"/>
    <s v="X"/>
    <s v="X"/>
    <s v="No Cut Off"/>
  </r>
  <r>
    <s v="Interior"/>
    <s v="Nogoya, Entre Rios"/>
    <x v="85"/>
    <x v="7"/>
    <x v="9"/>
    <n v="347"/>
    <n v="255"/>
    <s v="AR"/>
    <s v="ER"/>
    <s v="1"/>
    <s v="11"/>
    <s v="RB_FV"/>
    <s v="ER"/>
    <s v="1d"/>
    <s v="04"/>
    <s v="3PL Direct"/>
    <s v="1d"/>
    <x v="86"/>
    <s v="AR1X01"/>
    <s v="X"/>
    <s v="X"/>
    <s v="No Cut Off"/>
  </r>
  <r>
    <s v="Interior"/>
    <s v="Santa Helena, Entre Rios"/>
    <x v="86"/>
    <x v="7"/>
    <x v="9"/>
    <n v="347"/>
    <n v="268"/>
    <s v="AR"/>
    <s v="ER"/>
    <s v="1"/>
    <s v="12"/>
    <s v="RB_FV"/>
    <s v="ER"/>
    <s v="1d"/>
    <s v="04"/>
    <s v="3PL Direct"/>
    <s v="1d"/>
    <x v="87"/>
    <s v="AR1X01"/>
    <s v="X"/>
    <s v="X"/>
    <s v="No Cut Off"/>
  </r>
  <r>
    <s v="Interior"/>
    <s v="Victoria, Entre Rios"/>
    <x v="87"/>
    <x v="7"/>
    <x v="9"/>
    <n v="347"/>
    <n v="260"/>
    <s v="AR"/>
    <s v="ER"/>
    <s v="1"/>
    <s v="13"/>
    <s v="RB_FV"/>
    <s v="ER"/>
    <s v="1d"/>
    <s v="04"/>
    <s v="3PL Direct"/>
    <s v="1d"/>
    <x v="88"/>
    <s v="AR1X01"/>
    <s v="X"/>
    <s v="X"/>
    <s v="No Cut Off"/>
  </r>
  <r>
    <s v="Interior"/>
    <s v="Villaguay, Entre Rios"/>
    <x v="88"/>
    <x v="7"/>
    <x v="9"/>
    <n v="347"/>
    <n v="290"/>
    <s v="AR"/>
    <s v="ER"/>
    <s v="1"/>
    <s v="14"/>
    <s v="RB_FV"/>
    <s v="ER"/>
    <s v="1d"/>
    <s v="04"/>
    <s v="3PL Direct"/>
    <s v="1d"/>
    <x v="89"/>
    <s v="AR1X01"/>
    <s v="X"/>
    <s v="X"/>
    <s v="No Cut Off"/>
  </r>
  <r>
    <s v="Interior"/>
    <s v="Parana, Entre Rios"/>
    <x v="89"/>
    <x v="7"/>
    <x v="5"/>
    <n v="342"/>
    <n v="240"/>
    <s v="AR"/>
    <s v="ER"/>
    <s v="1"/>
    <s v="15"/>
    <s v="RB_FV"/>
    <s v="ER"/>
    <s v="1d"/>
    <s v="04"/>
    <s v="3PL Direct"/>
    <s v="1d"/>
    <x v="90"/>
    <s v="AR1X01"/>
    <s v="X"/>
    <s v="X"/>
    <s v="No 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1"/>
    <s v="Road/Truck"/>
    <s v="7d"/>
    <x v="91"/>
    <s v="AR1X07"/>
    <s v="X"/>
    <s v="X"/>
    <s v="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1"/>
    <s v="Road/Truck"/>
    <s v="7d"/>
    <x v="92"/>
    <s v="AR1X07"/>
    <s v="X"/>
    <s v="X"/>
    <s v="Cut Off"/>
  </r>
  <r>
    <s v="Interior"/>
    <s v="Clorinda, Formosa"/>
    <x v="90"/>
    <x v="8"/>
    <x v="8"/>
    <n v="343"/>
    <n v="360"/>
    <s v="AR"/>
    <s v="FO"/>
    <s v="1"/>
    <s v="01"/>
    <s v="RB_FV"/>
    <s v="FO"/>
    <s v="1d"/>
    <s v="04"/>
    <s v="3PL Direct"/>
    <s v="2d"/>
    <x v="91"/>
    <s v="AR1X02"/>
    <s v="X"/>
    <s v="X"/>
    <s v="No Cut Off"/>
  </r>
  <r>
    <s v="Interior"/>
    <s v="Formosa, Formosa"/>
    <x v="91"/>
    <x v="8"/>
    <x v="8"/>
    <n v="343"/>
    <n v="355"/>
    <s v="AR"/>
    <s v="FO"/>
    <s v="1"/>
    <s v="02"/>
    <s v="RB_FV"/>
    <s v="FO"/>
    <s v="1d"/>
    <s v="04"/>
    <s v="3PL Direct"/>
    <s v="2d"/>
    <x v="92"/>
    <s v="AR1X02"/>
    <s v="X"/>
    <s v="X"/>
    <s v="No 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1"/>
    <s v="Road/Truck"/>
    <s v="7d"/>
    <x v="93"/>
    <s v="AR1X07"/>
    <s v="X"/>
    <s v="X"/>
    <s v="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1"/>
    <s v="Road/Truck"/>
    <s v="7d"/>
    <x v="94"/>
    <s v="AR1X07"/>
    <s v="X"/>
    <s v="X"/>
    <s v="Cut Off"/>
  </r>
  <r>
    <s v="Interior"/>
    <s v="NOA 1"/>
    <x v="94"/>
    <x v="9"/>
    <x v="6"/>
    <n v="362"/>
    <n v="381"/>
    <s v="AR"/>
    <s v="JY"/>
    <s v="1"/>
    <s v="03"/>
    <s v="RB_FV"/>
    <s v="JY"/>
    <s v="1d"/>
    <s v="01"/>
    <s v="Road/Truck"/>
    <s v="7d"/>
    <x v="95"/>
    <s v="AR1X07"/>
    <s v="X"/>
    <s v="X"/>
    <s v="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1"/>
    <s v="Road/Truck"/>
    <s v="7d"/>
    <x v="96"/>
    <s v="AR1X07"/>
    <s v="X"/>
    <s v="X"/>
    <s v="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1"/>
    <s v="Road/Truck"/>
    <s v="7d"/>
    <x v="97"/>
    <s v="AR1X07"/>
    <s v="X"/>
    <s v="X"/>
    <s v="Cut Off"/>
  </r>
  <r>
    <s v="Interior"/>
    <s v="La Quiaca, Jujuy"/>
    <x v="92"/>
    <x v="9"/>
    <x v="6"/>
    <n v="362"/>
    <n v="465"/>
    <s v="AR"/>
    <s v="JY"/>
    <s v="1"/>
    <s v="01"/>
    <s v="RB_FV"/>
    <s v="JY"/>
    <s v="1d"/>
    <s v="04"/>
    <s v="3PL Direct"/>
    <s v="2d"/>
    <x v="93"/>
    <s v="AR1X02"/>
    <s v="X"/>
    <s v="X"/>
    <s v="No Cut Off"/>
  </r>
  <r>
    <s v="Interior"/>
    <s v="Lib.Gral.San Martin, Jujuy"/>
    <x v="93"/>
    <x v="9"/>
    <x v="6"/>
    <n v="362"/>
    <n v="450"/>
    <s v="AR"/>
    <s v="JY"/>
    <s v="1"/>
    <s v="02"/>
    <s v="RB_FV"/>
    <s v="JY"/>
    <s v="1d"/>
    <s v="04"/>
    <s v="3PL Direct"/>
    <s v="2d"/>
    <x v="94"/>
    <s v="AR1X02"/>
    <s v="X"/>
    <s v="X"/>
    <s v="No Cut Off"/>
  </r>
  <r>
    <s v="Interior"/>
    <s v="NOA 1"/>
    <x v="94"/>
    <x v="9"/>
    <x v="6"/>
    <n v="362"/>
    <n v="381"/>
    <s v="AR"/>
    <s v="JY"/>
    <s v="1"/>
    <s v="03"/>
    <s v="RB_FV"/>
    <s v="JY"/>
    <s v="1d"/>
    <s v="04"/>
    <s v="3PL Direct"/>
    <s v="2d"/>
    <x v="95"/>
    <s v="AR1X02"/>
    <s v="X"/>
    <s v="X"/>
    <s v="No Cut Off"/>
  </r>
  <r>
    <s v="Interior"/>
    <s v="San Pedro de Jujuy, Jujuy"/>
    <x v="95"/>
    <x v="9"/>
    <x v="6"/>
    <n v="362"/>
    <n v="445"/>
    <s v="AR"/>
    <s v="JY"/>
    <s v="1"/>
    <s v="04"/>
    <s v="RB_FV"/>
    <s v="JY"/>
    <s v="1d"/>
    <s v="04"/>
    <s v="3PL Direct"/>
    <s v="2d"/>
    <x v="96"/>
    <s v="AR1X02"/>
    <s v="X"/>
    <s v="X"/>
    <s v="No Cut Off"/>
  </r>
  <r>
    <s v="Interior"/>
    <s v="San S. de Jujuy, Jujuy"/>
    <x v="96"/>
    <x v="9"/>
    <x v="6"/>
    <n v="362"/>
    <n v="460"/>
    <s v="AR"/>
    <s v="JY"/>
    <s v="1"/>
    <s v="05"/>
    <s v="RB_FV"/>
    <s v="JY"/>
    <s v="1d"/>
    <s v="04"/>
    <s v="3PL Direct"/>
    <s v="2d"/>
    <x v="97"/>
    <s v="AR1X02"/>
    <s v="X"/>
    <s v="X"/>
    <s v="No 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1"/>
    <s v="Road/Truck"/>
    <s v="6d"/>
    <x v="98"/>
    <s v="AR1X06"/>
    <s v="X"/>
    <s v="X"/>
    <s v="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1"/>
    <s v="Road/Truck"/>
    <s v="6d"/>
    <x v="99"/>
    <s v="AR1X06"/>
    <s v="X"/>
    <s v="X"/>
    <s v="Cut Off"/>
  </r>
  <r>
    <s v="Interior"/>
    <s v="La Pampa"/>
    <x v="99"/>
    <x v="10"/>
    <x v="4"/>
    <n v="295"/>
    <n v="295"/>
    <s v="AR"/>
    <s v="LP"/>
    <s v="1"/>
    <s v="03"/>
    <s v="RB_FV"/>
    <s v="LP"/>
    <s v="1d"/>
    <s v="01"/>
    <s v="Road/Truck"/>
    <s v="6d"/>
    <x v="100"/>
    <s v="AR1X06"/>
    <s v="X"/>
    <s v="X"/>
    <s v="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1"/>
    <s v="Road/Truck"/>
    <s v="6d"/>
    <x v="101"/>
    <s v="AR1X06"/>
    <s v="X"/>
    <s v="X"/>
    <s v="Cut Off"/>
  </r>
  <r>
    <s v="Interior"/>
    <s v="Gral.Pico, La Pampa"/>
    <x v="97"/>
    <x v="10"/>
    <x v="4"/>
    <n v="295"/>
    <n v="820"/>
    <s v="AR"/>
    <s v="LP"/>
    <s v="1"/>
    <s v="01"/>
    <s v="RB_FV"/>
    <s v="LP"/>
    <s v="1d"/>
    <s v="04"/>
    <s v="3PL Direct"/>
    <s v="1d"/>
    <x v="98"/>
    <s v="AR1X01"/>
    <s v="X"/>
    <s v="X"/>
    <s v="No Cut Off"/>
  </r>
  <r>
    <s v="Interior"/>
    <s v="Intendente Alvear, La Pampa"/>
    <x v="98"/>
    <x v="10"/>
    <x v="4"/>
    <n v="295"/>
    <n v="806"/>
    <s v="AR"/>
    <s v="LP"/>
    <s v="1"/>
    <s v="02"/>
    <s v="RB_FV"/>
    <s v="LP"/>
    <s v="1d"/>
    <s v="04"/>
    <s v="3PL Direct"/>
    <s v="1d"/>
    <x v="99"/>
    <s v="AR1X01"/>
    <s v="X"/>
    <s v="X"/>
    <s v="No Cut Off"/>
  </r>
  <r>
    <s v="Interior"/>
    <s v="La Pampa"/>
    <x v="99"/>
    <x v="10"/>
    <x v="4"/>
    <n v="295"/>
    <n v="295"/>
    <s v="AR"/>
    <s v="LP"/>
    <s v="1"/>
    <s v="03"/>
    <s v="RB_FV"/>
    <s v="LP"/>
    <s v="1d"/>
    <s v="04"/>
    <s v="3PL Direct"/>
    <s v="1d"/>
    <x v="100"/>
    <s v="AR1X01"/>
    <s v="X"/>
    <s v="X"/>
    <s v="No Cut Off"/>
  </r>
  <r>
    <s v="Interior"/>
    <s v="Santa Rosa, La Pampa"/>
    <x v="100"/>
    <x v="10"/>
    <x v="4"/>
    <n v="295"/>
    <n v="815"/>
    <s v="AR"/>
    <s v="LP"/>
    <s v="1"/>
    <s v="04"/>
    <s v="RB_FV"/>
    <s v="LP"/>
    <s v="1d"/>
    <s v="04"/>
    <s v="3PL Direct"/>
    <s v="1d"/>
    <x v="101"/>
    <s v="AR1X01"/>
    <s v="X"/>
    <s v="X"/>
    <s v="No 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1"/>
    <s v="Road/Truck"/>
    <s v="7d"/>
    <x v="102"/>
    <s v="AR1X07"/>
    <s v="X"/>
    <s v="X"/>
    <s v="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1"/>
    <s v="Road/Truck"/>
    <s v="7d"/>
    <x v="103"/>
    <s v="AR1X07"/>
    <s v="X"/>
    <s v="X"/>
    <s v="Cut Off"/>
  </r>
  <r>
    <s v="Interior"/>
    <s v="Chilecito,La Rioja"/>
    <x v="101"/>
    <x v="11"/>
    <x v="7"/>
    <n v="358"/>
    <n v="476"/>
    <s v="AR"/>
    <s v="LR"/>
    <s v="1"/>
    <s v="01"/>
    <s v="RB_FV"/>
    <s v="LR"/>
    <s v="1d"/>
    <s v="04"/>
    <s v="3PL Direct"/>
    <s v="1d"/>
    <x v="102"/>
    <s v="AR1X01"/>
    <s v="X"/>
    <s v="X"/>
    <s v="No Cut Off"/>
  </r>
  <r>
    <s v="Interior"/>
    <s v="La Rioja, La Rioja"/>
    <x v="102"/>
    <x v="11"/>
    <x v="7"/>
    <n v="358"/>
    <n v="475"/>
    <s v="AR"/>
    <s v="LR"/>
    <s v="1"/>
    <s v="02"/>
    <s v="RB_FV"/>
    <s v="LR"/>
    <s v="1d"/>
    <s v="04"/>
    <s v="3PL Direct"/>
    <s v="1d"/>
    <x v="103"/>
    <s v="AR1X01"/>
    <s v="X"/>
    <s v="X"/>
    <s v="No 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1"/>
    <s v="Road/Truck"/>
    <s v="7d"/>
    <x v="104"/>
    <s v="AR1X07"/>
    <s v="X"/>
    <s v="X"/>
    <s v="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1"/>
    <s v="Road/Truck"/>
    <s v="7d"/>
    <x v="105"/>
    <s v="AR1X07"/>
    <s v="X"/>
    <s v="X"/>
    <s v="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1"/>
    <s v="Road/Truck"/>
    <s v="7d"/>
    <x v="106"/>
    <s v="AR1X07"/>
    <s v="X"/>
    <s v="X"/>
    <s v="Cut Off"/>
  </r>
  <r>
    <s v="Interior"/>
    <s v="Guaymallen"/>
    <x v="106"/>
    <x v="12"/>
    <x v="10"/>
    <n v="261"/>
    <n v="522"/>
    <s v="AR"/>
    <s v="MZ"/>
    <s v="1"/>
    <s v="04"/>
    <s v="RB_FV"/>
    <s v="MZ"/>
    <s v="1d"/>
    <s v="01"/>
    <s v="Road/Truck"/>
    <s v="7d"/>
    <x v="107"/>
    <s v="AR1X07"/>
    <s v="X"/>
    <s v="X"/>
    <s v="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1"/>
    <s v="Road/Truck"/>
    <s v="7d"/>
    <x v="108"/>
    <s v="AR1X07"/>
    <s v="X"/>
    <s v="X"/>
    <s v="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1"/>
    <s v="Road/Truck"/>
    <s v="7d"/>
    <x v="109"/>
    <s v="AR1X07"/>
    <s v="X"/>
    <s v="X"/>
    <s v="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1"/>
    <s v="Road/Truck"/>
    <s v="7d"/>
    <x v="110"/>
    <s v="AR1X07"/>
    <s v="X"/>
    <s v="X"/>
    <s v="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1"/>
    <s v="Road/Truck"/>
    <s v="7d"/>
    <x v="111"/>
    <s v="AR1X07"/>
    <s v="X"/>
    <s v="X"/>
    <s v="Cut Off"/>
  </r>
  <r>
    <s v="Interior"/>
    <s v="San Jose"/>
    <x v="111"/>
    <x v="12"/>
    <x v="10"/>
    <n v="261"/>
    <n v="523"/>
    <s v="AR"/>
    <s v="MZ"/>
    <s v="1"/>
    <s v="09"/>
    <s v="RB_FV"/>
    <s v="MZ"/>
    <s v="1d"/>
    <s v="01"/>
    <s v="Road/Truck"/>
    <s v="7d"/>
    <x v="112"/>
    <s v="AR1X07"/>
    <s v="X"/>
    <s v="X"/>
    <s v="Cut Off"/>
  </r>
  <r>
    <s v="Interior"/>
    <s v="Cuyo 1"/>
    <x v="112"/>
    <x v="12"/>
    <x v="10"/>
    <n v="261"/>
    <n v="261"/>
    <s v="AR"/>
    <s v="MZ"/>
    <s v="1"/>
    <s v="10"/>
    <s v="RB_FV"/>
    <s v="MZ"/>
    <s v="1d"/>
    <s v="01"/>
    <s v="Road/Truck"/>
    <s v="7d"/>
    <x v="113"/>
    <s v="AR1X07"/>
    <s v="X"/>
    <s v="X"/>
    <s v="Cut Off"/>
  </r>
  <r>
    <s v="Interior"/>
    <s v="San Rafael, Mendonza"/>
    <x v="113"/>
    <x v="12"/>
    <x v="10"/>
    <n v="261"/>
    <n v="550"/>
    <s v="AR"/>
    <s v="MZ"/>
    <s v="1"/>
    <s v="11"/>
    <s v="RB_FV"/>
    <s v="MZ"/>
    <s v="1d"/>
    <s v="01"/>
    <s v="Road/Truck"/>
    <s v="7d"/>
    <x v="114"/>
    <s v="AR1X07"/>
    <s v="X"/>
    <s v="X"/>
    <s v="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1"/>
    <s v="Road/Truck"/>
    <s v="7d"/>
    <x v="115"/>
    <s v="AR1X07"/>
    <s v="X"/>
    <s v="X"/>
    <s v="Cut Off"/>
  </r>
  <r>
    <s v="Interior"/>
    <s v="Acceso Este Rodeo de la Cruz,M"/>
    <x v="103"/>
    <x v="12"/>
    <x v="10"/>
    <n v="261"/>
    <n v="530"/>
    <s v="AR"/>
    <s v="MZ"/>
    <s v="1"/>
    <s v="01"/>
    <s v="RB_FV"/>
    <s v="MZ"/>
    <s v="1d"/>
    <s v="04"/>
    <s v="3PL Direct"/>
    <s v="2d"/>
    <x v="104"/>
    <s v="AR1X02"/>
    <s v="X"/>
    <s v="X"/>
    <s v="No Cut Off"/>
  </r>
  <r>
    <s v="Interior"/>
    <s v="Godoy Cruz, Mendonza"/>
    <x v="104"/>
    <x v="12"/>
    <x v="10"/>
    <n v="261"/>
    <n v="520"/>
    <s v="AR"/>
    <s v="MZ"/>
    <s v="1"/>
    <s v="02"/>
    <s v="RB_FV"/>
    <s v="MZ"/>
    <s v="1d"/>
    <s v="04"/>
    <s v="3PL Direct"/>
    <s v="2d"/>
    <x v="105"/>
    <s v="AR1X02"/>
    <s v="X"/>
    <s v="X"/>
    <s v="No Cut Off"/>
  </r>
  <r>
    <s v="Interior"/>
    <s v="Gral.Alvear, Mendonza"/>
    <x v="105"/>
    <x v="12"/>
    <x v="10"/>
    <n v="261"/>
    <n v="555"/>
    <s v="AR"/>
    <s v="MZ"/>
    <s v="1"/>
    <s v="03"/>
    <s v="RB_FV"/>
    <s v="MZ"/>
    <s v="1d"/>
    <s v="04"/>
    <s v="3PL Direct"/>
    <s v="2d"/>
    <x v="106"/>
    <s v="AR1X02"/>
    <s v="X"/>
    <s v="X"/>
    <s v="No Cut Off"/>
  </r>
  <r>
    <s v="Interior"/>
    <s v="Guaymallen"/>
    <x v="106"/>
    <x v="12"/>
    <x v="10"/>
    <n v="261"/>
    <n v="522"/>
    <s v="AR"/>
    <s v="MZ"/>
    <s v="1"/>
    <s v="04"/>
    <s v="RB_FV"/>
    <s v="MZ"/>
    <s v="1d"/>
    <s v="04"/>
    <s v="3PL Direct"/>
    <s v="2d"/>
    <x v="107"/>
    <s v="AR1X02"/>
    <s v="X"/>
    <s v="X"/>
    <s v="No Cut Off"/>
  </r>
  <r>
    <s v="Interior"/>
    <s v="Las Heras, Mendonza"/>
    <x v="107"/>
    <x v="12"/>
    <x v="10"/>
    <n v="261"/>
    <n v="540"/>
    <s v="AR"/>
    <s v="MZ"/>
    <s v="1"/>
    <s v="05"/>
    <s v="RB_FV"/>
    <s v="MZ"/>
    <s v="1d"/>
    <s v="04"/>
    <s v="3PL Direct"/>
    <s v="2d"/>
    <x v="108"/>
    <s v="AR1X02"/>
    <s v="X"/>
    <s v="X"/>
    <s v="No Cut Off"/>
  </r>
  <r>
    <s v="Interior"/>
    <s v="Lujan de Cuyo, Mendonza"/>
    <x v="108"/>
    <x v="12"/>
    <x v="10"/>
    <n v="261"/>
    <n v="525"/>
    <s v="AR"/>
    <s v="MZ"/>
    <s v="1"/>
    <s v="06"/>
    <s v="RB_FV"/>
    <s v="MZ"/>
    <s v="1d"/>
    <s v="04"/>
    <s v="3PL Direct"/>
    <s v="2d"/>
    <x v="109"/>
    <s v="AR1X02"/>
    <s v="X"/>
    <s v="X"/>
    <s v="No Cut Off"/>
  </r>
  <r>
    <s v="Interior"/>
    <s v="Mendoza, Mendoza"/>
    <x v="109"/>
    <x v="12"/>
    <x v="10"/>
    <n v="261"/>
    <n v="515"/>
    <s v="AR"/>
    <s v="MZ"/>
    <s v="1"/>
    <s v="07"/>
    <s v="RB_FV"/>
    <s v="MZ"/>
    <s v="1d"/>
    <s v="04"/>
    <s v="3PL Direct"/>
    <s v="2d"/>
    <x v="110"/>
    <s v="AR1X02"/>
    <s v="X"/>
    <s v="X"/>
    <s v="No Cut Off"/>
  </r>
  <r>
    <s v="Interior"/>
    <s v="Rivadavia, Mendoza"/>
    <x v="110"/>
    <x v="12"/>
    <x v="10"/>
    <n v="261"/>
    <n v="501"/>
    <s v="AR"/>
    <s v="MZ"/>
    <s v="1"/>
    <s v="08"/>
    <s v="RB_FV"/>
    <s v="MZ"/>
    <s v="1d"/>
    <s v="04"/>
    <s v="3PL Direct"/>
    <s v="2d"/>
    <x v="111"/>
    <s v="AR1X02"/>
    <s v="X"/>
    <s v="X"/>
    <s v="No Cut Off"/>
  </r>
  <r>
    <s v="Interior"/>
    <s v="San Jose"/>
    <x v="111"/>
    <x v="12"/>
    <x v="10"/>
    <n v="261"/>
    <n v="523"/>
    <s v="AR"/>
    <s v="MZ"/>
    <s v="1"/>
    <s v="09"/>
    <s v="RB_FV"/>
    <s v="MZ"/>
    <s v="1d"/>
    <s v="04"/>
    <s v="3PL Direct"/>
    <s v="2d"/>
    <x v="112"/>
    <s v="AR1X02"/>
    <s v="X"/>
    <s v="X"/>
    <s v="No Cut Off"/>
  </r>
  <r>
    <s v="Interior"/>
    <s v="Cuyo 1"/>
    <x v="112"/>
    <x v="12"/>
    <x v="10"/>
    <n v="261"/>
    <n v="261"/>
    <s v="AR"/>
    <s v="MZ"/>
    <s v="1"/>
    <s v="10"/>
    <s v="RB_FV"/>
    <s v="MZ"/>
    <s v="1d"/>
    <s v="04"/>
    <s v="3PL Direct"/>
    <s v="2d"/>
    <x v="113"/>
    <s v="AR1X02"/>
    <s v="X"/>
    <s v="X"/>
    <s v="No Cut Off"/>
  </r>
  <r>
    <s v="Interior"/>
    <s v="San Rafael, Mendonza"/>
    <x v="115"/>
    <x v="12"/>
    <x v="10"/>
    <n v="261"/>
    <n v="550"/>
    <s v="AR"/>
    <s v="MZ"/>
    <s v="1"/>
    <s v="11"/>
    <s v="RB_FV"/>
    <s v="MZ"/>
    <s v="1d"/>
    <s v="04"/>
    <s v="3PL Direct"/>
    <s v="2d"/>
    <x v="114"/>
    <s v="AR1X02"/>
    <s v="X"/>
    <s v="X"/>
    <s v="No Cut Off"/>
  </r>
  <r>
    <s v="Interior"/>
    <s v="Villanueva, Mendonza"/>
    <x v="114"/>
    <x v="12"/>
    <x v="10"/>
    <n v="261"/>
    <n v="535"/>
    <s v="AR"/>
    <s v="MZ"/>
    <s v="1"/>
    <s v="12"/>
    <s v="RB_FV"/>
    <s v="MZ"/>
    <s v="1d"/>
    <s v="04"/>
    <s v="3PL Direct"/>
    <s v="2d"/>
    <x v="115"/>
    <s v="AR1X02"/>
    <s v="X"/>
    <s v="X"/>
    <s v="No 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1"/>
    <s v="Road/Truck"/>
    <s v="7d"/>
    <x v="116"/>
    <s v="AR1X07"/>
    <s v="X"/>
    <s v="X"/>
    <s v="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1"/>
    <s v="Road/Truck"/>
    <s v="7d"/>
    <x v="117"/>
    <s v="AR1X07"/>
    <s v="X"/>
    <s v="X"/>
    <s v="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1"/>
    <s v="Road/Truck"/>
    <s v="7d"/>
    <x v="118"/>
    <s v="AR1X07"/>
    <s v="X"/>
    <s v="X"/>
    <s v="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1"/>
    <s v="Road/Truck"/>
    <s v="7d"/>
    <x v="119"/>
    <s v="AR1X07"/>
    <s v="X"/>
    <s v="X"/>
    <s v="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1"/>
    <s v="Road/Truck"/>
    <s v="7d"/>
    <x v="120"/>
    <s v="AR1X07"/>
    <s v="X"/>
    <s v="X"/>
    <s v="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1"/>
    <s v="Road/Truck"/>
    <s v="7d"/>
    <x v="121"/>
    <s v="AR1X07"/>
    <s v="X"/>
    <s v="X"/>
    <s v="Cut Off"/>
  </r>
  <r>
    <s v="Interior"/>
    <s v="Eldorado, Misiones"/>
    <x v="116"/>
    <x v="13"/>
    <x v="8"/>
    <n v="349"/>
    <n v="325"/>
    <s v="AR"/>
    <s v="MI"/>
    <s v="1"/>
    <s v="01"/>
    <s v="RB_FV"/>
    <s v="MI"/>
    <s v="1d"/>
    <s v="04"/>
    <s v="3PL Direct"/>
    <s v="2d"/>
    <x v="116"/>
    <s v="AR1X02"/>
    <s v="X"/>
    <s v="X"/>
    <s v="No Cut Off"/>
  </r>
  <r>
    <s v="Interior"/>
    <s v="Jardin America, Misiones"/>
    <x v="117"/>
    <x v="13"/>
    <x v="8"/>
    <n v="349"/>
    <n v="310"/>
    <s v="AR"/>
    <s v="MI"/>
    <s v="1"/>
    <s v="02"/>
    <s v="RB_FV"/>
    <s v="MI"/>
    <s v="1d"/>
    <s v="04"/>
    <s v="3PL Direct"/>
    <s v="2d"/>
    <x v="117"/>
    <s v="AR1X02"/>
    <s v="X"/>
    <s v="X"/>
    <s v="No Cut Off"/>
  </r>
  <r>
    <s v="Interior"/>
    <s v="Leandro N. Alem, Misiones"/>
    <x v="118"/>
    <x v="13"/>
    <x v="8"/>
    <n v="349"/>
    <n v="305"/>
    <s v="AR"/>
    <s v="MI"/>
    <s v="1"/>
    <s v="03"/>
    <s v="RB_FV"/>
    <s v="MI"/>
    <s v="1d"/>
    <s v="04"/>
    <s v="3PL Direct"/>
    <s v="2d"/>
    <x v="118"/>
    <s v="AR1X02"/>
    <s v="X"/>
    <s v="X"/>
    <s v="No Cut Off"/>
  </r>
  <r>
    <s v="Interior"/>
    <s v="Obera, Misiones"/>
    <x v="113"/>
    <x v="13"/>
    <x v="8"/>
    <n v="349"/>
    <n v="320"/>
    <s v="AR"/>
    <s v="MI"/>
    <s v="1"/>
    <s v="04"/>
    <s v="RB_FV"/>
    <s v="MI"/>
    <s v="1d"/>
    <s v="04"/>
    <s v="3PL Direct"/>
    <s v="2d"/>
    <x v="119"/>
    <s v="AR1X02"/>
    <s v="X"/>
    <s v="X"/>
    <s v="No Cut Off"/>
  </r>
  <r>
    <s v="Interior"/>
    <s v="Posadas, Misiones"/>
    <x v="119"/>
    <x v="13"/>
    <x v="8"/>
    <n v="349"/>
    <n v="300"/>
    <s v="AR"/>
    <s v="MI"/>
    <s v="1"/>
    <s v="05"/>
    <s v="RB_FV"/>
    <s v="MI"/>
    <s v="1d"/>
    <s v="04"/>
    <s v="3PL Direct"/>
    <s v="2d"/>
    <x v="120"/>
    <s v="AR1X02"/>
    <s v="X"/>
    <s v="X"/>
    <s v="No Cut Off"/>
  </r>
  <r>
    <s v="Interior"/>
    <s v="Puerto Rico, Misiones"/>
    <x v="120"/>
    <x v="13"/>
    <x v="8"/>
    <n v="349"/>
    <n v="315"/>
    <s v="AR"/>
    <s v="MI"/>
    <s v="1"/>
    <s v="06"/>
    <s v="RB_FV"/>
    <s v="MI"/>
    <s v="1d"/>
    <s v="04"/>
    <s v="3PL Direct"/>
    <s v="2d"/>
    <x v="121"/>
    <s v="AR1X02"/>
    <s v="X"/>
    <s v="X"/>
    <s v="No 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1"/>
    <s v="Road/Truck"/>
    <s v="7d"/>
    <x v="122"/>
    <s v="AR1X07"/>
    <s v="X"/>
    <s v="X"/>
    <s v="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1"/>
    <s v="Road/Truck"/>
    <s v="7d"/>
    <x v="123"/>
    <s v="AR1X07"/>
    <s v="X"/>
    <s v="X"/>
    <s v="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1"/>
    <s v="Road/Truck"/>
    <s v="7d"/>
    <x v="124"/>
    <s v="AR1X07"/>
    <s v="X"/>
    <s v="X"/>
    <s v="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1"/>
    <s v="Road/Truck"/>
    <s v="7d"/>
    <x v="125"/>
    <s v="AR1X07"/>
    <s v="X"/>
    <s v="X"/>
    <s v="Cut Off"/>
  </r>
  <r>
    <s v="Interior"/>
    <s v="Rio Negro"/>
    <x v="125"/>
    <x v="14"/>
    <x v="3"/>
    <n v="294"/>
    <n v="283"/>
    <s v="AR"/>
    <s v="RN"/>
    <s v="1"/>
    <s v="05"/>
    <s v="RB_FV"/>
    <s v="RN"/>
    <s v="1d"/>
    <s v="01"/>
    <s v="Road/Truck"/>
    <s v="7d"/>
    <x v="126"/>
    <s v="AR1X07"/>
    <s v="X"/>
    <s v="X"/>
    <s v="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1"/>
    <s v="Road/Truck"/>
    <s v="7d"/>
    <x v="127"/>
    <s v="AR1X07"/>
    <s v="X"/>
    <s v="X"/>
    <s v="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1"/>
    <s v="Road/Truck"/>
    <s v="7d"/>
    <x v="128"/>
    <s v="AR1X07"/>
    <s v="X"/>
    <s v="X"/>
    <s v="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1"/>
    <s v="Road/Truck"/>
    <s v="7d"/>
    <x v="129"/>
    <s v="AR1X07"/>
    <s v="X"/>
    <s v="X"/>
    <s v="Cut Off"/>
  </r>
  <r>
    <s v="Interior"/>
    <s v="Choele Choel, Rio Negro"/>
    <x v="121"/>
    <x v="14"/>
    <x v="3"/>
    <n v="294"/>
    <n v="918"/>
    <s v="AR"/>
    <s v="RN"/>
    <s v="1"/>
    <s v="01"/>
    <s v="RB_FV"/>
    <s v="RN"/>
    <s v="1d"/>
    <s v="04"/>
    <s v="3PL Direct"/>
    <s v="1d"/>
    <x v="122"/>
    <s v="AR1X01"/>
    <s v="X"/>
    <s v="X"/>
    <s v="No Cut Off"/>
  </r>
  <r>
    <s v="Interior"/>
    <s v="Cipolletti, Rio Negro"/>
    <x v="122"/>
    <x v="14"/>
    <x v="3"/>
    <n v="294"/>
    <n v="908"/>
    <s v="AR"/>
    <s v="RN"/>
    <s v="1"/>
    <s v="02"/>
    <s v="RB_FV"/>
    <s v="RN"/>
    <s v="1d"/>
    <s v="04"/>
    <s v="3PL Direct"/>
    <s v="1d"/>
    <x v="123"/>
    <s v="AR1X01"/>
    <s v="X"/>
    <s v="X"/>
    <s v="No Cut Off"/>
  </r>
  <r>
    <s v="Interior"/>
    <s v="El Bolson, Rio Negro"/>
    <x v="123"/>
    <x v="14"/>
    <x v="3"/>
    <n v="294"/>
    <n v="930"/>
    <s v="AR"/>
    <s v="RN"/>
    <s v="1"/>
    <s v="03"/>
    <s v="RB_FV"/>
    <s v="RN"/>
    <s v="1d"/>
    <s v="04"/>
    <s v="3PL Direct"/>
    <s v="1d"/>
    <x v="124"/>
    <s v="AR1X01"/>
    <s v="X"/>
    <s v="X"/>
    <s v="No Cut Off"/>
  </r>
  <r>
    <s v="Interior"/>
    <s v="Gral. Roca, Rio Negro"/>
    <x v="124"/>
    <x v="14"/>
    <x v="3"/>
    <n v="294"/>
    <n v="910"/>
    <s v="AR"/>
    <s v="RN"/>
    <s v="1"/>
    <s v="04"/>
    <s v="RB_FV"/>
    <s v="RN"/>
    <s v="1d"/>
    <s v="04"/>
    <s v="3PL Direct"/>
    <s v="1d"/>
    <x v="125"/>
    <s v="AR1X01"/>
    <s v="X"/>
    <s v="X"/>
    <s v="No Cut Off"/>
  </r>
  <r>
    <s v="Interior"/>
    <s v="Rio Negro"/>
    <x v="125"/>
    <x v="14"/>
    <x v="3"/>
    <n v="294"/>
    <n v="283"/>
    <s v="AR"/>
    <s v="RN"/>
    <s v="1"/>
    <s v="05"/>
    <s v="RB_FV"/>
    <s v="RN"/>
    <s v="1d"/>
    <s v="04"/>
    <s v="3PL Direct"/>
    <s v="1d"/>
    <x v="126"/>
    <s v="AR1X01"/>
    <s v="X"/>
    <s v="X"/>
    <s v="No Cut Off"/>
  </r>
  <r>
    <s v="Interior"/>
    <s v="San C. de Bariloche, Rio Negro"/>
    <x v="126"/>
    <x v="14"/>
    <x v="3"/>
    <n v="294"/>
    <n v="925"/>
    <s v="AR"/>
    <s v="RN"/>
    <s v="1"/>
    <s v="06"/>
    <s v="RB_FV"/>
    <s v="RN"/>
    <s v="1d"/>
    <s v="04"/>
    <s v="3PL Direct"/>
    <s v="1d"/>
    <x v="127"/>
    <s v="AR1X01"/>
    <s v="X"/>
    <s v="X"/>
    <s v="No Cut Off"/>
  </r>
  <r>
    <s v="Interior"/>
    <s v="Viedma, Rio Negro"/>
    <x v="127"/>
    <x v="14"/>
    <x v="3"/>
    <n v="294"/>
    <n v="935"/>
    <s v="AR"/>
    <s v="RN"/>
    <s v="1"/>
    <s v="07"/>
    <s v="RB_FV"/>
    <s v="RN"/>
    <s v="1d"/>
    <s v="04"/>
    <s v="3PL Direct"/>
    <s v="1d"/>
    <x v="128"/>
    <s v="AR1X01"/>
    <s v="X"/>
    <s v="X"/>
    <s v="No Cut Off"/>
  </r>
  <r>
    <s v="Interior"/>
    <s v="Villa Regina, Rio Negro"/>
    <x v="128"/>
    <x v="14"/>
    <x v="3"/>
    <n v="294"/>
    <n v="912"/>
    <s v="AR"/>
    <s v="RN"/>
    <s v="1"/>
    <s v="08"/>
    <s v="RB_FV"/>
    <s v="RN"/>
    <s v="1d"/>
    <s v="04"/>
    <s v="3PL Direct"/>
    <s v="1d"/>
    <x v="129"/>
    <s v="AR1X01"/>
    <s v="X"/>
    <s v="X"/>
    <s v="No 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1"/>
    <s v="Road/Truck"/>
    <s v="7d"/>
    <x v="130"/>
    <s v="AR1X07"/>
    <s v="X"/>
    <s v="X"/>
    <s v="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1"/>
    <s v="Road/Truck"/>
    <s v="7d"/>
    <x v="131"/>
    <s v="AR1X07"/>
    <s v="X"/>
    <s v="X"/>
    <s v="Cut Off"/>
  </r>
  <r>
    <s v="Interior"/>
    <s v="Salta, Salta"/>
    <x v="131"/>
    <x v="15"/>
    <x v="6"/>
    <n v="352"/>
    <n v="440"/>
    <s v="AR"/>
    <s v="SA"/>
    <s v="1"/>
    <s v="03"/>
    <s v="RB_FV"/>
    <s v="SA"/>
    <s v="1d"/>
    <s v="01"/>
    <s v="Road/Truck"/>
    <s v="7d"/>
    <x v="132"/>
    <s v="AR1X07"/>
    <s v="X"/>
    <s v="X"/>
    <s v="Cut Off"/>
  </r>
  <r>
    <s v="Interior"/>
    <s v="Cerrillos,Salta"/>
    <x v="129"/>
    <x v="15"/>
    <x v="6"/>
    <n v="352"/>
    <n v="411"/>
    <s v="AR"/>
    <s v="SA"/>
    <s v="1"/>
    <s v="01"/>
    <s v="RB_FV"/>
    <s v="SA"/>
    <s v="1d"/>
    <s v="04"/>
    <s v="3PL Direct"/>
    <s v="2d"/>
    <x v="130"/>
    <s v="AR1X02"/>
    <s v="X"/>
    <s v="X"/>
    <s v="No Cut Off"/>
  </r>
  <r>
    <s v="Interior"/>
    <s v="Pocitos, Salta"/>
    <x v="130"/>
    <x v="15"/>
    <x v="6"/>
    <n v="352"/>
    <n v="455"/>
    <s v="AR"/>
    <s v="SA"/>
    <s v="1"/>
    <s v="02"/>
    <s v="RB_FV"/>
    <s v="SA"/>
    <s v="1d"/>
    <s v="04"/>
    <s v="3PL Direct"/>
    <s v="2d"/>
    <x v="131"/>
    <s v="AR1X02"/>
    <s v="X"/>
    <s v="X"/>
    <s v="No Cut Off"/>
  </r>
  <r>
    <s v="Interior"/>
    <s v="Salta, Salta"/>
    <x v="131"/>
    <x v="15"/>
    <x v="6"/>
    <n v="352"/>
    <n v="440"/>
    <s v="AR"/>
    <s v="SA"/>
    <s v="1"/>
    <s v="03"/>
    <s v="RB_FV"/>
    <s v="SA"/>
    <s v="1d"/>
    <s v="04"/>
    <s v="3PL Direct"/>
    <s v="2d"/>
    <x v="132"/>
    <s v="AR1X02"/>
    <s v="X"/>
    <s v="X"/>
    <s v="No 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1"/>
    <s v="Road/Truck"/>
    <s v="7d"/>
    <x v="133"/>
    <s v="AR1X07"/>
    <s v="X"/>
    <s v="X"/>
    <s v="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1"/>
    <s v="Road/Truck"/>
    <s v="7d"/>
    <x v="134"/>
    <s v="AR1X07"/>
    <s v="X"/>
    <s v="X"/>
    <s v="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1"/>
    <s v="Road/Truck"/>
    <s v="7d"/>
    <x v="135"/>
    <s v="AR1X07"/>
    <s v="X"/>
    <s v="X"/>
    <s v="Cut Off"/>
  </r>
  <r>
    <s v="Interior"/>
    <s v="San Juan , San Juan"/>
    <x v="132"/>
    <x v="16"/>
    <x v="10"/>
    <n v="264"/>
    <n v="500"/>
    <s v="AR"/>
    <s v="SJ"/>
    <s v="1"/>
    <s v="01"/>
    <s v="RB_FV"/>
    <s v="SJ"/>
    <s v="1d"/>
    <s v="04"/>
    <s v="3PL Direct"/>
    <s v="2d"/>
    <x v="133"/>
    <s v="AR1X02"/>
    <s v="X"/>
    <s v="X"/>
    <s v="No Cut Off"/>
  </r>
  <r>
    <s v="Interior"/>
    <s v="Santa Lucia , San Juan"/>
    <x v="133"/>
    <x v="16"/>
    <x v="10"/>
    <n v="264"/>
    <n v="505"/>
    <s v="AR"/>
    <s v="SJ"/>
    <s v="1"/>
    <s v="02"/>
    <s v="RB_FV"/>
    <s v="SJ"/>
    <s v="1d"/>
    <s v="04"/>
    <s v="3PL Direct"/>
    <s v="2d"/>
    <x v="134"/>
    <s v="AR1X02"/>
    <s v="X"/>
    <s v="X"/>
    <s v="No Cut Off"/>
  </r>
  <r>
    <s v="Interior"/>
    <s v="Villa Krause, San Juan"/>
    <x v="134"/>
    <x v="16"/>
    <x v="10"/>
    <n v="264"/>
    <n v="510"/>
    <s v="AR"/>
    <s v="SJ"/>
    <s v="1"/>
    <s v="03"/>
    <s v="RB_FV"/>
    <s v="SJ"/>
    <s v="1d"/>
    <s v="04"/>
    <s v="3PL Direct"/>
    <s v="2d"/>
    <x v="135"/>
    <s v="AR1X02"/>
    <s v="X"/>
    <s v="X"/>
    <s v="No 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1"/>
    <s v="Road/Truck"/>
    <s v="7d"/>
    <x v="136"/>
    <s v="AR1X07"/>
    <s v="X"/>
    <s v="X"/>
    <s v="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1"/>
    <s v="Road/Truck"/>
    <s v="7d"/>
    <x v="137"/>
    <s v="AR1X07"/>
    <s v="X"/>
    <s v="X"/>
    <s v="Cut Off"/>
  </r>
  <r>
    <s v="Interior"/>
    <s v="San Luis, San Luis"/>
    <x v="135"/>
    <x v="17"/>
    <x v="10"/>
    <n v="265"/>
    <n v="565"/>
    <s v="AR"/>
    <s v="SL"/>
    <s v="1"/>
    <s v="01"/>
    <s v="RB_FV"/>
    <s v="SL"/>
    <s v="1d"/>
    <s v="04"/>
    <s v="3PL Direct"/>
    <s v="2d"/>
    <x v="136"/>
    <s v="AR1X02"/>
    <s v="X"/>
    <s v="X"/>
    <s v="No Cut Off"/>
  </r>
  <r>
    <s v="Interior"/>
    <s v="Villa Mercedes, San Luis"/>
    <x v="136"/>
    <x v="17"/>
    <x v="10"/>
    <n v="265"/>
    <n v="570"/>
    <s v="AR"/>
    <s v="SL"/>
    <s v="1"/>
    <s v="02"/>
    <s v="RB_FV"/>
    <s v="SL"/>
    <s v="1d"/>
    <s v="04"/>
    <s v="3PL Direct"/>
    <s v="2d"/>
    <x v="137"/>
    <s v="AR1X02"/>
    <s v="X"/>
    <s v="X"/>
    <s v="No 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1"/>
    <s v="Road/Truck"/>
    <s v="12d"/>
    <x v="138"/>
    <s v="AR1X12"/>
    <s v="X"/>
    <s v="X"/>
    <s v="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1"/>
    <s v="Road/Truck"/>
    <s v="12d"/>
    <x v="139"/>
    <s v="AR1X12"/>
    <s v="X"/>
    <s v="X"/>
    <s v="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1"/>
    <s v="Road/Truck"/>
    <s v="12d"/>
    <x v="140"/>
    <s v="AR1X12"/>
    <s v="X"/>
    <s v="X"/>
    <s v="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1"/>
    <s v="Road/Truck"/>
    <s v="12d"/>
    <x v="141"/>
    <s v="AR1X12"/>
    <s v="X"/>
    <s v="X"/>
    <s v="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1"/>
    <s v="Road/Truck"/>
    <s v="12d"/>
    <x v="142"/>
    <s v="AR1X12"/>
    <s v="X"/>
    <s v="X"/>
    <s v="Cut Off"/>
  </r>
  <r>
    <s v="Interior"/>
    <s v="Patagonia"/>
    <x v="142"/>
    <x v="18"/>
    <x v="11"/>
    <n v="270"/>
    <n v="296"/>
    <s v="AR"/>
    <s v="SC"/>
    <s v="1"/>
    <s v="06"/>
    <s v="RB_FV"/>
    <s v="SC"/>
    <s v="1d"/>
    <s v="01"/>
    <s v="Road/Truck"/>
    <s v="12d"/>
    <x v="143"/>
    <s v="AR1X12"/>
    <s v="X"/>
    <s v="X"/>
    <s v="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1"/>
    <s v="Road/Truck"/>
    <s v="12d"/>
    <x v="144"/>
    <s v="AR1X12"/>
    <s v="X"/>
    <s v="X"/>
    <s v="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1"/>
    <s v="Road/Truck"/>
    <s v="12d"/>
    <x v="145"/>
    <s v="AR1X12"/>
    <s v="X"/>
    <s v="X"/>
    <s v="Cut Off"/>
  </r>
  <r>
    <s v="Interior"/>
    <s v="Pto.Deseado"/>
    <x v="145"/>
    <x v="18"/>
    <x v="11"/>
    <n v="270"/>
    <n v="978"/>
    <s v="AR"/>
    <s v="SC"/>
    <s v="1"/>
    <s v="09"/>
    <s v="RB_FV"/>
    <s v="SC"/>
    <s v="1d"/>
    <s v="01"/>
    <s v="Road/Truck"/>
    <s v="12d"/>
    <x v="146"/>
    <s v="AR1X12"/>
    <s v="X"/>
    <s v="X"/>
    <s v="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1"/>
    <s v="Road/Truck"/>
    <s v="12d"/>
    <x v="147"/>
    <s v="AR1X12"/>
    <s v="X"/>
    <s v="X"/>
    <s v="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1"/>
    <s v="Road/Truck"/>
    <s v="12d"/>
    <x v="148"/>
    <s v="AR1X12"/>
    <s v="X"/>
    <s v="X"/>
    <s v="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1"/>
    <s v="Road/Truck"/>
    <s v="12d"/>
    <x v="149"/>
    <s v="AR1X12"/>
    <s v="X"/>
    <s v="X"/>
    <s v="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1"/>
    <s v="Road/Truck"/>
    <s v="12d"/>
    <x v="150"/>
    <s v="AR1X12"/>
    <s v="X"/>
    <s v="X"/>
    <s v="Cut Off"/>
  </r>
  <r>
    <s v="Interior"/>
    <s v="Caleta Olivia,Santa Cruz"/>
    <x v="137"/>
    <x v="18"/>
    <x v="11"/>
    <n v="270"/>
    <n v="959"/>
    <s v="AR"/>
    <s v="SC"/>
    <s v="1"/>
    <s v="01"/>
    <s v="RB_FV"/>
    <s v="SC"/>
    <s v="1d"/>
    <s v="04"/>
    <s v="3PL Direct"/>
    <s v="2d"/>
    <x v="138"/>
    <s v="AR1X02"/>
    <s v="X"/>
    <s v="X"/>
    <s v="No Cut Off"/>
  </r>
  <r>
    <s v="Interior"/>
    <s v="Cte.Luis Piedrabuena,Santa Cru"/>
    <x v="138"/>
    <x v="18"/>
    <x v="11"/>
    <n v="270"/>
    <n v="970"/>
    <s v="AR"/>
    <s v="SC"/>
    <s v="1"/>
    <s v="02"/>
    <s v="RB_FV"/>
    <s v="SC"/>
    <s v="1d"/>
    <s v="04"/>
    <s v="3PL Direct"/>
    <s v="2d"/>
    <x v="139"/>
    <s v="AR1X02"/>
    <s v="X"/>
    <s v="X"/>
    <s v="No Cut Off"/>
  </r>
  <r>
    <s v="Interior"/>
    <s v="El Calafate, Santa Cruz"/>
    <x v="139"/>
    <x v="18"/>
    <x v="11"/>
    <n v="270"/>
    <n v="980"/>
    <s v="AR"/>
    <s v="SC"/>
    <s v="1"/>
    <s v="03"/>
    <s v="RB_FV"/>
    <s v="SC"/>
    <s v="1d"/>
    <s v="04"/>
    <s v="3PL Direct"/>
    <s v="2d"/>
    <x v="140"/>
    <s v="AR1X02"/>
    <s v="X"/>
    <s v="X"/>
    <s v="No Cut Off"/>
  </r>
  <r>
    <s v="Interior"/>
    <s v="Gobernador Gregores,Santa Cruz"/>
    <x v="140"/>
    <x v="18"/>
    <x v="11"/>
    <n v="270"/>
    <n v="974"/>
    <s v="AR"/>
    <s v="SC"/>
    <s v="1"/>
    <s v="04"/>
    <s v="RB_FV"/>
    <s v="SC"/>
    <s v="1d"/>
    <s v="04"/>
    <s v="3PL Direct"/>
    <s v="2d"/>
    <x v="141"/>
    <s v="AR1X02"/>
    <s v="X"/>
    <s v="X"/>
    <s v="No Cut Off"/>
  </r>
  <r>
    <s v="Interior"/>
    <s v="Los Antiguos, Santa Cruz"/>
    <x v="141"/>
    <x v="18"/>
    <x v="11"/>
    <n v="270"/>
    <n v="958"/>
    <s v="AR"/>
    <s v="SC"/>
    <s v="1"/>
    <s v="05"/>
    <s v="RB_FV"/>
    <s v="SC"/>
    <s v="1d"/>
    <s v="04"/>
    <s v="3PL Direct"/>
    <s v="2d"/>
    <x v="142"/>
    <s v="AR1X02"/>
    <s v="X"/>
    <s v="X"/>
    <s v="No Cut Off"/>
  </r>
  <r>
    <s v="Interior"/>
    <s v="Patagonia"/>
    <x v="142"/>
    <x v="18"/>
    <x v="11"/>
    <n v="270"/>
    <n v="296"/>
    <s v="AR"/>
    <s v="SC"/>
    <s v="1"/>
    <s v="06"/>
    <s v="RB_FV"/>
    <s v="SC"/>
    <s v="1d"/>
    <s v="04"/>
    <s v="3PL Direct"/>
    <s v="2d"/>
    <x v="143"/>
    <s v="AR1X02"/>
    <s v="X"/>
    <s v="X"/>
    <s v="No Cut Off"/>
  </r>
  <r>
    <s v="Interior"/>
    <s v="Perito Moreno, Santa Cruz"/>
    <x v="143"/>
    <x v="18"/>
    <x v="11"/>
    <n v="270"/>
    <n v="956"/>
    <s v="AR"/>
    <s v="SC"/>
    <s v="1"/>
    <s v="07"/>
    <s v="RB_FV"/>
    <s v="SC"/>
    <s v="1d"/>
    <s v="04"/>
    <s v="3PL Direct"/>
    <s v="2d"/>
    <x v="144"/>
    <s v="AR1X02"/>
    <s v="X"/>
    <s v="X"/>
    <s v="No Cut Off"/>
  </r>
  <r>
    <s v="Interior"/>
    <s v="Pico Truncado, Santa Cruz"/>
    <x v="144"/>
    <x v="18"/>
    <x v="11"/>
    <n v="270"/>
    <n v="957"/>
    <s v="AR"/>
    <s v="SC"/>
    <s v="1"/>
    <s v="08"/>
    <s v="RB_FV"/>
    <s v="SC"/>
    <s v="1d"/>
    <s v="04"/>
    <s v="3PL Direct"/>
    <s v="2d"/>
    <x v="145"/>
    <s v="AR1X02"/>
    <s v="X"/>
    <s v="X"/>
    <s v="No Cut Off"/>
  </r>
  <r>
    <s v="Interior"/>
    <s v="Pto.Deseado"/>
    <x v="145"/>
    <x v="18"/>
    <x v="11"/>
    <n v="270"/>
    <n v="978"/>
    <s v="AR"/>
    <s v="SC"/>
    <s v="1"/>
    <s v="09"/>
    <s v="RB_FV"/>
    <s v="SC"/>
    <s v="1d"/>
    <s v="04"/>
    <s v="3PL Direct"/>
    <s v="2d"/>
    <x v="146"/>
    <s v="AR1X02"/>
    <s v="X"/>
    <s v="X"/>
    <s v="No Cut Off"/>
  </r>
  <r>
    <s v="Interior"/>
    <s v="Puerto San Julian, Santa Cruz"/>
    <x v="146"/>
    <x v="18"/>
    <x v="11"/>
    <n v="270"/>
    <n v="972"/>
    <s v="AR"/>
    <s v="SC"/>
    <s v="1"/>
    <s v="10"/>
    <s v="RB_FV"/>
    <s v="SC"/>
    <s v="1d"/>
    <s v="04"/>
    <s v="3PL Direct"/>
    <s v="2d"/>
    <x v="147"/>
    <s v="AR1X02"/>
    <s v="X"/>
    <s v="X"/>
    <s v="No Cut Off"/>
  </r>
  <r>
    <s v="Interior"/>
    <s v="Puerto Santa Cruz, Santa Cruz"/>
    <x v="147"/>
    <x v="18"/>
    <x v="11"/>
    <n v="270"/>
    <n v="968"/>
    <s v="AR"/>
    <s v="SC"/>
    <s v="1"/>
    <s v="11"/>
    <s v="RB_FV"/>
    <s v="SC"/>
    <s v="1d"/>
    <s v="04"/>
    <s v="3PL Direct"/>
    <s v="2d"/>
    <x v="148"/>
    <s v="AR1X02"/>
    <s v="X"/>
    <s v="X"/>
    <s v="No Cut Off"/>
  </r>
  <r>
    <s v="Interior"/>
    <s v="Rio Gallegos, Santa Cruz"/>
    <x v="148"/>
    <x v="18"/>
    <x v="11"/>
    <n v="270"/>
    <n v="976"/>
    <s v="AR"/>
    <s v="SC"/>
    <s v="1"/>
    <s v="12"/>
    <s v="RB_FV"/>
    <s v="SC"/>
    <s v="1d"/>
    <s v="04"/>
    <s v="3PL Direct"/>
    <s v="2d"/>
    <x v="149"/>
    <s v="AR1X02"/>
    <s v="X"/>
    <s v="X"/>
    <s v="No Cut Off"/>
  </r>
  <r>
    <s v="Interior"/>
    <s v="Rio Turbio, Santa Cruz"/>
    <x v="149"/>
    <x v="18"/>
    <x v="11"/>
    <n v="270"/>
    <n v="985"/>
    <s v="AR"/>
    <s v="SC"/>
    <s v="1"/>
    <s v="13"/>
    <s v="RB_FV"/>
    <s v="SC"/>
    <s v="1d"/>
    <s v="04"/>
    <s v="3PL Direct"/>
    <s v="2d"/>
    <x v="150"/>
    <s v="AR1X02"/>
    <s v="X"/>
    <s v="X"/>
    <s v="No 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1"/>
    <s v="Road/Truck"/>
    <s v="6d"/>
    <x v="151"/>
    <s v="AR1X06"/>
    <s v="X"/>
    <s v="X"/>
    <s v="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1"/>
    <s v="Road/Truck"/>
    <s v="6d"/>
    <x v="152"/>
    <s v="AR1X06"/>
    <s v="X"/>
    <s v="X"/>
    <s v="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1"/>
    <s v="Road/Truck"/>
    <s v="6d"/>
    <x v="153"/>
    <s v="AR1X06"/>
    <s v="X"/>
    <s v="X"/>
    <s v="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1"/>
    <s v="Road/Truck"/>
    <s v="6d"/>
    <x v="154"/>
    <s v="AR1X06"/>
    <s v="X"/>
    <s v="X"/>
    <s v="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1"/>
    <s v="Road/Truck"/>
    <s v="6d"/>
    <x v="155"/>
    <s v="AR1X06"/>
    <s v="X"/>
    <s v="X"/>
    <s v="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1"/>
    <s v="Road/Truck"/>
    <s v="6d"/>
    <x v="156"/>
    <s v="AR1X06"/>
    <s v="X"/>
    <s v="X"/>
    <s v="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1"/>
    <s v="Road/Truck"/>
    <s v="6d"/>
    <x v="157"/>
    <s v="AR1X06"/>
    <s v="X"/>
    <s v="X"/>
    <s v="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1"/>
    <s v="Road/Truck"/>
    <s v="6d"/>
    <x v="158"/>
    <s v="AR1X06"/>
    <s v="X"/>
    <s v="X"/>
    <s v="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1"/>
    <s v="Road/Truck"/>
    <s v="6d"/>
    <x v="159"/>
    <s v="AR1X06"/>
    <s v="X"/>
    <s v="X"/>
    <s v="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1"/>
    <s v="Road/Truck"/>
    <s v="6d"/>
    <x v="160"/>
    <s v="AR1X06"/>
    <s v="X"/>
    <s v="X"/>
    <s v="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1"/>
    <s v="Road/Truck"/>
    <s v="6d"/>
    <x v="161"/>
    <s v="AR1X06"/>
    <s v="X"/>
    <s v="X"/>
    <s v="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1"/>
    <s v="Road/Truck"/>
    <s v="6d"/>
    <x v="162"/>
    <s v="AR1X06"/>
    <s v="X"/>
    <s v="X"/>
    <s v="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1"/>
    <s v="Road/Truck"/>
    <s v="6d"/>
    <x v="163"/>
    <s v="AR1X06"/>
    <s v="X"/>
    <s v="X"/>
    <s v="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1"/>
    <s v="Road/Truck"/>
    <s v="6d"/>
    <x v="164"/>
    <s v="AR1X06"/>
    <s v="X"/>
    <s v="X"/>
    <s v="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1"/>
    <s v="Road/Truck"/>
    <s v="6d"/>
    <x v="165"/>
    <s v="AR1X06"/>
    <s v="X"/>
    <s v="X"/>
    <s v="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1"/>
    <s v="Road/Truck"/>
    <s v="6d"/>
    <x v="166"/>
    <s v="AR1X06"/>
    <s v="X"/>
    <s v="X"/>
    <s v="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1"/>
    <s v="Road/Truck"/>
    <s v="6d"/>
    <x v="167"/>
    <s v="AR1X06"/>
    <s v="X"/>
    <s v="X"/>
    <s v="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1"/>
    <s v="Road/Truck"/>
    <s v="6d"/>
    <x v="168"/>
    <s v="AR1X06"/>
    <s v="X"/>
    <s v="X"/>
    <s v="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1"/>
    <s v="Road/Truck"/>
    <s v="6d"/>
    <x v="169"/>
    <s v="AR1X06"/>
    <s v="X"/>
    <s v="X"/>
    <s v="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1"/>
    <s v="Road/Truck"/>
    <s v="6d"/>
    <x v="170"/>
    <s v="AR1X06"/>
    <s v="X"/>
    <s v="X"/>
    <s v="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1"/>
    <s v="Road/Truck"/>
    <s v="6d"/>
    <x v="171"/>
    <s v="AR1X06"/>
    <s v="X"/>
    <s v="X"/>
    <s v="Cut Off"/>
  </r>
  <r>
    <s v="Interior"/>
    <s v="Santa Fe 1"/>
    <x v="171"/>
    <x v="19"/>
    <x v="5"/>
    <n v="337"/>
    <n v="337"/>
    <s v="AR"/>
    <s v="SF"/>
    <s v="1"/>
    <s v="22"/>
    <s v="RB_FV"/>
    <s v="SF"/>
    <s v="1d"/>
    <s v="01"/>
    <s v="Road/Truck"/>
    <s v="6d"/>
    <x v="172"/>
    <s v="AR1X06"/>
    <s v="X"/>
    <s v="X"/>
    <s v="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1"/>
    <s v="Road/Truck"/>
    <s v="6d"/>
    <x v="173"/>
    <s v="AR1X06"/>
    <s v="X"/>
    <s v="X"/>
    <s v="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1"/>
    <s v="Road/Truck"/>
    <s v="6d"/>
    <x v="174"/>
    <s v="AR1X06"/>
    <s v="X"/>
    <s v="X"/>
    <s v="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1"/>
    <s v="Road/Truck"/>
    <s v="6d"/>
    <x v="175"/>
    <s v="AR1X06"/>
    <s v="X"/>
    <s v="X"/>
    <s v="Cut Off"/>
  </r>
  <r>
    <s v="Interior"/>
    <s v="Avellaneda, Santa Fe"/>
    <x v="150"/>
    <x v="19"/>
    <x v="5"/>
    <n v="337"/>
    <n v="799"/>
    <s v="AR"/>
    <s v="SF"/>
    <s v="1"/>
    <s v="01"/>
    <s v="RB_FV"/>
    <s v="SF"/>
    <s v="1d"/>
    <s v="04"/>
    <s v="3PL Direct"/>
    <s v="1d"/>
    <x v="151"/>
    <s v="AR1X01"/>
    <s v="X"/>
    <s v="X"/>
    <s v="No Cut Off"/>
  </r>
  <r>
    <s v="Interior"/>
    <s v="Cañada de Gomez, Santa Fe"/>
    <x v="151"/>
    <x v="19"/>
    <x v="5"/>
    <n v="337"/>
    <n v="735"/>
    <s v="AR"/>
    <s v="SF"/>
    <s v="1"/>
    <s v="02"/>
    <s v="RB_FV"/>
    <s v="SF"/>
    <s v="1d"/>
    <s v="04"/>
    <s v="3PL Direct"/>
    <s v="1d"/>
    <x v="152"/>
    <s v="AR1X01"/>
    <s v="X"/>
    <s v="X"/>
    <s v="No Cut Off"/>
  </r>
  <r>
    <s v="Interior"/>
    <s v="Capitan Bermudez, Santa Fe"/>
    <x v="152"/>
    <x v="19"/>
    <x v="5"/>
    <n v="337"/>
    <n v="706"/>
    <s v="AR"/>
    <s v="SF"/>
    <s v="1"/>
    <s v="03"/>
    <s v="RB_FV"/>
    <s v="SF"/>
    <s v="1d"/>
    <s v="04"/>
    <s v="3PL Direct"/>
    <s v="1d"/>
    <x v="153"/>
    <s v="AR1X01"/>
    <s v="X"/>
    <s v="X"/>
    <s v="No Cut Off"/>
  </r>
  <r>
    <s v="Interior"/>
    <s v="Casilda, Santa Fe"/>
    <x v="153"/>
    <x v="19"/>
    <x v="5"/>
    <n v="337"/>
    <n v="708"/>
    <s v="AR"/>
    <s v="SF"/>
    <s v="1"/>
    <s v="04"/>
    <s v="RB_FV"/>
    <s v="SF"/>
    <s v="1d"/>
    <s v="04"/>
    <s v="3PL Direct"/>
    <s v="1d"/>
    <x v="154"/>
    <s v="AR1X01"/>
    <s v="X"/>
    <s v="X"/>
    <s v="No Cut Off"/>
  </r>
  <r>
    <s v="Interior"/>
    <s v="Chabas, Santa Fe"/>
    <x v="154"/>
    <x v="19"/>
    <x v="5"/>
    <n v="337"/>
    <n v="710"/>
    <s v="AR"/>
    <s v="SF"/>
    <s v="1"/>
    <s v="05"/>
    <s v="RB_FV"/>
    <s v="SF"/>
    <s v="1d"/>
    <s v="04"/>
    <s v="3PL Direct"/>
    <s v="1d"/>
    <x v="155"/>
    <s v="AR1X01"/>
    <s v="X"/>
    <s v="X"/>
    <s v="No Cut Off"/>
  </r>
  <r>
    <s v="Interior"/>
    <s v="Chanar Ladeado,Santa Fe"/>
    <x v="155"/>
    <x v="19"/>
    <x v="5"/>
    <n v="337"/>
    <n v="703"/>
    <s v="AR"/>
    <s v="SF"/>
    <s v="1"/>
    <s v="06"/>
    <s v="RB_FV"/>
    <s v="SF"/>
    <s v="1d"/>
    <s v="04"/>
    <s v="3PL Direct"/>
    <s v="1d"/>
    <x v="156"/>
    <s v="AR1X01"/>
    <s v="X"/>
    <s v="X"/>
    <s v="No Cut Off"/>
  </r>
  <r>
    <s v="Interior"/>
    <s v="EMP V Constitucion, Santa Fe"/>
    <x v="156"/>
    <x v="19"/>
    <x v="5"/>
    <n v="337"/>
    <n v="780"/>
    <s v="AR"/>
    <s v="SF"/>
    <s v="1"/>
    <s v="07"/>
    <s v="RB_FV"/>
    <s v="SF"/>
    <s v="1d"/>
    <s v="04"/>
    <s v="3PL Direct"/>
    <s v="1d"/>
    <x v="157"/>
    <s v="AR1X01"/>
    <s v="X"/>
    <s v="X"/>
    <s v="No Cut Off"/>
  </r>
  <r>
    <s v="Interior"/>
    <s v="Esperanza, Santa Fe"/>
    <x v="157"/>
    <x v="19"/>
    <x v="5"/>
    <n v="337"/>
    <n v="795"/>
    <s v="AR"/>
    <s v="SF"/>
    <s v="1"/>
    <s v="08"/>
    <s v="RB_FV"/>
    <s v="SF"/>
    <s v="1d"/>
    <s v="04"/>
    <s v="3PL Direct"/>
    <s v="1d"/>
    <x v="158"/>
    <s v="AR1X01"/>
    <s v="X"/>
    <s v="X"/>
    <s v="No Cut Off"/>
  </r>
  <r>
    <s v="Interior"/>
    <s v="Firmat, Santa Fe"/>
    <x v="158"/>
    <x v="19"/>
    <x v="5"/>
    <n v="337"/>
    <n v="750"/>
    <s v="AR"/>
    <s v="SF"/>
    <s v="1"/>
    <s v="09"/>
    <s v="RB_FV"/>
    <s v="SF"/>
    <s v="1d"/>
    <s v="04"/>
    <s v="3PL Direct"/>
    <s v="1d"/>
    <x v="159"/>
    <s v="AR1X01"/>
    <s v="X"/>
    <s v="X"/>
    <s v="No Cut Off"/>
  </r>
  <r>
    <s v="Interior"/>
    <s v="Frontera, Santa Fe"/>
    <x v="159"/>
    <x v="19"/>
    <x v="5"/>
    <n v="337"/>
    <n v="705"/>
    <s v="AR"/>
    <s v="SF"/>
    <s v="1"/>
    <s v="10"/>
    <s v="RB_FV"/>
    <s v="SF"/>
    <s v="1d"/>
    <s v="04"/>
    <s v="3PL Direct"/>
    <s v="1d"/>
    <x v="160"/>
    <s v="AR1X01"/>
    <s v="X"/>
    <s v="X"/>
    <s v="No Cut Off"/>
  </r>
  <r>
    <s v="Interior"/>
    <s v="Granadero Baigorria, Santa Fe"/>
    <x v="160"/>
    <x v="19"/>
    <x v="5"/>
    <n v="337"/>
    <n v="704"/>
    <s v="AR"/>
    <s v="SF"/>
    <s v="1"/>
    <s v="11"/>
    <s v="RB_FV"/>
    <s v="SF"/>
    <s v="1d"/>
    <s v="04"/>
    <s v="3PL Direct"/>
    <s v="1d"/>
    <x v="161"/>
    <s v="AR1X01"/>
    <s v="X"/>
    <s v="X"/>
    <s v="No Cut Off"/>
  </r>
  <r>
    <s v="Interior"/>
    <s v="Laguna Paiva, Santa Fe"/>
    <x v="161"/>
    <x v="19"/>
    <x v="5"/>
    <n v="337"/>
    <n v="785"/>
    <s v="AR"/>
    <s v="SF"/>
    <s v="1"/>
    <s v="12"/>
    <s v="RB_FV"/>
    <s v="SF"/>
    <s v="1d"/>
    <s v="04"/>
    <s v="3PL Direct"/>
    <s v="1d"/>
    <x v="162"/>
    <s v="AR1X01"/>
    <s v="X"/>
    <s v="X"/>
    <s v="No Cut Off"/>
  </r>
  <r>
    <s v="Interior"/>
    <s v="Maggiolo, Santa Fe"/>
    <x v="162"/>
    <x v="19"/>
    <x v="5"/>
    <n v="337"/>
    <n v="745"/>
    <s v="AR"/>
    <s v="SF"/>
    <s v="1"/>
    <s v="13"/>
    <s v="RB_FV"/>
    <s v="SF"/>
    <s v="1d"/>
    <s v="04"/>
    <s v="3PL Direct"/>
    <s v="1d"/>
    <x v="163"/>
    <s v="AR1X01"/>
    <s v="X"/>
    <s v="X"/>
    <s v="No Cut Off"/>
  </r>
  <r>
    <s v="Interior"/>
    <s v="Rafaela, Santa Fe"/>
    <x v="163"/>
    <x v="19"/>
    <x v="5"/>
    <n v="337"/>
    <n v="715"/>
    <s v="AR"/>
    <s v="SF"/>
    <s v="1"/>
    <s v="14"/>
    <s v="RB_FV"/>
    <s v="SF"/>
    <s v="1d"/>
    <s v="04"/>
    <s v="3PL Direct"/>
    <s v="1d"/>
    <x v="164"/>
    <s v="AR1X01"/>
    <s v="X"/>
    <s v="X"/>
    <s v="No Cut Off"/>
  </r>
  <r>
    <s v="Interior"/>
    <s v="Reconquista, Santa Fe"/>
    <x v="164"/>
    <x v="19"/>
    <x v="5"/>
    <n v="337"/>
    <n v="798"/>
    <s v="AR"/>
    <s v="SF"/>
    <s v="1"/>
    <s v="15"/>
    <s v="RB_FV"/>
    <s v="SF"/>
    <s v="1d"/>
    <s v="04"/>
    <s v="3PL Direct"/>
    <s v="1d"/>
    <x v="165"/>
    <s v="AR1X01"/>
    <s v="X"/>
    <s v="X"/>
    <s v="No Cut Off"/>
  </r>
  <r>
    <s v="Interior"/>
    <s v="Rosario, Santa Fe"/>
    <x v="165"/>
    <x v="19"/>
    <x v="5"/>
    <n v="337"/>
    <n v="700"/>
    <s v="AR"/>
    <s v="SF"/>
    <s v="1"/>
    <s v="16"/>
    <s v="RB_FV"/>
    <s v="SF"/>
    <s v="1d"/>
    <s v="04"/>
    <s v="3PL Direct"/>
    <s v="1d"/>
    <x v="166"/>
    <s v="AR1X01"/>
    <s v="X"/>
    <s v="X"/>
    <s v="No Cut Off"/>
  </r>
  <r>
    <s v="Interior"/>
    <s v="Rufino, Santa Fe"/>
    <x v="166"/>
    <x v="19"/>
    <x v="5"/>
    <n v="337"/>
    <n v="714"/>
    <s v="AR"/>
    <s v="SF"/>
    <s v="1"/>
    <s v="17"/>
    <s v="RB_FV"/>
    <s v="SF"/>
    <s v="1d"/>
    <s v="04"/>
    <s v="3PL Direct"/>
    <s v="1d"/>
    <x v="167"/>
    <s v="AR1X01"/>
    <s v="X"/>
    <s v="X"/>
    <s v="No Cut Off"/>
  </r>
  <r>
    <s v="Interior"/>
    <s v="San Jorge, Santa Fe"/>
    <x v="167"/>
    <x v="19"/>
    <x v="5"/>
    <n v="337"/>
    <n v="730"/>
    <s v="AR"/>
    <s v="SF"/>
    <s v="1"/>
    <s v="18"/>
    <s v="RB_FV"/>
    <s v="SF"/>
    <s v="1d"/>
    <s v="04"/>
    <s v="3PL Direct"/>
    <s v="1d"/>
    <x v="168"/>
    <s v="AR1X01"/>
    <s v="X"/>
    <s v="X"/>
    <s v="No Cut Off"/>
  </r>
  <r>
    <s v="Interior"/>
    <s v="San Justo, Santa Fe"/>
    <x v="168"/>
    <x v="19"/>
    <x v="5"/>
    <n v="337"/>
    <n v="790"/>
    <s v="AR"/>
    <s v="SF"/>
    <s v="1"/>
    <s v="19"/>
    <s v="RB_FV"/>
    <s v="SF"/>
    <s v="1d"/>
    <s v="04"/>
    <s v="3PL Direct"/>
    <s v="1d"/>
    <x v="169"/>
    <s v="AR1X01"/>
    <s v="X"/>
    <s v="X"/>
    <s v="No Cut Off"/>
  </r>
  <r>
    <s v="Interior"/>
    <s v="San Lorenzo, Santa Fe"/>
    <x v="169"/>
    <x v="19"/>
    <x v="5"/>
    <n v="337"/>
    <n v="712"/>
    <s v="AR"/>
    <s v="SF"/>
    <s v="1"/>
    <s v="20"/>
    <s v="RB_FV"/>
    <s v="SF"/>
    <s v="1d"/>
    <s v="04"/>
    <s v="3PL Direct"/>
    <s v="1d"/>
    <x v="170"/>
    <s v="AR1X01"/>
    <s v="X"/>
    <s v="X"/>
    <s v="No Cut Off"/>
  </r>
  <r>
    <s v="Interior"/>
    <s v="Santa Fe, Santa Fe"/>
    <x v="170"/>
    <x v="19"/>
    <x v="5"/>
    <n v="337"/>
    <n v="765"/>
    <s v="AR"/>
    <s v="SF"/>
    <s v="1"/>
    <s v="21"/>
    <s v="RB_FV"/>
    <s v="SF"/>
    <s v="1d"/>
    <s v="04"/>
    <s v="3PL Direct"/>
    <s v="1d"/>
    <x v="171"/>
    <s v="AR1X01"/>
    <s v="X"/>
    <s v="X"/>
    <s v="No Cut Off"/>
  </r>
  <r>
    <s v="Interior"/>
    <s v="Santa Fe 1"/>
    <x v="171"/>
    <x v="19"/>
    <x v="5"/>
    <n v="337"/>
    <n v="337"/>
    <s v="AR"/>
    <s v="SF"/>
    <s v="1"/>
    <s v="22"/>
    <s v="RB_FV"/>
    <s v="SF"/>
    <s v="1d"/>
    <s v="04"/>
    <s v="3PL Direct"/>
    <s v="1d"/>
    <x v="172"/>
    <s v="AR1X01"/>
    <s v="X"/>
    <s v="X"/>
    <s v="No Cut Off"/>
  </r>
  <r>
    <s v="Interior"/>
    <s v="Santo Tome, Santa Fe"/>
    <x v="172"/>
    <x v="19"/>
    <x v="5"/>
    <n v="337"/>
    <n v="770"/>
    <s v="AR"/>
    <s v="SF"/>
    <s v="1"/>
    <s v="23"/>
    <s v="RB_FV"/>
    <s v="SF"/>
    <s v="1d"/>
    <s v="04"/>
    <s v="3PL Direct"/>
    <s v="1d"/>
    <x v="173"/>
    <s v="AR1X01"/>
    <s v="X"/>
    <s v="X"/>
    <s v="No Cut Off"/>
  </r>
  <r>
    <s v="Interior"/>
    <s v="Venado Tuerto, Santa Fe"/>
    <x v="173"/>
    <x v="19"/>
    <x v="5"/>
    <n v="337"/>
    <n v="740"/>
    <s v="AR"/>
    <s v="SF"/>
    <s v="1"/>
    <s v="24"/>
    <s v="RB_FV"/>
    <s v="SF"/>
    <s v="1d"/>
    <s v="04"/>
    <s v="3PL Direct"/>
    <s v="1d"/>
    <x v="174"/>
    <s v="AR1X01"/>
    <s v="X"/>
    <s v="X"/>
    <s v="No Cut Off"/>
  </r>
  <r>
    <s v="Interior"/>
    <s v="Villa Gobernador Galvez,Santa"/>
    <x v="174"/>
    <x v="19"/>
    <x v="5"/>
    <n v="337"/>
    <n v="702"/>
    <s v="AR"/>
    <s v="SF"/>
    <s v="1"/>
    <s v="25"/>
    <s v="RB_FV"/>
    <s v="SF"/>
    <s v="1d"/>
    <s v="04"/>
    <s v="3PL Direct"/>
    <s v="1d"/>
    <x v="175"/>
    <s v="AR1X01"/>
    <s v="X"/>
    <s v="X"/>
    <s v="No 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1"/>
    <s v="Road/Truck"/>
    <s v="7d"/>
    <x v="176"/>
    <s v="AR1X07"/>
    <s v="X"/>
    <s v="X"/>
    <s v="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1"/>
    <s v="Road/Truck"/>
    <s v="7d"/>
    <x v="177"/>
    <s v="AR1X07"/>
    <s v="X"/>
    <s v="X"/>
    <s v="Cut Off"/>
  </r>
  <r>
    <s v="Interior"/>
    <s v="Fernandez, Sgo. del Estero"/>
    <x v="175"/>
    <x v="20"/>
    <x v="6"/>
    <n v="359"/>
    <n v="435"/>
    <s v="AR"/>
    <s v="SE"/>
    <s v="1"/>
    <s v="01"/>
    <s v="RB_FV"/>
    <s v="SE"/>
    <s v="1d"/>
    <s v="04"/>
    <s v="3PL Direct"/>
    <s v="2d"/>
    <x v="176"/>
    <s v="AR1X02"/>
    <s v="X"/>
    <s v="X"/>
    <s v="No Cut Off"/>
  </r>
  <r>
    <s v="Interior"/>
    <s v="Santiago del Estero, Sgo.del E"/>
    <x v="176"/>
    <x v="20"/>
    <x v="6"/>
    <n v="359"/>
    <n v="430"/>
    <s v="AR"/>
    <s v="SE"/>
    <s v="1"/>
    <s v="02"/>
    <s v="RB_FV"/>
    <s v="SE"/>
    <s v="1d"/>
    <s v="04"/>
    <s v="3PL Direct"/>
    <s v="2d"/>
    <x v="177"/>
    <s v="AR1X02"/>
    <s v="X"/>
    <s v="X"/>
    <s v="No 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1"/>
    <s v="Road/Truck"/>
    <s v="12d"/>
    <x v="178"/>
    <s v="AR1X12"/>
    <s v="X"/>
    <s v="X"/>
    <s v="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1"/>
    <s v="Road/Truck"/>
    <s v="12d"/>
    <x v="179"/>
    <s v="AR1X12"/>
    <s v="X"/>
    <s v="X"/>
    <s v="Cut Off"/>
  </r>
  <r>
    <s v="Interior"/>
    <s v="Rio Grande, Tierra del Fuego"/>
    <x v="177"/>
    <x v="21"/>
    <x v="11"/>
    <n v="357"/>
    <n v="995"/>
    <s v="AR"/>
    <s v="TF"/>
    <s v="1"/>
    <s v="01"/>
    <s v="RB_FV"/>
    <s v="TF"/>
    <s v="1d"/>
    <s v="04"/>
    <s v="3PL Direct"/>
    <s v="2d"/>
    <x v="178"/>
    <s v="AR1X02"/>
    <s v="X"/>
    <s v="X"/>
    <s v="No Cut Off"/>
  </r>
  <r>
    <s v="Interior"/>
    <s v="Ushuaia, Tierra del Fuego"/>
    <x v="178"/>
    <x v="21"/>
    <x v="11"/>
    <n v="357"/>
    <n v="990"/>
    <s v="AR"/>
    <s v="TF"/>
    <s v="1"/>
    <s v="02"/>
    <s v="RB_FV"/>
    <s v="TF"/>
    <s v="1d"/>
    <s v="04"/>
    <s v="3PL Direct"/>
    <s v="2d"/>
    <x v="179"/>
    <s v="AR1X02"/>
    <s v="X"/>
    <s v="X"/>
    <s v="No 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1"/>
    <s v="Road/Truck"/>
    <s v="7d"/>
    <x v="180"/>
    <s v="AR1X07"/>
    <s v="X"/>
    <s v="X"/>
    <s v="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1"/>
    <s v="Road/Truck"/>
    <s v="7d"/>
    <x v="181"/>
    <s v="AR1X07"/>
    <s v="X"/>
    <s v="X"/>
    <s v="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1"/>
    <s v="Road/Truck"/>
    <s v="7d"/>
    <x v="182"/>
    <s v="AR1X07"/>
    <s v="X"/>
    <s v="X"/>
    <s v="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1"/>
    <s v="Road/Truck"/>
    <s v="7d"/>
    <x v="183"/>
    <s v="AR1X07"/>
    <s v="X"/>
    <s v="X"/>
    <s v="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1"/>
    <s v="Road/Truck"/>
    <s v="7d"/>
    <x v="184"/>
    <s v="AR1X07"/>
    <s v="X"/>
    <s v="X"/>
    <s v="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1"/>
    <s v="Road/Truck"/>
    <s v="7d"/>
    <x v="185"/>
    <s v="AR1X07"/>
    <s v="X"/>
    <s v="X"/>
    <s v="Cut Off"/>
  </r>
  <r>
    <s v="Interior"/>
    <s v="Aguilares, Tucuman"/>
    <x v="179"/>
    <x v="22"/>
    <x v="6"/>
    <n v="337"/>
    <n v="415"/>
    <s v="AR"/>
    <s v="TU"/>
    <s v="1"/>
    <s v="01"/>
    <s v="RB_FV"/>
    <s v="TU"/>
    <s v="1d"/>
    <s v="04"/>
    <s v="3PL Direct"/>
    <s v="2d"/>
    <x v="180"/>
    <s v="AR1X02"/>
    <s v="X"/>
    <s v="X"/>
    <s v="No Cut Off"/>
  </r>
  <r>
    <s v="Interior"/>
    <s v="Concepcion, Tucuman"/>
    <x v="180"/>
    <x v="22"/>
    <x v="6"/>
    <n v="353"/>
    <n v="410"/>
    <s v="AR"/>
    <s v="TU"/>
    <s v="1"/>
    <s v="02"/>
    <s v="RB_FV"/>
    <s v="TU"/>
    <s v="1d"/>
    <s v="04"/>
    <s v="3PL Direct"/>
    <s v="2d"/>
    <x v="181"/>
    <s v="AR1X02"/>
    <s v="X"/>
    <s v="X"/>
    <s v="No Cut Off"/>
  </r>
  <r>
    <s v="Interior"/>
    <s v="Juan B.Alberdi, Tucuman"/>
    <x v="181"/>
    <x v="22"/>
    <x v="6"/>
    <n v="353"/>
    <n v="420"/>
    <s v="AR"/>
    <s v="TU"/>
    <s v="1"/>
    <s v="03"/>
    <s v="RB_FV"/>
    <s v="TU"/>
    <s v="1d"/>
    <s v="04"/>
    <s v="3PL Direct"/>
    <s v="2d"/>
    <x v="182"/>
    <s v="AR1X02"/>
    <s v="X"/>
    <s v="X"/>
    <s v="No Cut Off"/>
  </r>
  <r>
    <s v="Interior"/>
    <s v="Monteros, Tucuman"/>
    <x v="182"/>
    <x v="22"/>
    <x v="6"/>
    <n v="353"/>
    <n v="405"/>
    <s v="AR"/>
    <s v="TU"/>
    <s v="1"/>
    <s v="04"/>
    <s v="RB_FV"/>
    <s v="TU"/>
    <s v="1d"/>
    <s v="04"/>
    <s v="3PL Direct"/>
    <s v="2d"/>
    <x v="183"/>
    <s v="AR1X02"/>
    <s v="X"/>
    <s v="X"/>
    <s v="No Cut Off"/>
  </r>
  <r>
    <s v="Interior"/>
    <s v="San M.de Tucuman, Tucuman"/>
    <x v="183"/>
    <x v="22"/>
    <x v="6"/>
    <n v="353"/>
    <n v="400"/>
    <s v="AR"/>
    <s v="TU"/>
    <s v="1"/>
    <s v="05"/>
    <s v="RB_FV"/>
    <s v="TU"/>
    <s v="1d"/>
    <s v="04"/>
    <s v="3PL Direct"/>
    <s v="2d"/>
    <x v="184"/>
    <s v="AR1X02"/>
    <s v="X"/>
    <s v="X"/>
    <s v="No Cut Off"/>
  </r>
  <r>
    <s v="Interior"/>
    <s v="Yerba Buena, Tucuman"/>
    <x v="184"/>
    <x v="22"/>
    <x v="6"/>
    <n v="353"/>
    <n v="425"/>
    <s v="AR"/>
    <s v="TU"/>
    <s v="1"/>
    <s v="06"/>
    <s v="RB_FV"/>
    <s v="TU"/>
    <s v="1d"/>
    <s v="04"/>
    <s v="3PL Direct"/>
    <s v="2d"/>
    <x v="185"/>
    <s v="AR1X02"/>
    <s v="X"/>
    <s v="X"/>
    <s v="No 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1"/>
    <s v="Road/Truck"/>
    <s v="7d"/>
    <x v="186"/>
    <s v="AR1X07"/>
    <s v="X"/>
    <s v="X"/>
    <s v="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1"/>
    <s v="Road/Truck"/>
    <s v="7d"/>
    <x v="187"/>
    <s v="AR1X07"/>
    <s v="X"/>
    <s v="X"/>
    <s v="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1"/>
    <s v="Road/Truck"/>
    <s v="7d"/>
    <x v="188"/>
    <s v="AR1X07"/>
    <s v="X"/>
    <s v="X"/>
    <s v="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1"/>
    <s v="Road/Truck"/>
    <s v="7d"/>
    <x v="189"/>
    <s v="AR1X07"/>
    <s v="X"/>
    <s v="X"/>
    <s v="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1"/>
    <s v="Road/Truck"/>
    <s v="7d"/>
    <x v="190"/>
    <s v="AR1X07"/>
    <s v="X"/>
    <s v="X"/>
    <s v="Cut Off"/>
  </r>
  <r>
    <s v="Interior"/>
    <s v="Charata, Chaco"/>
    <x v="185"/>
    <x v="23"/>
    <x v="8"/>
    <n v="348"/>
    <n v="370"/>
    <s v="AR"/>
    <s v="CH"/>
    <s v="1"/>
    <s v="01"/>
    <s v="RB_FV"/>
    <s v="CH"/>
    <s v="1d"/>
    <s v="04"/>
    <s v="3PL Direct"/>
    <s v="2d"/>
    <x v="186"/>
    <s v="AR1X02"/>
    <s v="X"/>
    <s v="X"/>
    <s v="No Cut Off"/>
  </r>
  <r>
    <s v="Interior"/>
    <s v="Pcia.Roque S.PE&amp;A, Chaco"/>
    <x v="186"/>
    <x v="23"/>
    <x v="8"/>
    <n v="348"/>
    <n v="365"/>
    <s v="AR"/>
    <s v="CH"/>
    <s v="1"/>
    <s v="02"/>
    <s v="RB_FV"/>
    <s v="CH"/>
    <s v="1d"/>
    <s v="04"/>
    <s v="3PL Direct"/>
    <s v="2d"/>
    <x v="187"/>
    <s v="AR1X02"/>
    <s v="X"/>
    <s v="X"/>
    <s v="No Cut Off"/>
  </r>
  <r>
    <s v="Interior"/>
    <s v="Quitilipi, Chaco  "/>
    <x v="187"/>
    <x v="23"/>
    <x v="8"/>
    <n v="348"/>
    <n v="375"/>
    <s v="AR"/>
    <s v="CH"/>
    <s v="1"/>
    <s v="03"/>
    <s v="RB_FV"/>
    <s v="CH"/>
    <s v="1d"/>
    <s v="04"/>
    <s v="3PL Direct"/>
    <s v="2d"/>
    <x v="188"/>
    <s v="AR1X02"/>
    <s v="X"/>
    <s v="X"/>
    <s v="No Cut Off"/>
  </r>
  <r>
    <s v="Interior"/>
    <s v="Resistencia, Chaco"/>
    <x v="188"/>
    <x v="23"/>
    <x v="8"/>
    <n v="348"/>
    <n v="348"/>
    <s v="AR"/>
    <s v="CH"/>
    <s v="1"/>
    <s v="04"/>
    <s v="RB_FV"/>
    <s v="CH"/>
    <s v="1d"/>
    <s v="04"/>
    <s v="3PL Direct"/>
    <s v="2d"/>
    <x v="189"/>
    <s v="AR1X02"/>
    <s v="X"/>
    <s v="X"/>
    <s v="No Cut Off"/>
  </r>
  <r>
    <s v="Interior"/>
    <s v="Villa Angela, Chaco"/>
    <x v="189"/>
    <x v="23"/>
    <x v="8"/>
    <n v="348"/>
    <n v="350"/>
    <s v="AR"/>
    <s v="CH"/>
    <s v="1"/>
    <s v="05"/>
    <s v="RB_FV"/>
    <s v="CH"/>
    <s v="1d"/>
    <s v="04"/>
    <s v="3PL Direct"/>
    <s v="2d"/>
    <x v="190"/>
    <s v="AR1X02"/>
    <s v="X"/>
    <s v="X"/>
    <s v="No 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1"/>
    <s v="Road/Truck"/>
    <s v="12d"/>
    <x v="191"/>
    <s v="AR1X12"/>
    <s v="X"/>
    <s v="X"/>
    <s v="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1"/>
    <s v="Road/Truck"/>
    <s v="12d"/>
    <x v="192"/>
    <s v="AR1X12"/>
    <s v="X"/>
    <s v="X"/>
    <s v="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1"/>
    <s v="Road/Truck"/>
    <s v="12d"/>
    <x v="193"/>
    <s v="AR1X12"/>
    <s v="X"/>
    <s v="X"/>
    <s v="Cut Off"/>
  </r>
  <r>
    <s v="Interior"/>
    <s v="Puerto Madryn, Chubut"/>
    <x v="193"/>
    <x v="24"/>
    <x v="11"/>
    <n v="356"/>
    <n v="964"/>
    <s v="AR"/>
    <s v="CT"/>
    <s v="1"/>
    <s v="04"/>
    <s v="RB_FV"/>
    <s v="CT"/>
    <s v="1d"/>
    <s v="01"/>
    <s v="Road/Truck"/>
    <s v="12d"/>
    <x v="194"/>
    <s v="AR1X12"/>
    <s v="X"/>
    <s v="X"/>
    <s v="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1"/>
    <s v="Road/Truck"/>
    <s v="12d"/>
    <x v="195"/>
    <s v="AR1X12"/>
    <s v="X"/>
    <s v="X"/>
    <s v="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1"/>
    <s v="Road/Truck"/>
    <s v="12d"/>
    <x v="196"/>
    <s v="AR1X12"/>
    <s v="X"/>
    <s v="X"/>
    <s v="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1"/>
    <s v="Road/Truck"/>
    <s v="12d"/>
    <x v="197"/>
    <s v="AR1X12"/>
    <s v="X"/>
    <s v="X"/>
    <s v="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1"/>
    <s v="Road/Truck"/>
    <s v="12d"/>
    <x v="198"/>
    <s v="AR1X12"/>
    <s v="X"/>
    <s v="X"/>
    <s v="Cut Off"/>
  </r>
  <r>
    <s v="Interior"/>
    <s v="Comodoro Rivadavia, Chubut"/>
    <x v="190"/>
    <x v="24"/>
    <x v="11"/>
    <n v="356"/>
    <n v="950"/>
    <s v="AR"/>
    <s v="CT"/>
    <s v="1"/>
    <s v="01"/>
    <s v="RB_FV"/>
    <s v="CT"/>
    <s v="1d"/>
    <s v="04"/>
    <s v="3PL Direct"/>
    <s v="2d"/>
    <x v="191"/>
    <s v="AR1X02"/>
    <s v="X"/>
    <s v="X"/>
    <s v="No Cut Off"/>
  </r>
  <r>
    <s v="Interior"/>
    <s v="Esquel, Chubut"/>
    <x v="191"/>
    <x v="24"/>
    <x v="11"/>
    <n v="356"/>
    <n v="966"/>
    <s v="AR"/>
    <s v="CT"/>
    <s v="1"/>
    <s v="02"/>
    <s v="RB_FV"/>
    <s v="CT"/>
    <s v="1d"/>
    <s v="04"/>
    <s v="3PL Direct"/>
    <s v="2d"/>
    <x v="192"/>
    <s v="AR1X02"/>
    <s v="X"/>
    <s v="X"/>
    <s v="No Cut Off"/>
  </r>
  <r>
    <s v="Interior"/>
    <s v="Playa Union, Chubut"/>
    <x v="192"/>
    <x v="24"/>
    <x v="11"/>
    <n v="356"/>
    <n v="953"/>
    <s v="AR"/>
    <s v="CT"/>
    <s v="1"/>
    <s v="03"/>
    <s v="RB_FV"/>
    <s v="CT"/>
    <s v="1d"/>
    <s v="04"/>
    <s v="3PL Direct"/>
    <s v="2d"/>
    <x v="193"/>
    <s v="AR1X02"/>
    <s v="X"/>
    <s v="X"/>
    <s v="No Cut Off"/>
  </r>
  <r>
    <s v="Interior"/>
    <s v="Puerto Madryn, Chubut"/>
    <x v="198"/>
    <x v="24"/>
    <x v="11"/>
    <n v="356"/>
    <n v="964"/>
    <s v="AR"/>
    <s v="CT"/>
    <s v="1"/>
    <s v="04"/>
    <s v="RB_FV"/>
    <s v="CT"/>
    <s v="1d"/>
    <s v="04"/>
    <s v="3PL Direct"/>
    <s v="2d"/>
    <x v="194"/>
    <s v="AR1X02"/>
    <s v="X"/>
    <s v="X"/>
    <s v="No Cut Off"/>
  </r>
  <r>
    <s v="Interior"/>
    <s v="Rawson, Chubut"/>
    <x v="194"/>
    <x v="24"/>
    <x v="11"/>
    <n v="356"/>
    <n v="962"/>
    <s v="AR"/>
    <s v="CT"/>
    <s v="1"/>
    <s v="05"/>
    <s v="RB_FV"/>
    <s v="CT"/>
    <s v="1d"/>
    <s v="04"/>
    <s v="3PL Direct"/>
    <s v="2d"/>
    <x v="195"/>
    <s v="AR1X02"/>
    <s v="X"/>
    <s v="X"/>
    <s v="No Cut Off"/>
  </r>
  <r>
    <s v="Interior"/>
    <s v="Rio Mayo, Chubut"/>
    <x v="195"/>
    <x v="24"/>
    <x v="11"/>
    <n v="356"/>
    <n v="954"/>
    <s v="AR"/>
    <s v="CT"/>
    <s v="1"/>
    <s v="06"/>
    <s v="RB_FV"/>
    <s v="CT"/>
    <s v="1d"/>
    <s v="04"/>
    <s v="3PL Direct"/>
    <s v="2d"/>
    <x v="196"/>
    <s v="AR1X02"/>
    <s v="X"/>
    <s v="X"/>
    <s v="No Cut Off"/>
  </r>
  <r>
    <s v="Interior"/>
    <s v="Sarmiento, Chubut"/>
    <x v="196"/>
    <x v="24"/>
    <x v="11"/>
    <n v="356"/>
    <n v="952"/>
    <s v="AR"/>
    <s v="CT"/>
    <s v="1"/>
    <s v="07"/>
    <s v="RB_FV"/>
    <s v="CT"/>
    <s v="1d"/>
    <s v="04"/>
    <s v="3PL Direct"/>
    <s v="2d"/>
    <x v="197"/>
    <s v="AR1X02"/>
    <s v="X"/>
    <s v="X"/>
    <s v="No Cut Off"/>
  </r>
  <r>
    <s v="Interior"/>
    <s v="Trelew, Chubut"/>
    <x v="197"/>
    <x v="24"/>
    <x v="11"/>
    <n v="356"/>
    <n v="960"/>
    <s v="AR"/>
    <s v="CT"/>
    <s v="1"/>
    <s v="08"/>
    <s v="RB_FV"/>
    <s v="CT"/>
    <s v="1d"/>
    <s v="04"/>
    <s v="3PL Direct"/>
    <s v="2d"/>
    <x v="198"/>
    <s v="AR1X02"/>
    <s v="X"/>
    <s v="X"/>
    <s v="No 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1"/>
    <s v="Road/Truck"/>
    <s v="7d"/>
    <x v="199"/>
    <s v="AR1X07"/>
    <s v="X"/>
    <s v="X"/>
    <s v="Cut Off"/>
  </r>
  <r>
    <s v="Interior"/>
    <s v="Neuquen, Neuquen"/>
    <x v="200"/>
    <x v="25"/>
    <x v="3"/>
    <n v="299"/>
    <n v="904"/>
    <s v="AR"/>
    <s v="NQ"/>
    <s v="1"/>
    <s v="02"/>
    <s v="RB_FV"/>
    <s v="NQ"/>
    <s v="1d"/>
    <s v="01"/>
    <s v="Road/Truck"/>
    <s v="7d"/>
    <x v="200"/>
    <s v="AR1X07"/>
    <s v="X"/>
    <s v="X"/>
    <s v="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1"/>
    <s v="Road/Truck"/>
    <s v="7d"/>
    <x v="201"/>
    <s v="AR1X07"/>
    <s v="X"/>
    <s v="X"/>
    <s v="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1"/>
    <s v="Road/Truck"/>
    <s v="7d"/>
    <x v="202"/>
    <s v="AR1X07"/>
    <s v="X"/>
    <s v="X"/>
    <s v="Cut Off"/>
  </r>
  <r>
    <s v="Interior"/>
    <s v="Centenario, Neuquen"/>
    <x v="199"/>
    <x v="25"/>
    <x v="3"/>
    <n v="299"/>
    <n v="906"/>
    <s v="AR"/>
    <s v="NQ"/>
    <s v="1"/>
    <s v="01"/>
    <s v="RB_FV"/>
    <s v="NQ"/>
    <s v="1d"/>
    <s v="04"/>
    <s v="3PL Direct"/>
    <s v="1d"/>
    <x v="199"/>
    <s v="AR1X01"/>
    <s v="X"/>
    <s v="X"/>
    <s v="No Cut Off"/>
  </r>
  <r>
    <s v="Interior"/>
    <s v="Neuquen, Neuquen"/>
    <x v="203"/>
    <x v="25"/>
    <x v="3"/>
    <n v="299"/>
    <n v="904"/>
    <s v="AR"/>
    <s v="NQ"/>
    <s v="1"/>
    <s v="02"/>
    <s v="RB_FV"/>
    <s v="NQ"/>
    <s v="1d"/>
    <s v="04"/>
    <s v="3PL Direct"/>
    <s v="1d"/>
    <x v="200"/>
    <s v="AR1X01"/>
    <s v="X"/>
    <s v="X"/>
    <s v="No Cut Off"/>
  </r>
  <r>
    <s v="Interior"/>
    <s v="San M. de Los Andes,Neuquen"/>
    <x v="201"/>
    <x v="25"/>
    <x v="3"/>
    <n v="299"/>
    <n v="920"/>
    <s v="AR"/>
    <s v="NQ"/>
    <s v="1"/>
    <s v="03"/>
    <s v="RB_FV"/>
    <s v="NQ"/>
    <s v="1d"/>
    <s v="04"/>
    <s v="3PL Direct"/>
    <s v="1d"/>
    <x v="201"/>
    <s v="AR1X01"/>
    <s v="X"/>
    <s v="X"/>
    <s v="No Cut Off"/>
  </r>
  <r>
    <s v="Interior"/>
    <s v="Zapala, Neuquen"/>
    <x v="202"/>
    <x v="25"/>
    <x v="3"/>
    <n v="299"/>
    <n v="914"/>
    <s v="AR"/>
    <s v="NQ"/>
    <s v="1"/>
    <s v="04"/>
    <s v="RB_FV"/>
    <s v="NQ"/>
    <s v="1d"/>
    <s v="04"/>
    <s v="3PL Direct"/>
    <s v="1d"/>
    <x v="202"/>
    <s v="AR1X01"/>
    <s v="X"/>
    <s v="X"/>
    <s v="No Cut Off"/>
  </r>
  <r>
    <s v="Exportacion"/>
    <s v="Montevideo"/>
    <x v="204"/>
    <x v="26"/>
    <x v="0"/>
    <m/>
    <m/>
    <s v="AR"/>
    <s v="UR"/>
    <s v="1"/>
    <s v="01"/>
    <s v="RB_FV"/>
    <s v="UR"/>
    <s v="1d"/>
    <s v="01"/>
    <s v="Road/Truck"/>
    <s v="3d"/>
    <x v="203"/>
    <s v="AR1X03"/>
    <s v="X"/>
    <s v="X"/>
    <s v="Expo"/>
  </r>
  <r>
    <s v="Exportacion"/>
    <s v="Montevideo"/>
    <x v="204"/>
    <x v="26"/>
    <x v="0"/>
    <m/>
    <m/>
    <s v="AR"/>
    <s v="UR"/>
    <s v="1"/>
    <s v="01"/>
    <s v="RB_FV"/>
    <s v="UR"/>
    <s v="1d"/>
    <s v="04"/>
    <s v="3PL Direct"/>
    <s v="3d"/>
    <x v="203"/>
    <s v="AR1X03"/>
    <s v="X"/>
    <s v="X"/>
    <s v="Exp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60C60-B5C8-4637-A01D-C65479F24131}" name="TablaDinámica1" cacheId="6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D210" firstHeaderRow="1" firstDataRow="1" firstDataCol="4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5">
        <item x="22"/>
        <item x="103"/>
        <item x="179"/>
        <item x="47"/>
        <item x="23"/>
        <item x="48"/>
        <item x="49"/>
        <item x="2"/>
        <item x="150"/>
        <item x="24"/>
        <item x="50"/>
        <item x="21"/>
        <item x="11"/>
        <item x="51"/>
        <item x="30"/>
        <item x="25"/>
        <item x="137"/>
        <item x="52"/>
        <item x="8"/>
        <item x="151"/>
        <item x="3"/>
        <item x="152"/>
        <item x="153"/>
        <item x="46"/>
        <item x="199"/>
        <item x="129"/>
        <item x="154"/>
        <item x="75"/>
        <item x="155"/>
        <item x="185"/>
        <item x="26"/>
        <item x="101"/>
        <item x="27"/>
        <item x="121"/>
        <item x="122"/>
        <item x="90"/>
        <item x="76"/>
        <item x="53"/>
        <item x="190"/>
        <item x="77"/>
        <item x="180"/>
        <item x="78"/>
        <item x="54"/>
        <item x="28"/>
        <item x="55"/>
        <item x="72"/>
        <item x="56"/>
        <item x="79"/>
        <item x="138"/>
        <item x="80"/>
        <item x="29"/>
        <item x="123"/>
        <item x="139"/>
        <item x="116"/>
        <item x="57"/>
        <item x="156"/>
        <item x="157"/>
        <item x="191"/>
        <item x="175"/>
        <item x="158"/>
        <item x="91"/>
        <item x="159"/>
        <item x="140"/>
        <item x="104"/>
        <item x="73"/>
        <item x="97"/>
        <item x="124"/>
        <item x="105"/>
        <item x="12"/>
        <item x="31"/>
        <item x="160"/>
        <item x="81"/>
        <item x="82"/>
        <item x="106"/>
        <item x="98"/>
        <item x="117"/>
        <item x="58"/>
        <item x="181"/>
        <item x="32"/>
        <item x="99"/>
        <item x="83"/>
        <item x="92"/>
        <item x="102"/>
        <item x="161"/>
        <item x="107"/>
        <item x="59"/>
        <item x="118"/>
        <item x="93"/>
        <item x="33"/>
        <item x="34"/>
        <item x="141"/>
        <item x="108"/>
        <item x="162"/>
        <item x="13"/>
        <item x="14"/>
        <item x="109"/>
        <item x="7"/>
        <item x="84"/>
        <item x="15"/>
        <item x="60"/>
        <item x="182"/>
        <item x="204"/>
        <item x="16"/>
        <item x="203"/>
        <item x="200"/>
        <item x="85"/>
        <item x="113"/>
        <item x="61"/>
        <item x="35"/>
        <item x="36"/>
        <item x="94"/>
        <item x="89"/>
        <item x="74"/>
        <item x="142"/>
        <item x="186"/>
        <item x="37"/>
        <item x="38"/>
        <item x="143"/>
        <item x="144"/>
        <item x="39"/>
        <item x="10"/>
        <item x="17"/>
        <item x="192"/>
        <item x="130"/>
        <item x="119"/>
        <item x="145"/>
        <item x="193"/>
        <item x="198"/>
        <item x="120"/>
        <item x="146"/>
        <item x="147"/>
        <item x="187"/>
        <item x="163"/>
        <item x="194"/>
        <item x="164"/>
        <item x="188"/>
        <item x="62"/>
        <item x="63"/>
        <item x="148"/>
        <item x="177"/>
        <item x="195"/>
        <item x="125"/>
        <item x="64"/>
        <item x="149"/>
        <item x="110"/>
        <item x="165"/>
        <item x="166"/>
        <item x="40"/>
        <item x="131"/>
        <item x="18"/>
        <item x="126"/>
        <item x="19"/>
        <item x="65"/>
        <item x="66"/>
        <item x="167"/>
        <item x="111"/>
        <item x="132"/>
        <item x="168"/>
        <item x="169"/>
        <item x="135"/>
        <item x="201"/>
        <item x="183"/>
        <item x="112"/>
        <item x="44"/>
        <item x="95"/>
        <item x="115"/>
        <item x="96"/>
        <item x="0"/>
        <item x="170"/>
        <item x="171"/>
        <item x="86"/>
        <item x="133"/>
        <item x="100"/>
        <item x="67"/>
        <item x="1"/>
        <item x="176"/>
        <item x="172"/>
        <item x="196"/>
        <item x="41"/>
        <item x="197"/>
        <item x="45"/>
        <item x="42"/>
        <item x="68"/>
        <item x="178"/>
        <item x="43"/>
        <item x="173"/>
        <item x="87"/>
        <item x="127"/>
        <item x="189"/>
        <item x="69"/>
        <item x="70"/>
        <item x="20"/>
        <item x="174"/>
        <item x="134"/>
        <item x="71"/>
        <item x="136"/>
        <item x="128"/>
        <item x="88"/>
        <item x="114"/>
        <item x="184"/>
        <item x="202"/>
        <item x="9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n="Chaco" x="23"/>
        <item n="Chubut" x="24"/>
        <item n="Neuquén"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2"/>
        <item x="3"/>
        <item x="1"/>
        <item x="7"/>
        <item x="10"/>
        <item x="9"/>
        <item x="8"/>
        <item x="6"/>
        <item x="4"/>
        <item x="11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4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21"/>
        <item x="0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86"/>
        <item x="187"/>
        <item x="188"/>
        <item x="189"/>
        <item x="190"/>
        <item x="1"/>
        <item x="73"/>
        <item x="74"/>
        <item x="75"/>
        <item x="191"/>
        <item x="192"/>
        <item x="193"/>
        <item x="194"/>
        <item x="195"/>
        <item x="196"/>
        <item x="197"/>
        <item x="198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16"/>
        <item x="117"/>
        <item x="118"/>
        <item x="119"/>
        <item x="120"/>
        <item x="121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99"/>
        <item x="200"/>
        <item x="201"/>
        <item x="202"/>
        <item x="2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76"/>
        <item x="177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33"/>
        <item x="134"/>
        <item x="135"/>
        <item x="136"/>
        <item x="137"/>
        <item x="178"/>
        <item x="179"/>
        <item x="180"/>
        <item x="181"/>
        <item x="182"/>
        <item x="183"/>
        <item x="184"/>
        <item x="185"/>
        <item x="20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4"/>
    <field x="3"/>
    <field x="2"/>
    <field x="17"/>
  </rowFields>
  <rowItems count="207">
    <i>
      <x/>
      <x v="3"/>
      <x v="12"/>
      <x v="8"/>
    </i>
    <i r="2">
      <x v="68"/>
      <x v="9"/>
    </i>
    <i r="2">
      <x v="93"/>
      <x v="10"/>
    </i>
    <i r="2">
      <x v="94"/>
      <x v="11"/>
    </i>
    <i r="2">
      <x v="98"/>
      <x v="12"/>
    </i>
    <i r="2">
      <x v="102"/>
      <x v="13"/>
    </i>
    <i r="2">
      <x v="121"/>
      <x v="14"/>
    </i>
    <i r="2">
      <x v="149"/>
      <x v="15"/>
    </i>
    <i r="2">
      <x v="151"/>
      <x v="16"/>
    </i>
    <i r="2">
      <x v="191"/>
      <x v="17"/>
    </i>
    <i>
      <x v="1"/>
      <x v="3"/>
      <x v="11"/>
      <x v="43"/>
    </i>
    <i r="1">
      <x v="14"/>
      <x v="33"/>
      <x v="139"/>
    </i>
    <i r="2">
      <x v="34"/>
      <x v="140"/>
    </i>
    <i r="2">
      <x v="51"/>
      <x v="141"/>
    </i>
    <i r="2">
      <x v="66"/>
      <x v="142"/>
    </i>
    <i r="2">
      <x v="141"/>
      <x v="143"/>
    </i>
    <i r="2">
      <x v="150"/>
      <x v="144"/>
    </i>
    <i r="2">
      <x v="187"/>
      <x v="145"/>
    </i>
    <i r="2">
      <x v="196"/>
      <x v="146"/>
    </i>
    <i r="1">
      <x v="25"/>
      <x v="24"/>
      <x v="134"/>
    </i>
    <i r="2">
      <x v="103"/>
      <x v="135"/>
    </i>
    <i r="2">
      <x v="104"/>
      <x v="135"/>
    </i>
    <i r="2">
      <x v="160"/>
      <x v="136"/>
    </i>
    <i r="2">
      <x v="200"/>
      <x v="137"/>
    </i>
    <i>
      <x v="2"/>
      <x v="3"/>
      <x v="18"/>
      <x v="5"/>
    </i>
    <i r="2">
      <x v="20"/>
      <x/>
    </i>
    <i r="2">
      <x v="96"/>
      <x v="4"/>
    </i>
    <i r="2">
      <x v="120"/>
      <x v="7"/>
    </i>
    <i r="2">
      <x v="201"/>
      <x v="6"/>
    </i>
    <i r="2">
      <x v="202"/>
      <x v="1"/>
    </i>
    <i r="2">
      <x v="203"/>
      <x v="2"/>
    </i>
    <i r="2">
      <x v="204"/>
      <x v="3"/>
    </i>
    <i>
      <x v="3"/>
      <x v="5"/>
      <x v="3"/>
      <x v="46"/>
    </i>
    <i r="2">
      <x v="5"/>
      <x v="47"/>
    </i>
    <i r="2">
      <x v="6"/>
      <x v="48"/>
    </i>
    <i r="2">
      <x v="10"/>
      <x v="49"/>
    </i>
    <i r="2">
      <x v="13"/>
      <x v="50"/>
    </i>
    <i r="2">
      <x v="17"/>
      <x v="51"/>
    </i>
    <i r="2">
      <x v="37"/>
      <x v="52"/>
    </i>
    <i r="2">
      <x v="42"/>
      <x v="53"/>
    </i>
    <i r="2">
      <x v="44"/>
      <x v="54"/>
    </i>
    <i r="2">
      <x v="46"/>
      <x v="55"/>
    </i>
    <i r="2">
      <x v="54"/>
      <x v="56"/>
    </i>
    <i r="2">
      <x v="76"/>
      <x v="57"/>
    </i>
    <i r="2">
      <x v="85"/>
      <x v="58"/>
    </i>
    <i r="2">
      <x v="99"/>
      <x v="59"/>
    </i>
    <i r="2">
      <x v="107"/>
      <x v="60"/>
    </i>
    <i r="2">
      <x v="136"/>
      <x v="61"/>
    </i>
    <i r="2">
      <x v="137"/>
      <x v="62"/>
    </i>
    <i r="2">
      <x v="142"/>
      <x v="63"/>
    </i>
    <i r="2">
      <x v="152"/>
      <x v="64"/>
    </i>
    <i r="2">
      <x v="153"/>
      <x v="65"/>
    </i>
    <i r="2">
      <x v="173"/>
      <x v="66"/>
    </i>
    <i r="2">
      <x v="182"/>
      <x v="67"/>
    </i>
    <i r="2">
      <x v="189"/>
      <x v="68"/>
    </i>
    <i r="2">
      <x v="190"/>
      <x v="69"/>
    </i>
    <i r="2">
      <x v="194"/>
      <x v="70"/>
    </i>
    <i r="1">
      <x v="11"/>
      <x v="31"/>
      <x v="114"/>
    </i>
    <i r="2">
      <x v="82"/>
      <x v="115"/>
    </i>
    <i>
      <x v="4"/>
      <x v="12"/>
      <x v="1"/>
      <x v="122"/>
    </i>
    <i r="2">
      <x v="63"/>
      <x v="123"/>
    </i>
    <i r="2">
      <x v="67"/>
      <x v="124"/>
    </i>
    <i r="2">
      <x v="73"/>
      <x v="125"/>
    </i>
    <i r="2">
      <x v="84"/>
      <x v="126"/>
    </i>
    <i r="2">
      <x v="91"/>
      <x v="127"/>
    </i>
    <i r="2">
      <x v="95"/>
      <x v="128"/>
    </i>
    <i r="2">
      <x v="106"/>
      <x v="132"/>
    </i>
    <i r="2">
      <x v="144"/>
      <x v="129"/>
    </i>
    <i r="2">
      <x v="155"/>
      <x v="130"/>
    </i>
    <i r="2">
      <x v="162"/>
      <x v="131"/>
    </i>
    <i r="2">
      <x v="165"/>
      <x v="132"/>
    </i>
    <i r="2">
      <x v="198"/>
      <x v="133"/>
    </i>
    <i r="1">
      <x v="16"/>
      <x v="156"/>
      <x v="190"/>
    </i>
    <i r="2">
      <x v="171"/>
      <x v="191"/>
    </i>
    <i r="2">
      <x v="193"/>
      <x v="192"/>
    </i>
    <i r="1">
      <x v="17"/>
      <x v="159"/>
      <x v="193"/>
    </i>
    <i r="2">
      <x v="195"/>
      <x v="194"/>
    </i>
    <i>
      <x v="5"/>
      <x v="7"/>
      <x v="27"/>
      <x v="88"/>
    </i>
    <i r="2">
      <x v="36"/>
      <x v="89"/>
    </i>
    <i r="2">
      <x v="39"/>
      <x v="90"/>
    </i>
    <i r="2">
      <x v="41"/>
      <x v="91"/>
    </i>
    <i r="2">
      <x v="47"/>
      <x v="92"/>
    </i>
    <i r="2">
      <x v="49"/>
      <x v="93"/>
    </i>
    <i r="2">
      <x v="71"/>
      <x v="94"/>
    </i>
    <i r="2">
      <x v="72"/>
      <x v="95"/>
    </i>
    <i r="2">
      <x v="80"/>
      <x v="96"/>
    </i>
    <i r="2">
      <x v="97"/>
      <x v="97"/>
    </i>
    <i r="2">
      <x v="105"/>
      <x v="98"/>
    </i>
    <i r="2">
      <x v="170"/>
      <x v="99"/>
    </i>
    <i r="2">
      <x v="186"/>
      <x v="100"/>
    </i>
    <i r="2">
      <x v="197"/>
      <x v="101"/>
    </i>
    <i>
      <x v="6"/>
      <x v="6"/>
      <x v="45"/>
      <x v="77"/>
    </i>
    <i r="2">
      <x v="64"/>
      <x v="78"/>
    </i>
    <i r="2">
      <x v="112"/>
      <x v="79"/>
    </i>
    <i r="1">
      <x v="8"/>
      <x v="35"/>
      <x v="103"/>
    </i>
    <i r="2">
      <x v="60"/>
      <x v="104"/>
    </i>
    <i r="1">
      <x v="13"/>
      <x v="53"/>
      <x v="116"/>
    </i>
    <i r="2">
      <x v="75"/>
      <x v="117"/>
    </i>
    <i r="2">
      <x v="86"/>
      <x v="118"/>
    </i>
    <i r="2">
      <x v="106"/>
      <x v="119"/>
    </i>
    <i r="2">
      <x v="124"/>
      <x v="120"/>
    </i>
    <i r="2">
      <x v="128"/>
      <x v="121"/>
    </i>
    <i r="1">
      <x v="23"/>
      <x v="29"/>
      <x v="71"/>
    </i>
    <i r="2">
      <x v="114"/>
      <x v="72"/>
    </i>
    <i r="2">
      <x v="131"/>
      <x v="73"/>
    </i>
    <i r="2">
      <x v="135"/>
      <x v="74"/>
    </i>
    <i r="2">
      <x v="188"/>
      <x v="75"/>
    </i>
    <i>
      <x v="7"/>
      <x v="4"/>
      <x v="23"/>
      <x v="45"/>
    </i>
    <i r="1">
      <x v="9"/>
      <x v="81"/>
      <x v="105"/>
    </i>
    <i r="2">
      <x v="87"/>
      <x v="106"/>
    </i>
    <i r="2">
      <x v="110"/>
      <x v="107"/>
    </i>
    <i r="2">
      <x v="164"/>
      <x v="108"/>
    </i>
    <i r="2">
      <x v="166"/>
      <x v="109"/>
    </i>
    <i r="1">
      <x v="15"/>
      <x v="25"/>
      <x v="147"/>
    </i>
    <i r="2">
      <x v="123"/>
      <x v="148"/>
    </i>
    <i r="2">
      <x v="148"/>
      <x v="149"/>
    </i>
    <i r="1">
      <x v="20"/>
      <x v="58"/>
      <x v="163"/>
    </i>
    <i r="2">
      <x v="175"/>
      <x v="164"/>
    </i>
    <i r="1">
      <x v="22"/>
      <x v="2"/>
      <x v="197"/>
    </i>
    <i r="2">
      <x v="40"/>
      <x v="198"/>
    </i>
    <i r="2">
      <x v="77"/>
      <x v="199"/>
    </i>
    <i r="2">
      <x v="100"/>
      <x v="200"/>
    </i>
    <i r="2">
      <x v="161"/>
      <x v="201"/>
    </i>
    <i r="2">
      <x v="199"/>
      <x v="202"/>
    </i>
    <i>
      <x v="8"/>
      <x v="3"/>
      <x/>
      <x v="18"/>
    </i>
    <i r="2">
      <x v="4"/>
      <x v="19"/>
    </i>
    <i r="2">
      <x v="9"/>
      <x v="20"/>
    </i>
    <i r="2">
      <x v="14"/>
      <x v="27"/>
    </i>
    <i r="2">
      <x v="15"/>
      <x v="21"/>
    </i>
    <i r="2">
      <x v="18"/>
      <x v="22"/>
    </i>
    <i r="2">
      <x v="30"/>
      <x v="23"/>
    </i>
    <i r="2">
      <x v="32"/>
      <x v="24"/>
    </i>
    <i r="2">
      <x v="43"/>
      <x v="25"/>
    </i>
    <i r="2">
      <x v="50"/>
      <x v="26"/>
    </i>
    <i r="2">
      <x v="69"/>
      <x v="28"/>
    </i>
    <i r="2">
      <x v="78"/>
      <x v="29"/>
    </i>
    <i r="2">
      <x v="88"/>
      <x v="30"/>
    </i>
    <i r="2">
      <x v="89"/>
      <x v="31"/>
    </i>
    <i r="2">
      <x v="108"/>
      <x v="32"/>
    </i>
    <i r="2">
      <x v="109"/>
      <x v="33"/>
    </i>
    <i r="2">
      <x v="115"/>
      <x v="34"/>
    </i>
    <i r="2">
      <x v="116"/>
      <x v="35"/>
    </i>
    <i r="2">
      <x v="119"/>
      <x v="36"/>
    </i>
    <i r="2">
      <x v="147"/>
      <x v="37"/>
    </i>
    <i r="2">
      <x v="178"/>
      <x v="38"/>
    </i>
    <i r="2">
      <x v="180"/>
      <x v="42"/>
    </i>
    <i r="2">
      <x v="181"/>
      <x v="39"/>
    </i>
    <i r="2">
      <x v="184"/>
      <x v="40"/>
    </i>
    <i r="1">
      <x v="10"/>
      <x v="65"/>
      <x v="110"/>
    </i>
    <i r="2">
      <x v="74"/>
      <x v="111"/>
    </i>
    <i r="2">
      <x v="79"/>
      <x v="112"/>
    </i>
    <i r="2">
      <x v="172"/>
      <x v="113"/>
    </i>
    <i>
      <x v="9"/>
      <x v="18"/>
      <x v="16"/>
      <x v="150"/>
    </i>
    <i r="2">
      <x v="48"/>
      <x v="151"/>
    </i>
    <i r="2">
      <x v="52"/>
      <x v="152"/>
    </i>
    <i r="2">
      <x v="62"/>
      <x v="153"/>
    </i>
    <i r="2">
      <x v="90"/>
      <x v="154"/>
    </i>
    <i r="2">
      <x v="113"/>
      <x v="155"/>
    </i>
    <i r="2">
      <x v="117"/>
      <x v="156"/>
    </i>
    <i r="2">
      <x v="118"/>
      <x v="157"/>
    </i>
    <i r="2">
      <x v="125"/>
      <x v="158"/>
    </i>
    <i r="2">
      <x v="129"/>
      <x v="159"/>
    </i>
    <i r="2">
      <x v="130"/>
      <x v="160"/>
    </i>
    <i r="2">
      <x v="138"/>
      <x v="161"/>
    </i>
    <i r="2">
      <x v="143"/>
      <x v="162"/>
    </i>
    <i r="1">
      <x v="21"/>
      <x v="139"/>
      <x v="195"/>
    </i>
    <i r="2">
      <x v="183"/>
      <x v="196"/>
    </i>
    <i r="1">
      <x v="24"/>
      <x v="38"/>
      <x v="80"/>
    </i>
    <i r="2">
      <x v="57"/>
      <x v="81"/>
    </i>
    <i r="2">
      <x v="122"/>
      <x v="82"/>
    </i>
    <i r="2">
      <x v="126"/>
      <x v="83"/>
    </i>
    <i r="2">
      <x v="127"/>
      <x v="83"/>
    </i>
    <i r="2">
      <x v="133"/>
      <x v="84"/>
    </i>
    <i r="2">
      <x v="140"/>
      <x v="85"/>
    </i>
    <i r="2">
      <x v="177"/>
      <x v="86"/>
    </i>
    <i r="2">
      <x v="179"/>
      <x v="87"/>
    </i>
    <i>
      <x v="10"/>
      <x v="3"/>
      <x v="163"/>
      <x v="41"/>
    </i>
    <i r="1">
      <x v="7"/>
      <x v="111"/>
      <x v="102"/>
    </i>
    <i r="1">
      <x v="19"/>
      <x v="8"/>
      <x v="165"/>
    </i>
    <i r="2">
      <x v="19"/>
      <x v="166"/>
    </i>
    <i r="2">
      <x v="21"/>
      <x v="167"/>
    </i>
    <i r="2">
      <x v="22"/>
      <x v="168"/>
    </i>
    <i r="2">
      <x v="26"/>
      <x v="169"/>
    </i>
    <i r="2">
      <x v="28"/>
      <x v="170"/>
    </i>
    <i r="2">
      <x v="55"/>
      <x v="171"/>
    </i>
    <i r="2">
      <x v="56"/>
      <x v="172"/>
    </i>
    <i r="2">
      <x v="59"/>
      <x v="173"/>
    </i>
    <i r="2">
      <x v="61"/>
      <x v="174"/>
    </i>
    <i r="2">
      <x v="70"/>
      <x v="175"/>
    </i>
    <i r="2">
      <x v="83"/>
      <x v="176"/>
    </i>
    <i r="2">
      <x v="92"/>
      <x v="177"/>
    </i>
    <i r="2">
      <x v="132"/>
      <x v="178"/>
    </i>
    <i r="2">
      <x v="134"/>
      <x v="179"/>
    </i>
    <i r="2">
      <x v="145"/>
      <x v="180"/>
    </i>
    <i r="2">
      <x v="146"/>
      <x v="181"/>
    </i>
    <i r="2">
      <x v="154"/>
      <x v="182"/>
    </i>
    <i r="2">
      <x v="157"/>
      <x v="183"/>
    </i>
    <i r="2">
      <x v="158"/>
      <x v="184"/>
    </i>
    <i r="2">
      <x v="168"/>
      <x v="185"/>
    </i>
    <i r="2">
      <x v="169"/>
      <x v="186"/>
    </i>
    <i r="2">
      <x v="176"/>
      <x v="187"/>
    </i>
    <i r="2">
      <x v="185"/>
      <x v="188"/>
    </i>
    <i r="2">
      <x v="192"/>
      <x v="189"/>
    </i>
    <i>
      <x v="11"/>
      <x/>
      <x v="167"/>
      <x v="44"/>
    </i>
    <i r="1">
      <x v="1"/>
      <x v="174"/>
      <x v="76"/>
    </i>
    <i r="1">
      <x v="2"/>
      <x v="7"/>
      <x v="138"/>
    </i>
    <i r="1">
      <x v="26"/>
      <x v="101"/>
      <x v="20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E6F9F2-8A40-4698-BFA6-748A43BEB34C}" name="TablaDiná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2:N11" firstHeaderRow="1" firstDataRow="1" firstDataCol="1"/>
  <pivotFields count="31">
    <pivotField axis="axisRow" showAll="0">
      <items count="10">
        <item x="0"/>
        <item x="1"/>
        <item x="2"/>
        <item x="3"/>
        <item x="4"/>
        <item x="5"/>
        <item x="6"/>
        <item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" xr10:uid="{83E3C651-3C88-45C4-85A6-377702B1CCF8}" sourceName="CARRIER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RRIER1" xr10:uid="{1EA60A15-D7C1-4EBA-B3F1-088DE7456881}" sourceName="CARRIER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INCE" xr10:uid="{4875A60F-090E-41EF-9646-8C2A56B434F2}" sourceName="PROVINCE">
  <extLst>
    <x:ext xmlns:x15="http://schemas.microsoft.com/office/spreadsheetml/2010/11/main" uri="{2F2917AC-EB37-4324-AD4E-5DD8C200BD13}">
      <x15:tableSlicerCache tableId="2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ITY_FOS" xr10:uid="{FB6779F0-5B64-4DDB-9103-E24DA8AD1F48}" sourceName="CITY FOS">
  <extLst>
    <x:ext xmlns:x15="http://schemas.microsoft.com/office/spreadsheetml/2010/11/main" uri="{2F2917AC-EB37-4324-AD4E-5DD8C200BD13}">
      <x15:tableSlicerCache tableId="2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" xr10:uid="{E5FAE5E8-AA2E-42A2-8BE2-E0641B497AFB}" cache="SegmentaciónDeDatos_CARRIER" caption="CARRIER" columnCount="3" rowHeight="241300"/>
  <slicer name="PROVINCE" xr10:uid="{16C5F8A6-8B5D-4F31-8FAE-894688BA5D85}" cache="SegmentaciónDeDatos_PROVINCE" caption="PROVINCE" rowHeight="241300"/>
  <slicer name="CITY FOS" xr10:uid="{FF4709B3-488E-4F4E-A357-7F71C71284C1}" cache="SegmentaciónDeDatos_CITY_FOS" caption="CITY FOS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RRIER 1" xr10:uid="{5CA1CBCD-5F51-440C-BE3C-BA9833983360}" cache="SegmentaciónDeDatos_CARRIER1" caption="CARRIER" columnCount="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243" displayName="Tabla243" ref="M2:N7" totalsRowShown="0" headerRowDxfId="99" dataDxfId="98">
  <autoFilter ref="M2:N7" xr:uid="{00000000-0009-0000-0100-000001000000}"/>
  <tableColumns count="2">
    <tableColumn id="1" xr3:uid="{00000000-0010-0000-0000-000001000000}" name="Scale Cross Dock" dataDxfId="97"/>
    <tableColumn id="2" xr3:uid="{00000000-0010-0000-0000-000002000000}" name="Hasta KG" dataDxfId="9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4" displayName="Tabla4" ref="A12:U248" totalsRowShown="0" headerRowDxfId="95" dataDxfId="94">
  <autoFilter ref="A12:U248" xr:uid="{00000000-000C-0000-FFFF-FFFF01000000}"/>
  <sortState xmlns:xlrd2="http://schemas.microsoft.com/office/spreadsheetml/2017/richdata2" ref="A13:U246">
    <sortCondition ref="A12:A246"/>
  </sortState>
  <tableColumns count="21">
    <tableColumn id="1" xr3:uid="{00000000-0010-0000-0100-000001000000}" name="CARRIER" dataDxfId="93"/>
    <tableColumn id="2" xr3:uid="{00000000-0010-0000-0100-000002000000}" name="RUTA" dataDxfId="92"/>
    <tableColumn id="3" xr3:uid="{00000000-0010-0000-0100-000003000000}" name="PROVINCE" dataDxfId="91"/>
    <tableColumn id="4" xr3:uid="{00000000-0010-0000-0100-000004000000}" name="CITY FOS" dataDxfId="90"/>
    <tableColumn id="23" xr3:uid="{00000000-0010-0000-0100-000017000000}" name="TRANSPORT ZONE" dataDxfId="89"/>
    <tableColumn id="5" xr3:uid="{00000000-0010-0000-0100-000005000000}" name="SEMI" dataDxfId="88"/>
    <tableColumn id="6" xr3:uid="{00000000-0010-0000-0100-000006000000}" name="BALANCIN" dataDxfId="87"/>
    <tableColumn id="7" xr3:uid="{00000000-0010-0000-0100-000007000000}" name="CHASIS" dataDxfId="86"/>
    <tableColumn id="8" xr3:uid="{00000000-0010-0000-0100-000008000000}" name="LIVIANO" dataDxfId="85"/>
    <tableColumn id="9" xr3:uid="{00000000-0010-0000-0100-000009000000}" name="UTILITARIO" dataDxfId="84"/>
    <tableColumn id="10" xr3:uid="{00000000-0010-0000-0100-00000A000000}" name="TARIFA" dataDxfId="83"/>
    <tableColumn id="11" xr3:uid="{00000000-0010-0000-0100-00000B000000}" name="TYPE OF SHIPMENT" dataDxfId="82"/>
    <tableColumn id="12" xr3:uid="{00000000-0010-0000-0100-00000C000000}" name="Base Cross Dock" dataDxfId="81"/>
    <tableColumn id="22" xr3:uid="{00000000-0010-0000-0100-000016000000}" name="fixed value? (YES/NO)" dataDxfId="80"/>
    <tableColumn id="13" xr3:uid="{00000000-0010-0000-0100-00000D000000}" name="1s" dataDxfId="79" dataCellStyle="Moneda"/>
    <tableColumn id="14" xr3:uid="{00000000-0010-0000-0100-00000E000000}" name="2s" dataDxfId="78" dataCellStyle="Moneda"/>
    <tableColumn id="15" xr3:uid="{00000000-0010-0000-0100-00000F000000}" name="3s" dataDxfId="77" dataCellStyle="Moneda"/>
    <tableColumn id="16" xr3:uid="{00000000-0010-0000-0100-000010000000}" name="4s" dataDxfId="76" dataCellStyle="Moneda"/>
    <tableColumn id="17" xr3:uid="{00000000-0010-0000-0100-000011000000}" name="5s" dataDxfId="75" dataCellStyle="Moneda"/>
    <tableColumn id="19" xr3:uid="{00000000-0010-0000-0100-000013000000}" name="X KG" dataDxfId="74" dataCellStyle="Moneda"/>
    <tableColumn id="18" xr3:uid="{00000000-0010-0000-0100-000012000000}" name="TIPO DE VIAJE2" dataDxfId="73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7" displayName="Tabla47" ref="A2:U240" totalsRowShown="0" headerRowDxfId="72" dataDxfId="71">
  <autoFilter ref="A2:U240" xr:uid="{00000000-000C-0000-FFFF-FFFF02000000}"/>
  <tableColumns count="21">
    <tableColumn id="1" xr3:uid="{00000000-0010-0000-0200-000001000000}" name="CARRIER" dataDxfId="70"/>
    <tableColumn id="2" xr3:uid="{00000000-0010-0000-0200-000002000000}" name="RUTA" dataDxfId="69"/>
    <tableColumn id="3" xr3:uid="{00000000-0010-0000-0200-000003000000}" name="PROVINCE" dataDxfId="68"/>
    <tableColumn id="4" xr3:uid="{00000000-0010-0000-0200-000004000000}" name="CITY FOS" dataDxfId="67"/>
    <tableColumn id="23" xr3:uid="{00000000-0010-0000-0200-000017000000}" name="TRANSPORT ZONE" dataDxfId="66"/>
    <tableColumn id="5" xr3:uid="{00000000-0010-0000-0200-000005000000}" name="SEMI" dataDxfId="65"/>
    <tableColumn id="6" xr3:uid="{00000000-0010-0000-0200-000006000000}" name="BALANCIN" dataDxfId="64"/>
    <tableColumn id="7" xr3:uid="{00000000-0010-0000-0200-000007000000}" name="CHASIS" dataDxfId="63"/>
    <tableColumn id="8" xr3:uid="{00000000-0010-0000-0200-000008000000}" name="LIVIANO" dataDxfId="62"/>
    <tableColumn id="9" xr3:uid="{00000000-0010-0000-0200-000009000000}" name="UTILITARIO" dataDxfId="61"/>
    <tableColumn id="10" xr3:uid="{00000000-0010-0000-0200-00000A000000}" name="TIPO DE VIAJE" dataDxfId="60">
      <calculatedColumnFormula>IF(B3&lt;&gt;"BUE",IF(F3=0,"Falta Tarifa","Tarifado"),IF(AND(F3&lt;&gt;0,G3&lt;&gt;0,H3&lt;&gt;0,I3&lt;&gt;0,J3&lt;&gt;0),"Tarifado","Falta Tarifa"))</calculatedColumnFormula>
    </tableColumn>
    <tableColumn id="11" xr3:uid="{00000000-0010-0000-0200-00000B000000}" name="TYPE OF SHIPMENT" dataDxfId="59"/>
    <tableColumn id="12" xr3:uid="{00000000-0010-0000-0200-00000C000000}" name="Base Cross Dock" dataDxfId="58"/>
    <tableColumn id="22" xr3:uid="{00000000-0010-0000-0200-000016000000}" name="fixed value? (YES/NO)" dataDxfId="57"/>
    <tableColumn id="13" xr3:uid="{00000000-0010-0000-0200-00000D000000}" name="1s" dataDxfId="56"/>
    <tableColumn id="14" xr3:uid="{00000000-0010-0000-0200-00000E000000}" name="2s" dataDxfId="55"/>
    <tableColumn id="15" xr3:uid="{00000000-0010-0000-0200-00000F000000}" name="3s" dataDxfId="54"/>
    <tableColumn id="16" xr3:uid="{00000000-0010-0000-0200-000010000000}" name="4s" dataDxfId="53"/>
    <tableColumn id="17" xr3:uid="{00000000-0010-0000-0200-000011000000}" name="5s" dataDxfId="52"/>
    <tableColumn id="19" xr3:uid="{00000000-0010-0000-0200-000013000000}" name="X KG" dataDxfId="51"/>
    <tableColumn id="18" xr3:uid="{00000000-0010-0000-0200-000012000000}" name="TIPO DE VIAJE2" dataDxfId="50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3BBEA0-9EF6-4374-B201-2010831C0C3B}" name="Tabla5" displayName="Tabla5" ref="A12:AE243" totalsRowShown="0" headerRowDxfId="49" dataCellStyle="Porcentaje">
  <autoFilter ref="A12:AE243" xr:uid="{00000000-0001-0000-0200-000000000000}"/>
  <tableColumns count="31">
    <tableColumn id="1" xr3:uid="{001D6A92-64CC-4225-AA5E-A5CE6EBAF2F6}" name="CARRIER" dataDxfId="48"/>
    <tableColumn id="2" xr3:uid="{494EE347-6C3B-4669-ABCD-3A3170C5A2AB}" name="RUTA" dataDxfId="47"/>
    <tableColumn id="3" xr3:uid="{32133938-0D48-4E6A-A4F9-846F936A1C3D}" name="PROVINCE" dataDxfId="46"/>
    <tableColumn id="4" xr3:uid="{0C1F5E3E-8269-4BA5-A7B9-AEC061A29755}" name="CITY FOS" dataDxfId="45"/>
    <tableColumn id="5" xr3:uid="{9A896344-4DBC-4C6C-83BA-7D1843ACDE04}" name="TRANSPORT ZONE" dataDxfId="44"/>
    <tableColumn id="6" xr3:uid="{1625E082-6B9F-441E-8FD4-372C9D7F7131}" name="TYPE OF SHIPMENT" dataDxfId="43"/>
    <tableColumn id="7" xr3:uid="{39E016BB-4C80-443E-A308-866E8712BA4D}" name="0,00%" dataDxfId="42" dataCellStyle="Porcentaje"/>
    <tableColumn id="8" xr3:uid="{72118FD7-943C-42C8-9A1D-DA513CA72067}" name="ene-24" dataDxfId="41" dataCellStyle="Porcentaje"/>
    <tableColumn id="9" xr3:uid="{F04E9045-FEA6-43BB-913D-9AA2859130BA}" name="feb-24" dataDxfId="40" dataCellStyle="Porcentaje"/>
    <tableColumn id="10" xr3:uid="{E8AD85E9-EAA8-47B0-8B17-CE392DB40BB5}" name="mar-24" dataDxfId="39" dataCellStyle="Porcentaje"/>
    <tableColumn id="11" xr3:uid="{26898980-3B40-415F-A72B-D7625F850E4F}" name="abr-24" dataDxfId="38" dataCellStyle="Porcentaje"/>
    <tableColumn id="12" xr3:uid="{C34F2B98-CDDF-40B6-83B8-349478411088}" name="may-24" dataDxfId="37" dataCellStyle="Porcentaje"/>
    <tableColumn id="13" xr3:uid="{0370F36E-31B3-46AF-B757-3DC61B719ED0}" name="jun-24" dataDxfId="36" dataCellStyle="Porcentaje"/>
    <tableColumn id="14" xr3:uid="{1C1C4E37-8144-4A1B-A7D5-AA82D38F236D}" name="jul-24" dataDxfId="35" dataCellStyle="Porcentaje"/>
    <tableColumn id="15" xr3:uid="{6AE3C84B-AAA2-4796-9524-E0E509AF7BCD}" name="ago-24" dataDxfId="34" dataCellStyle="Porcentaje"/>
    <tableColumn id="16" xr3:uid="{4EC3A572-BDD0-4618-A440-2E0AC5AF1DCB}" name="sept-24" dataDxfId="33" dataCellStyle="Porcentaje"/>
    <tableColumn id="17" xr3:uid="{7D33440C-B197-4D49-BBE7-9D8FCA99DC65}" name="oct-24" dataDxfId="32" dataCellStyle="Porcentaje"/>
    <tableColumn id="18" xr3:uid="{EC0A13E5-3DD5-4279-AB1E-44429C1223A4}" name="nov-24" dataDxfId="31" dataCellStyle="Porcentaje"/>
    <tableColumn id="19" xr3:uid="{6BE2A6B3-C19E-4EEA-A4AA-CD6693A96CE7}" name="dic-24" dataDxfId="30" dataCellStyle="Porcentaje"/>
    <tableColumn id="20" xr3:uid="{30C36C04-6120-490F-B836-7BE36F073309}" name="ene-25" dataDxfId="29" dataCellStyle="Porcentaje"/>
    <tableColumn id="21" xr3:uid="{8D455214-7B25-4D1A-B6FE-BF01A3B6BAA9}" name="feb-25" dataDxfId="28" dataCellStyle="Porcentaje"/>
    <tableColumn id="22" xr3:uid="{C18E82AF-33FB-41CF-AC39-C98A4615427B}" name="mar-25" dataDxfId="27" dataCellStyle="Porcentaje"/>
    <tableColumn id="23" xr3:uid="{633F4580-BAF2-498F-B149-0E51A8FA2BBA}" name="abr-25" dataDxfId="26" dataCellStyle="Porcentaje"/>
    <tableColumn id="24" xr3:uid="{7016B53F-D26C-4A22-91D8-8F8BC717812A}" name="may-25" dataDxfId="25" dataCellStyle="Porcentaje"/>
    <tableColumn id="25" xr3:uid="{BFDF498F-F44B-4A42-AEB4-93D2F9B00637}" name="jun-25" dataDxfId="24" dataCellStyle="Porcentaje"/>
    <tableColumn id="26" xr3:uid="{F24596A1-6708-42B2-9674-F996B775A083}" name="jul-25" dataDxfId="23" dataCellStyle="Porcentaje"/>
    <tableColumn id="27" xr3:uid="{BAA83224-C39D-4056-B4D8-ACE4C75BFA91}" name="ago-25" dataDxfId="22" dataCellStyle="Porcentaje"/>
    <tableColumn id="28" xr3:uid="{60B49ED3-0AD0-4061-8A5E-D070066A495A}" name="sept-25" dataDxfId="21" dataCellStyle="Porcentaje"/>
    <tableColumn id="29" xr3:uid="{13BD99AE-0BBC-4F29-9ADD-2E9237CA4DB1}" name="oct-252" dataDxfId="20" dataCellStyle="Porcentaje"/>
    <tableColumn id="30" xr3:uid="{A95D0913-F9BC-495A-9C8D-4CDD7A58D67D}" name="nov-252" dataDxfId="19" dataCellStyle="Porcentaje"/>
    <tableColumn id="31" xr3:uid="{523DB763-74D8-436A-83A2-7E1F295492FA}" name="dic-25" dataDxfId="18" dataCellStyle="Porcentaje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6" displayName="Tabla16" ref="A1:V409" totalsRowShown="0" headerRowDxfId="16" tableBorderDxfId="15">
  <sortState xmlns:xlrd2="http://schemas.microsoft.com/office/spreadsheetml/2017/richdata2" ref="A2:U409">
    <sortCondition ref="D2:D409"/>
    <sortCondition ref="A2:A409"/>
  </sortState>
  <tableColumns count="22">
    <tableColumn id="1" xr3:uid="{00000000-0010-0000-0300-000001000000}" name="RUT" dataDxfId="14"/>
    <tableColumn id="2" xr3:uid="{00000000-0010-0000-0300-000002000000}" name="&amp;ZONA (Parada) Base ICDRB" dataDxfId="13"/>
    <tableColumn id="3" xr3:uid="{00000000-0010-0000-0300-000003000000}" name="&amp;ZONA (Parada) Para tarifario"/>
    <tableColumn id="4" xr3:uid="{00000000-0010-0000-0300-000004000000}" name="Provincia" dataDxfId="12"/>
    <tableColumn id="5" xr3:uid="{00000000-0010-0000-0300-000005000000}" name="Ruta" dataDxfId="11"/>
    <tableColumn id="6" xr3:uid="{00000000-0010-0000-0300-000006000000}" name="ZONA" dataDxfId="10"/>
    <tableColumn id="7" xr3:uid="{00000000-0010-0000-0300-000007000000}" name="Parada" dataDxfId="9"/>
    <tableColumn id="15" xr3:uid="{00000000-0010-0000-0300-00000F000000}" name="ABR_01" dataDxfId="8"/>
    <tableColumn id="16" xr3:uid="{00000000-0010-0000-0300-000010000000}" name="ABR_02" dataDxfId="7"/>
    <tableColumn id="17" xr3:uid="{00000000-0010-0000-0300-000011000000}" name="ZONA2" dataDxfId="6"/>
    <tableColumn id="20" xr3:uid="{00000000-0010-0000-0300-000014000000}" name="PARADA2" dataDxfId="5"/>
    <tableColumn id="8" xr3:uid="{00000000-0010-0000-0300-000008000000}" name="FROM" dataDxfId="4"/>
    <tableColumn id="9" xr3:uid="{00000000-0010-0000-0300-000009000000}" name="TO" dataDxfId="3">
      <calculatedColumnFormula>Tabla16[[#This Row],[ABR_02]]</calculatedColumnFormula>
    </tableColumn>
    <tableColumn id="10" xr3:uid="{00000000-0010-0000-0300-00000A000000}" name="Pick Pack"/>
    <tableColumn id="21" xr3:uid="{00000000-0010-0000-0300-000015000000}" name="Shipping condition"/>
    <tableColumn id="11" xr3:uid="{00000000-0010-0000-0300-00000B000000}" name="Shipping Description"/>
    <tableColumn id="12" xr3:uid="{00000000-0010-0000-0300-00000C000000}" name="Transit time"/>
    <tableColumn id="13" xr3:uid="{00000000-0010-0000-0300-00000D000000}" name="Transport Zone SAP" dataDxfId="2">
      <calculatedColumnFormula>_xlfn.CONCAT(Tabla16[[#This Row],[ABR_01]],"00",Tabla16[[#This Row],[ABR_02]],Tabla16[[#This Row],[ZONA2]],,"0",Tabla16[[#This Row],[PARADA2]])</calculatedColumnFormula>
    </tableColumn>
    <tableColumn id="19" xr3:uid="{00000000-0010-0000-0300-000013000000}" name="Ruta SAP" dataDxfId="1"/>
    <tableColumn id="14" xr3:uid="{00000000-0010-0000-0300-00000E000000}" name="Health"/>
    <tableColumn id="18" xr3:uid="{00000000-0010-0000-0300-000012000000}" name="Hyho" dataDxfId="0"/>
    <tableColumn id="22" xr3:uid="{BDD387B2-84CC-4CD6-A502-D5DDAE4E3AFE}" name="CUT OFF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309711-A6C3-4DDF-9FB0-CAE5F51F9D88}">
  <we:reference id="8a512e2b-c04e-4c06-9235-11b6cd59f584" version="1.21.0.0" store="EXCatalog" storeType="EXCatalog"/>
  <we:alternateReferences>
    <we:reference id="WA200000169" version="1.21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_xldudf_SAP_GETDIMENSIONFILTER</we:customFunctionIds>
        <we:customFunctionIds>_xldudf_SAP_OVERWRITEDIMENSIONFILTER</we:customFunctionIds>
        <we:customFunctionIds>_xldudf_SAP_GETDIMENSIONS</we:customFunctionIds>
        <we:customFunctionIds>_xldudf_SAP_GETTABLENAME</we:customFunctionIds>
        <we:customFunctionIds>_xldudf_SAP_GETTABLESTATUS</we:customFunctionIds>
        <we:customFunctionIds>_xldudf_SAP_GETDATA</we:customFunctionIds>
        <we:customFunctionIds>_xldudf_SAP_SETDATA</we:customFunctionIds>
        <we:customFunctionIds>_xldudf_SAP_GETPLANNINGTRIGGERNAME</we:customFunctionIds>
        <we:customFunctionIds>_xldudf_SAP_GETPLANNINGTRIGGERPARAMETERS</we:customFunctionIds>
        <we:customFunctionIds>_xldudf_SAP_GETPLANNINGTRIGGERPARAMETERVALUE</we:customFunctionIds>
        <we:customFunctionIds>_xldudf_SAP_TIMEOFFSET</we:customFunctionIds>
        <we:customFunctionIds>_xldudf_SAP_MEMBERPROPERTY</we:customFunctionIds>
        <we:customFunctionIds>_xldudf_SAP_GETVARIABLES</we:customFunctionIds>
        <we:customFunctionIds>_xldudf_SAP_ASYMMETRICFILTER</we:customFunctionIds>
        <we:customFunctionIds>_xldudf_SAP_BLOCK</we:customFunctionIds>
        <we:customFunctionIds>_xldudf_SAP_EXECUTEAPI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microsoft.com/office/2007/relationships/slicer" Target="../slicers/slicer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92D050"/>
  </sheetPr>
  <dimension ref="A2:Y248"/>
  <sheetViews>
    <sheetView showGridLines="0" zoomScale="120" zoomScaleNormal="120" workbookViewId="0">
      <selection activeCell="O12" sqref="O12"/>
    </sheetView>
  </sheetViews>
  <sheetFormatPr baseColWidth="10" defaultColWidth="11.42578125" defaultRowHeight="12" x14ac:dyDescent="0.2"/>
  <cols>
    <col min="1" max="1" width="21.42578125" style="228" bestFit="1" customWidth="1"/>
    <col min="2" max="2" width="9.5703125" style="228" bestFit="1" customWidth="1"/>
    <col min="3" max="3" width="14.5703125" style="228" bestFit="1" customWidth="1"/>
    <col min="4" max="4" width="24.7109375" style="228" bestFit="1" customWidth="1"/>
    <col min="5" max="5" width="18.7109375" style="228" bestFit="1" customWidth="1"/>
    <col min="6" max="6" width="11.28515625" style="227" bestFit="1" customWidth="1"/>
    <col min="7" max="7" width="12.85546875" style="227" bestFit="1" customWidth="1"/>
    <col min="8" max="8" width="13.85546875" style="227" bestFit="1" customWidth="1"/>
    <col min="9" max="9" width="11.42578125" style="227" bestFit="1" customWidth="1"/>
    <col min="10" max="10" width="13.5703125" style="227" bestFit="1" customWidth="1"/>
    <col min="11" max="11" width="10.7109375" style="228" bestFit="1" customWidth="1"/>
    <col min="12" max="12" width="19.42578125" style="228" bestFit="1" customWidth="1"/>
    <col min="13" max="13" width="17.42578125" style="228" bestFit="1" customWidth="1"/>
    <col min="14" max="14" width="21.5703125" style="228" bestFit="1" customWidth="1"/>
    <col min="15" max="15" width="10.85546875" style="228" bestFit="1" customWidth="1"/>
    <col min="16" max="16" width="13.85546875" style="228" bestFit="1" customWidth="1"/>
    <col min="17" max="19" width="7.140625" style="228" bestFit="1" customWidth="1"/>
    <col min="20" max="20" width="9.140625" style="228" bestFit="1" customWidth="1"/>
    <col min="21" max="21" width="16.42578125" style="228" bestFit="1" customWidth="1"/>
    <col min="22" max="22" width="11.42578125" style="228"/>
    <col min="23" max="24" width="13.140625" style="228" bestFit="1" customWidth="1"/>
    <col min="25" max="25" width="14" style="228" bestFit="1" customWidth="1"/>
    <col min="26" max="16384" width="11.42578125" style="228"/>
  </cols>
  <sheetData>
    <row r="2" spans="1:21" x14ac:dyDescent="0.2">
      <c r="E2" s="312"/>
      <c r="M2" s="228" t="s">
        <v>0</v>
      </c>
      <c r="N2" s="228" t="s">
        <v>1</v>
      </c>
    </row>
    <row r="3" spans="1:21" x14ac:dyDescent="0.2">
      <c r="D3" s="229"/>
      <c r="E3" s="313"/>
      <c r="M3" s="227">
        <v>1</v>
      </c>
      <c r="N3" s="227" t="s">
        <v>2</v>
      </c>
    </row>
    <row r="4" spans="1:21" x14ac:dyDescent="0.2">
      <c r="D4" s="229"/>
      <c r="E4" s="313"/>
      <c r="F4" s="313"/>
      <c r="M4" s="227">
        <v>2</v>
      </c>
      <c r="N4" s="227" t="s">
        <v>3</v>
      </c>
      <c r="S4" s="278"/>
      <c r="T4" s="279"/>
    </row>
    <row r="5" spans="1:21" x14ac:dyDescent="0.2">
      <c r="D5" s="229"/>
      <c r="E5" s="313"/>
      <c r="F5" s="313"/>
      <c r="M5" s="227">
        <v>3</v>
      </c>
      <c r="N5" s="227" t="s">
        <v>4</v>
      </c>
      <c r="U5" s="280"/>
    </row>
    <row r="6" spans="1:21" x14ac:dyDescent="0.2">
      <c r="D6" s="229"/>
      <c r="E6" s="313"/>
      <c r="F6" s="313"/>
      <c r="M6" s="227">
        <v>4</v>
      </c>
      <c r="N6" s="227" t="s">
        <v>5</v>
      </c>
    </row>
    <row r="7" spans="1:21" x14ac:dyDescent="0.2">
      <c r="D7" s="229"/>
      <c r="E7" s="313"/>
      <c r="F7" s="313"/>
      <c r="M7" s="227">
        <v>5</v>
      </c>
      <c r="N7" s="227" t="s">
        <v>6</v>
      </c>
    </row>
    <row r="8" spans="1:21" ht="15.75" customHeight="1" x14ac:dyDescent="0.2">
      <c r="N8" s="227"/>
      <c r="O8" s="227"/>
    </row>
    <row r="9" spans="1:21" ht="15.75" customHeight="1" x14ac:dyDescent="0.2">
      <c r="N9" s="227"/>
      <c r="O9" s="227"/>
    </row>
    <row r="10" spans="1:21" ht="15.75" customHeight="1" thickBot="1" x14ac:dyDescent="0.25">
      <c r="N10" s="227"/>
      <c r="O10" s="227"/>
    </row>
    <row r="11" spans="1:21" x14ac:dyDescent="0.2">
      <c r="A11" s="281"/>
      <c r="B11" s="282"/>
      <c r="C11" s="282"/>
      <c r="D11" s="283"/>
      <c r="E11" s="282"/>
      <c r="F11" s="230"/>
      <c r="G11" s="231"/>
      <c r="H11" s="232" t="s">
        <v>7</v>
      </c>
      <c r="I11" s="231"/>
      <c r="J11" s="233"/>
      <c r="K11" s="234"/>
      <c r="L11" s="283"/>
      <c r="M11" s="235"/>
      <c r="N11" s="236"/>
      <c r="O11" s="284"/>
      <c r="P11" s="285" t="s">
        <v>0</v>
      </c>
      <c r="Q11" s="285"/>
      <c r="R11" s="285"/>
      <c r="S11" s="286"/>
      <c r="T11" s="286"/>
      <c r="U11" s="237"/>
    </row>
    <row r="12" spans="1:21" ht="33.75" customHeight="1" thickBot="1" x14ac:dyDescent="0.25">
      <c r="A12" s="238" t="s">
        <v>8</v>
      </c>
      <c r="B12" s="239" t="s">
        <v>9</v>
      </c>
      <c r="C12" s="239" t="s">
        <v>10</v>
      </c>
      <c r="D12" s="240" t="s">
        <v>11</v>
      </c>
      <c r="E12" s="239" t="s">
        <v>12</v>
      </c>
      <c r="F12" s="238" t="s">
        <v>13</v>
      </c>
      <c r="G12" s="239" t="s">
        <v>14</v>
      </c>
      <c r="H12" s="239" t="s">
        <v>15</v>
      </c>
      <c r="I12" s="239" t="s">
        <v>16</v>
      </c>
      <c r="J12" s="240" t="s">
        <v>17</v>
      </c>
      <c r="K12" s="238" t="s">
        <v>789</v>
      </c>
      <c r="L12" s="241" t="s">
        <v>19</v>
      </c>
      <c r="M12" s="242" t="s">
        <v>20</v>
      </c>
      <c r="N12" s="243" t="s">
        <v>21</v>
      </c>
      <c r="O12" s="242" t="s">
        <v>22</v>
      </c>
      <c r="P12" s="244" t="s">
        <v>23</v>
      </c>
      <c r="Q12" s="244" t="s">
        <v>24</v>
      </c>
      <c r="R12" s="244" t="s">
        <v>25</v>
      </c>
      <c r="S12" s="243" t="s">
        <v>26</v>
      </c>
      <c r="T12" s="245" t="s">
        <v>27</v>
      </c>
      <c r="U12" s="246" t="s">
        <v>28</v>
      </c>
    </row>
    <row r="13" spans="1:21" x14ac:dyDescent="0.2">
      <c r="A13" s="287" t="s">
        <v>29</v>
      </c>
      <c r="B13" s="247" t="s">
        <v>58</v>
      </c>
      <c r="C13" s="314" t="s">
        <v>59</v>
      </c>
      <c r="D13" s="315" t="s">
        <v>542</v>
      </c>
      <c r="E13" s="248" t="s">
        <v>701</v>
      </c>
      <c r="F13" s="254">
        <v>0</v>
      </c>
      <c r="G13" s="254">
        <v>0</v>
      </c>
      <c r="H13" s="254">
        <v>0</v>
      </c>
      <c r="I13" s="254">
        <v>0</v>
      </c>
      <c r="J13" s="254">
        <v>0</v>
      </c>
      <c r="K13" s="288"/>
      <c r="L13" s="289" t="s">
        <v>33</v>
      </c>
      <c r="M13" s="290"/>
      <c r="N13" s="251"/>
      <c r="O13" s="279">
        <v>169679.09</v>
      </c>
      <c r="P13" s="279"/>
      <c r="Q13" s="279"/>
      <c r="R13" s="279"/>
      <c r="S13" s="279"/>
      <c r="T13" s="279">
        <v>90.96</v>
      </c>
      <c r="U13" s="291"/>
    </row>
    <row r="14" spans="1:21" x14ac:dyDescent="0.2">
      <c r="A14" s="292" t="s">
        <v>29</v>
      </c>
      <c r="B14" s="252" t="s">
        <v>177</v>
      </c>
      <c r="C14" s="316" t="s">
        <v>81</v>
      </c>
      <c r="D14" s="317" t="s">
        <v>615</v>
      </c>
      <c r="E14" s="248" t="s">
        <v>687</v>
      </c>
      <c r="F14" s="254">
        <v>0</v>
      </c>
      <c r="G14" s="254">
        <v>0</v>
      </c>
      <c r="H14" s="254">
        <v>0</v>
      </c>
      <c r="I14" s="254">
        <v>0</v>
      </c>
      <c r="J14" s="254">
        <v>0</v>
      </c>
      <c r="K14" s="293"/>
      <c r="L14" s="289" t="s">
        <v>33</v>
      </c>
      <c r="M14" s="294"/>
      <c r="N14" s="253"/>
      <c r="O14" s="279">
        <v>172250.12</v>
      </c>
      <c r="P14" s="279"/>
      <c r="Q14" s="279"/>
      <c r="R14" s="279"/>
      <c r="S14" s="279"/>
      <c r="T14" s="279">
        <v>95.06</v>
      </c>
      <c r="U14" s="291"/>
    </row>
    <row r="15" spans="1:21" x14ac:dyDescent="0.2">
      <c r="A15" s="292" t="s">
        <v>29</v>
      </c>
      <c r="B15" s="252" t="s">
        <v>58</v>
      </c>
      <c r="C15" s="316" t="s">
        <v>59</v>
      </c>
      <c r="D15" s="319" t="s">
        <v>229</v>
      </c>
      <c r="E15" s="318" t="s">
        <v>230</v>
      </c>
      <c r="F15" s="254">
        <v>0</v>
      </c>
      <c r="G15" s="254">
        <v>0</v>
      </c>
      <c r="H15" s="254">
        <v>0</v>
      </c>
      <c r="I15" s="254">
        <v>0</v>
      </c>
      <c r="J15" s="254">
        <v>0</v>
      </c>
      <c r="K15" s="293"/>
      <c r="L15" s="289" t="s">
        <v>33</v>
      </c>
      <c r="M15" s="294"/>
      <c r="N15" s="253"/>
      <c r="O15" s="279">
        <v>169679.09</v>
      </c>
      <c r="P15" s="279"/>
      <c r="Q15" s="279"/>
      <c r="R15" s="279"/>
      <c r="S15" s="279"/>
      <c r="T15" s="279">
        <v>90.96</v>
      </c>
      <c r="U15" s="291"/>
    </row>
    <row r="16" spans="1:21" x14ac:dyDescent="0.2">
      <c r="A16" s="295" t="s">
        <v>29</v>
      </c>
      <c r="B16" s="255" t="s">
        <v>30</v>
      </c>
      <c r="C16" s="320" t="s">
        <v>81</v>
      </c>
      <c r="D16" s="321" t="s">
        <v>31</v>
      </c>
      <c r="E16" s="248" t="s">
        <v>32</v>
      </c>
      <c r="F16" s="256">
        <v>0</v>
      </c>
      <c r="G16" s="258">
        <v>0</v>
      </c>
      <c r="H16" s="258">
        <v>0</v>
      </c>
      <c r="I16" s="258">
        <v>0</v>
      </c>
      <c r="J16" s="258">
        <v>0</v>
      </c>
      <c r="K16" s="296"/>
      <c r="L16" s="289" t="s">
        <v>33</v>
      </c>
      <c r="M16" s="296"/>
      <c r="N16" s="259"/>
      <c r="O16" s="298">
        <v>172250.12</v>
      </c>
      <c r="P16" s="298"/>
      <c r="Q16" s="298"/>
      <c r="R16" s="298"/>
      <c r="S16" s="298"/>
      <c r="T16" s="298">
        <v>95.06</v>
      </c>
      <c r="U16" s="299"/>
    </row>
    <row r="17" spans="1:25" x14ac:dyDescent="0.2">
      <c r="A17" s="292" t="s">
        <v>29</v>
      </c>
      <c r="B17" s="252" t="s">
        <v>73</v>
      </c>
      <c r="C17" s="316" t="s">
        <v>81</v>
      </c>
      <c r="D17" s="317" t="s">
        <v>247</v>
      </c>
      <c r="E17" s="248" t="s">
        <v>248</v>
      </c>
      <c r="F17" s="254">
        <v>0</v>
      </c>
      <c r="G17" s="254">
        <v>0</v>
      </c>
      <c r="H17" s="254">
        <v>0</v>
      </c>
      <c r="I17" s="254">
        <v>0</v>
      </c>
      <c r="J17" s="254">
        <v>0</v>
      </c>
      <c r="K17" s="293"/>
      <c r="L17" s="289" t="s">
        <v>33</v>
      </c>
      <c r="M17" s="294"/>
      <c r="N17" s="253"/>
      <c r="O17" s="279">
        <v>147568.19</v>
      </c>
      <c r="P17" s="279"/>
      <c r="Q17" s="279"/>
      <c r="R17" s="279"/>
      <c r="S17" s="279"/>
      <c r="T17" s="279">
        <v>55.72</v>
      </c>
      <c r="U17" s="291"/>
    </row>
    <row r="18" spans="1:25" x14ac:dyDescent="0.2">
      <c r="A18" s="295" t="s">
        <v>29</v>
      </c>
      <c r="B18" s="255" t="s">
        <v>34</v>
      </c>
      <c r="C18" s="320" t="s">
        <v>35</v>
      </c>
      <c r="D18" s="289"/>
      <c r="E18" s="248" t="s">
        <v>37</v>
      </c>
      <c r="F18" s="256">
        <v>0</v>
      </c>
      <c r="G18" s="258">
        <v>0</v>
      </c>
      <c r="H18" s="258">
        <v>0</v>
      </c>
      <c r="I18" s="258">
        <v>0</v>
      </c>
      <c r="J18" s="258">
        <v>0</v>
      </c>
      <c r="K18" s="296"/>
      <c r="L18" s="289" t="s">
        <v>33</v>
      </c>
      <c r="M18" s="296"/>
      <c r="N18" s="259"/>
      <c r="O18" s="298">
        <v>421994.64</v>
      </c>
      <c r="P18" s="298"/>
      <c r="Q18" s="298"/>
      <c r="R18" s="298"/>
      <c r="S18" s="298"/>
      <c r="T18" s="298">
        <v>468.88</v>
      </c>
      <c r="U18" s="299"/>
    </row>
    <row r="19" spans="1:25" x14ac:dyDescent="0.2">
      <c r="A19" s="292" t="s">
        <v>29</v>
      </c>
      <c r="B19" s="252" t="s">
        <v>58</v>
      </c>
      <c r="C19" s="316" t="s">
        <v>59</v>
      </c>
      <c r="D19" s="317" t="s">
        <v>225</v>
      </c>
      <c r="E19" s="318" t="s">
        <v>226</v>
      </c>
      <c r="F19" s="254">
        <v>0</v>
      </c>
      <c r="G19" s="254">
        <v>0</v>
      </c>
      <c r="H19" s="254">
        <v>0</v>
      </c>
      <c r="I19" s="254">
        <v>0</v>
      </c>
      <c r="J19" s="254">
        <v>0</v>
      </c>
      <c r="K19" s="293"/>
      <c r="L19" s="289" t="s">
        <v>33</v>
      </c>
      <c r="M19" s="294"/>
      <c r="N19" s="253"/>
      <c r="O19" s="279">
        <v>169679.09</v>
      </c>
      <c r="P19" s="279"/>
      <c r="Q19" s="279"/>
      <c r="R19" s="279"/>
      <c r="S19" s="279"/>
      <c r="T19" s="279">
        <v>90.96</v>
      </c>
      <c r="U19" s="291"/>
    </row>
    <row r="20" spans="1:25" x14ac:dyDescent="0.2">
      <c r="A20" s="295" t="s">
        <v>29</v>
      </c>
      <c r="B20" s="255" t="s">
        <v>38</v>
      </c>
      <c r="C20" s="320" t="s">
        <v>39</v>
      </c>
      <c r="D20" s="321" t="s">
        <v>40</v>
      </c>
      <c r="E20" s="248" t="s">
        <v>41</v>
      </c>
      <c r="F20" s="256">
        <v>0</v>
      </c>
      <c r="G20" s="258">
        <v>0</v>
      </c>
      <c r="H20" s="258">
        <v>0</v>
      </c>
      <c r="I20" s="258">
        <v>0</v>
      </c>
      <c r="J20" s="258">
        <v>0</v>
      </c>
      <c r="K20" s="296"/>
      <c r="L20" s="289" t="s">
        <v>33</v>
      </c>
      <c r="M20" s="296"/>
      <c r="N20" s="259"/>
      <c r="O20" s="298">
        <v>149625.01999999999</v>
      </c>
      <c r="P20" s="298"/>
      <c r="Q20" s="298"/>
      <c r="R20" s="298"/>
      <c r="S20" s="298"/>
      <c r="T20" s="298">
        <v>59</v>
      </c>
      <c r="U20" s="299"/>
    </row>
    <row r="21" spans="1:25" x14ac:dyDescent="0.2">
      <c r="A21" s="295" t="s">
        <v>29</v>
      </c>
      <c r="B21" s="255" t="s">
        <v>42</v>
      </c>
      <c r="C21" s="320" t="s">
        <v>43</v>
      </c>
      <c r="D21" s="289" t="s">
        <v>43</v>
      </c>
      <c r="E21" s="248" t="s">
        <v>44</v>
      </c>
      <c r="F21" s="256">
        <v>0</v>
      </c>
      <c r="G21" s="258">
        <v>0</v>
      </c>
      <c r="H21" s="258">
        <v>0</v>
      </c>
      <c r="I21" s="258">
        <v>0</v>
      </c>
      <c r="J21" s="258">
        <v>0</v>
      </c>
      <c r="K21" s="296"/>
      <c r="L21" s="289" t="s">
        <v>33</v>
      </c>
      <c r="M21" s="296"/>
      <c r="N21" s="259"/>
      <c r="O21" s="298">
        <v>200887.31</v>
      </c>
      <c r="P21" s="298"/>
      <c r="Q21" s="298"/>
      <c r="R21" s="298"/>
      <c r="S21" s="298"/>
      <c r="T21" s="298">
        <v>140.69999999999999</v>
      </c>
      <c r="U21" s="299"/>
    </row>
    <row r="22" spans="1:25" x14ac:dyDescent="0.2">
      <c r="A22" s="292" t="s">
        <v>29</v>
      </c>
      <c r="B22" s="252" t="s">
        <v>42</v>
      </c>
      <c r="C22" s="316" t="s">
        <v>130</v>
      </c>
      <c r="D22" s="317" t="s">
        <v>455</v>
      </c>
      <c r="E22" s="248" t="s">
        <v>755</v>
      </c>
      <c r="F22" s="254">
        <v>0</v>
      </c>
      <c r="G22" s="254">
        <v>0</v>
      </c>
      <c r="H22" s="254">
        <v>0</v>
      </c>
      <c r="I22" s="254">
        <v>0</v>
      </c>
      <c r="J22" s="254">
        <v>0</v>
      </c>
      <c r="K22" s="293"/>
      <c r="L22" s="289" t="s">
        <v>33</v>
      </c>
      <c r="M22" s="294"/>
      <c r="N22" s="253"/>
      <c r="O22" s="279">
        <v>223288.22</v>
      </c>
      <c r="P22" s="279"/>
      <c r="Q22" s="279"/>
      <c r="R22" s="279"/>
      <c r="S22" s="279"/>
      <c r="T22" s="279">
        <v>176.4</v>
      </c>
      <c r="U22" s="291"/>
    </row>
    <row r="23" spans="1:25" x14ac:dyDescent="0.2">
      <c r="A23" s="295" t="s">
        <v>29</v>
      </c>
      <c r="B23" s="255" t="s">
        <v>30</v>
      </c>
      <c r="C23" s="320" t="s">
        <v>45</v>
      </c>
      <c r="D23" s="289" t="s">
        <v>46</v>
      </c>
      <c r="E23" s="248" t="s">
        <v>47</v>
      </c>
      <c r="F23" s="256">
        <v>0</v>
      </c>
      <c r="G23" s="258">
        <v>0</v>
      </c>
      <c r="H23" s="258">
        <v>0</v>
      </c>
      <c r="I23" s="258">
        <v>0</v>
      </c>
      <c r="J23" s="258">
        <v>0</v>
      </c>
      <c r="K23" s="296"/>
      <c r="L23" s="289" t="s">
        <v>33</v>
      </c>
      <c r="M23" s="296"/>
      <c r="N23" s="259"/>
      <c r="O23" s="298">
        <v>177793.6</v>
      </c>
      <c r="P23" s="298"/>
      <c r="Q23" s="298"/>
      <c r="R23" s="298"/>
      <c r="S23" s="298"/>
      <c r="T23" s="298">
        <v>197.55</v>
      </c>
      <c r="U23" s="299"/>
    </row>
    <row r="24" spans="1:25" x14ac:dyDescent="0.2">
      <c r="A24" s="295" t="s">
        <v>29</v>
      </c>
      <c r="B24" s="260" t="s">
        <v>30</v>
      </c>
      <c r="C24" s="322" t="s">
        <v>48</v>
      </c>
      <c r="D24" s="323" t="s">
        <v>49</v>
      </c>
      <c r="E24" s="248" t="s">
        <v>50</v>
      </c>
      <c r="F24" s="256">
        <v>0</v>
      </c>
      <c r="G24" s="258">
        <v>0</v>
      </c>
      <c r="H24" s="258">
        <v>0</v>
      </c>
      <c r="I24" s="258">
        <v>0</v>
      </c>
      <c r="J24" s="258">
        <v>0</v>
      </c>
      <c r="K24" s="296"/>
      <c r="L24" s="289" t="s">
        <v>33</v>
      </c>
      <c r="M24" s="296"/>
      <c r="N24" s="259"/>
      <c r="O24" s="298">
        <v>327279.78000000003</v>
      </c>
      <c r="P24" s="298"/>
      <c r="Q24" s="298"/>
      <c r="R24" s="298"/>
      <c r="S24" s="298"/>
      <c r="T24" s="298">
        <v>363.64</v>
      </c>
      <c r="U24" s="299"/>
    </row>
    <row r="25" spans="1:25" x14ac:dyDescent="0.2">
      <c r="A25" s="295" t="s">
        <v>29</v>
      </c>
      <c r="B25" s="255" t="s">
        <v>34</v>
      </c>
      <c r="C25" s="322" t="s">
        <v>51</v>
      </c>
      <c r="D25" s="321" t="s">
        <v>52</v>
      </c>
      <c r="E25" s="248" t="s">
        <v>53</v>
      </c>
      <c r="F25" s="256">
        <v>0</v>
      </c>
      <c r="G25" s="258">
        <v>0</v>
      </c>
      <c r="H25" s="258">
        <v>0</v>
      </c>
      <c r="I25" s="258">
        <v>0</v>
      </c>
      <c r="J25" s="258">
        <v>0</v>
      </c>
      <c r="K25" s="296"/>
      <c r="L25" s="289" t="s">
        <v>33</v>
      </c>
      <c r="M25" s="296"/>
      <c r="N25" s="259"/>
      <c r="O25" s="298">
        <v>327279.78000000003</v>
      </c>
      <c r="P25" s="298"/>
      <c r="Q25" s="298"/>
      <c r="R25" s="298"/>
      <c r="S25" s="298"/>
      <c r="T25" s="298">
        <v>363.64</v>
      </c>
      <c r="U25" s="299"/>
    </row>
    <row r="26" spans="1:25" x14ac:dyDescent="0.2">
      <c r="A26" s="295" t="s">
        <v>29</v>
      </c>
      <c r="B26" s="255" t="s">
        <v>54</v>
      </c>
      <c r="C26" s="322" t="s">
        <v>55</v>
      </c>
      <c r="D26" s="289" t="s">
        <v>56</v>
      </c>
      <c r="E26" s="248" t="s">
        <v>57</v>
      </c>
      <c r="F26" s="256">
        <v>0</v>
      </c>
      <c r="G26" s="258">
        <v>0</v>
      </c>
      <c r="H26" s="258">
        <v>0</v>
      </c>
      <c r="I26" s="258">
        <v>0</v>
      </c>
      <c r="J26" s="258">
        <v>0</v>
      </c>
      <c r="K26" s="296"/>
      <c r="L26" s="289" t="s">
        <v>33</v>
      </c>
      <c r="M26" s="296"/>
      <c r="N26" s="259"/>
      <c r="O26" s="298">
        <v>156823.92000000001</v>
      </c>
      <c r="P26" s="298"/>
      <c r="Q26" s="298"/>
      <c r="R26" s="298"/>
      <c r="S26" s="298"/>
      <c r="T26" s="298">
        <v>70.47</v>
      </c>
      <c r="U26" s="299"/>
    </row>
    <row r="27" spans="1:25" x14ac:dyDescent="0.2">
      <c r="A27" s="295" t="s">
        <v>29</v>
      </c>
      <c r="B27" s="255" t="s">
        <v>58</v>
      </c>
      <c r="C27" s="322" t="s">
        <v>59</v>
      </c>
      <c r="D27" s="321" t="s">
        <v>59</v>
      </c>
      <c r="E27" s="248" t="s">
        <v>60</v>
      </c>
      <c r="F27" s="256">
        <v>0</v>
      </c>
      <c r="G27" s="258">
        <v>0</v>
      </c>
      <c r="H27" s="258">
        <v>0</v>
      </c>
      <c r="I27" s="258">
        <v>0</v>
      </c>
      <c r="J27" s="258">
        <v>0</v>
      </c>
      <c r="K27" s="296"/>
      <c r="L27" s="289" t="s">
        <v>33</v>
      </c>
      <c r="M27" s="296"/>
      <c r="N27" s="259"/>
      <c r="O27" s="298">
        <v>169679.09</v>
      </c>
      <c r="P27" s="298"/>
      <c r="Q27" s="298"/>
      <c r="R27" s="298"/>
      <c r="S27" s="298"/>
      <c r="T27" s="298">
        <v>90.96</v>
      </c>
      <c r="U27" s="299"/>
    </row>
    <row r="28" spans="1:25" x14ac:dyDescent="0.2">
      <c r="A28" s="295" t="s">
        <v>29</v>
      </c>
      <c r="B28" s="255" t="s">
        <v>34</v>
      </c>
      <c r="C28" s="320" t="s">
        <v>35</v>
      </c>
      <c r="D28" s="321" t="s">
        <v>61</v>
      </c>
      <c r="E28" s="248" t="s">
        <v>62</v>
      </c>
      <c r="F28" s="256">
        <v>0</v>
      </c>
      <c r="G28" s="258">
        <v>0</v>
      </c>
      <c r="H28" s="258">
        <v>0</v>
      </c>
      <c r="I28" s="258">
        <v>0</v>
      </c>
      <c r="J28" s="258">
        <v>0</v>
      </c>
      <c r="K28" s="296"/>
      <c r="L28" s="289" t="s">
        <v>33</v>
      </c>
      <c r="M28" s="296"/>
      <c r="N28" s="259"/>
      <c r="O28" s="298">
        <v>514248.42</v>
      </c>
      <c r="P28" s="298"/>
      <c r="Q28" s="298"/>
      <c r="R28" s="298"/>
      <c r="S28" s="298"/>
      <c r="T28" s="298">
        <v>571.39</v>
      </c>
      <c r="U28" s="299"/>
    </row>
    <row r="29" spans="1:25" x14ac:dyDescent="0.2">
      <c r="A29" s="295" t="s">
        <v>29</v>
      </c>
      <c r="B29" s="255" t="s">
        <v>30</v>
      </c>
      <c r="C29" s="320" t="s">
        <v>48</v>
      </c>
      <c r="D29" s="321" t="s">
        <v>63</v>
      </c>
      <c r="E29" s="248" t="s">
        <v>50</v>
      </c>
      <c r="F29" s="256">
        <v>0</v>
      </c>
      <c r="G29" s="258">
        <v>0</v>
      </c>
      <c r="H29" s="258">
        <v>0</v>
      </c>
      <c r="I29" s="258">
        <v>0</v>
      </c>
      <c r="J29" s="258">
        <v>0</v>
      </c>
      <c r="K29" s="296"/>
      <c r="L29" s="289" t="s">
        <v>33</v>
      </c>
      <c r="M29" s="296"/>
      <c r="N29" s="259"/>
      <c r="O29" s="298">
        <v>327279.78000000003</v>
      </c>
      <c r="P29" s="298"/>
      <c r="Q29" s="298"/>
      <c r="R29" s="298"/>
      <c r="S29" s="298"/>
      <c r="T29" s="298">
        <v>363.64</v>
      </c>
      <c r="U29" s="299"/>
    </row>
    <row r="30" spans="1:25" x14ac:dyDescent="0.2">
      <c r="A30" s="295" t="s">
        <v>29</v>
      </c>
      <c r="B30" s="255" t="s">
        <v>30</v>
      </c>
      <c r="C30" s="320" t="s">
        <v>45</v>
      </c>
      <c r="D30" s="321" t="s">
        <v>64</v>
      </c>
      <c r="E30" s="248" t="s">
        <v>65</v>
      </c>
      <c r="F30" s="256">
        <v>0</v>
      </c>
      <c r="G30" s="258">
        <v>0</v>
      </c>
      <c r="H30" s="258">
        <v>0</v>
      </c>
      <c r="I30" s="258">
        <v>0</v>
      </c>
      <c r="J30" s="258">
        <v>0</v>
      </c>
      <c r="K30" s="296"/>
      <c r="L30" s="289" t="s">
        <v>33</v>
      </c>
      <c r="M30" s="296"/>
      <c r="N30" s="259"/>
      <c r="O30" s="298">
        <v>419999.11</v>
      </c>
      <c r="P30" s="298"/>
      <c r="Q30" s="298"/>
      <c r="R30" s="298"/>
      <c r="S30" s="298"/>
      <c r="T30" s="298">
        <v>466.67</v>
      </c>
      <c r="U30" s="299"/>
      <c r="W30" s="300"/>
      <c r="X30" s="300"/>
      <c r="Y30" s="301"/>
    </row>
    <row r="31" spans="1:25" x14ac:dyDescent="0.2">
      <c r="A31" s="295" t="s">
        <v>29</v>
      </c>
      <c r="B31" s="255" t="s">
        <v>34</v>
      </c>
      <c r="C31" s="320" t="s">
        <v>35</v>
      </c>
      <c r="D31" s="321" t="s">
        <v>66</v>
      </c>
      <c r="E31" s="248" t="s">
        <v>67</v>
      </c>
      <c r="F31" s="256">
        <v>0</v>
      </c>
      <c r="G31" s="258">
        <v>0</v>
      </c>
      <c r="H31" s="258">
        <v>0</v>
      </c>
      <c r="I31" s="258">
        <v>0</v>
      </c>
      <c r="J31" s="258">
        <v>0</v>
      </c>
      <c r="K31" s="296"/>
      <c r="L31" s="289" t="s">
        <v>33</v>
      </c>
      <c r="M31" s="296"/>
      <c r="N31" s="259"/>
      <c r="O31" s="298">
        <v>732605.81</v>
      </c>
      <c r="P31" s="298"/>
      <c r="Q31" s="298"/>
      <c r="R31" s="298"/>
      <c r="S31" s="298"/>
      <c r="T31" s="298">
        <v>814.01</v>
      </c>
      <c r="U31" s="299"/>
    </row>
    <row r="32" spans="1:25" ht="0.6" customHeight="1" x14ac:dyDescent="0.2">
      <c r="A32" s="295" t="s">
        <v>29</v>
      </c>
      <c r="B32" s="255" t="s">
        <v>34</v>
      </c>
      <c r="C32" s="320" t="s">
        <v>51</v>
      </c>
      <c r="D32" s="321" t="s">
        <v>68</v>
      </c>
      <c r="E32" s="248" t="s">
        <v>69</v>
      </c>
      <c r="F32" s="267">
        <v>0</v>
      </c>
      <c r="G32" s="268">
        <v>0</v>
      </c>
      <c r="H32" s="268">
        <v>0</v>
      </c>
      <c r="I32" s="268">
        <v>0</v>
      </c>
      <c r="J32" s="268">
        <v>0</v>
      </c>
      <c r="K32" s="306"/>
      <c r="L32" s="289" t="s">
        <v>33</v>
      </c>
      <c r="M32" s="306"/>
      <c r="N32" s="334"/>
      <c r="O32" s="298">
        <v>419999.11</v>
      </c>
      <c r="P32" s="298"/>
      <c r="Q32" s="298"/>
      <c r="R32" s="298"/>
      <c r="S32" s="298"/>
      <c r="T32" s="298">
        <v>466.67</v>
      </c>
      <c r="U32" s="299"/>
    </row>
    <row r="33" spans="1:21" x14ac:dyDescent="0.2">
      <c r="A33" s="295" t="s">
        <v>29</v>
      </c>
      <c r="B33" s="255" t="s">
        <v>70</v>
      </c>
      <c r="C33" s="320" t="s">
        <v>71</v>
      </c>
      <c r="D33" s="332" t="s">
        <v>71</v>
      </c>
      <c r="E33" s="248" t="s">
        <v>72</v>
      </c>
      <c r="F33" s="256">
        <v>0</v>
      </c>
      <c r="G33" s="258">
        <v>0</v>
      </c>
      <c r="H33" s="258">
        <v>0</v>
      </c>
      <c r="I33" s="258">
        <v>0</v>
      </c>
      <c r="J33" s="258">
        <v>0</v>
      </c>
      <c r="K33" s="296"/>
      <c r="L33" s="289" t="s">
        <v>33</v>
      </c>
      <c r="M33" s="296"/>
      <c r="N33" s="259"/>
      <c r="O33" s="298">
        <v>203575.42</v>
      </c>
      <c r="P33" s="298"/>
      <c r="Q33" s="298"/>
      <c r="R33" s="298"/>
      <c r="S33" s="298"/>
      <c r="T33" s="298">
        <v>144.97999999999999</v>
      </c>
      <c r="U33" s="299"/>
    </row>
    <row r="34" spans="1:21" x14ac:dyDescent="0.2">
      <c r="A34" s="292" t="s">
        <v>29</v>
      </c>
      <c r="B34" s="252" t="s">
        <v>38</v>
      </c>
      <c r="C34" s="316" t="s">
        <v>39</v>
      </c>
      <c r="D34" s="317" t="s">
        <v>257</v>
      </c>
      <c r="E34" s="318" t="s">
        <v>258</v>
      </c>
      <c r="F34" s="333">
        <v>0</v>
      </c>
      <c r="G34" s="333">
        <v>0</v>
      </c>
      <c r="H34" s="333">
        <v>0</v>
      </c>
      <c r="I34" s="333">
        <v>0</v>
      </c>
      <c r="J34" s="333">
        <v>0</v>
      </c>
      <c r="K34" s="288"/>
      <c r="L34" s="289" t="s">
        <v>33</v>
      </c>
      <c r="M34" s="290"/>
      <c r="N34" s="251"/>
      <c r="O34" s="279">
        <v>171221.71</v>
      </c>
      <c r="P34" s="279"/>
      <c r="Q34" s="279"/>
      <c r="R34" s="279"/>
      <c r="S34" s="279"/>
      <c r="T34" s="279">
        <v>93.42</v>
      </c>
      <c r="U34" s="291"/>
    </row>
    <row r="35" spans="1:21" x14ac:dyDescent="0.2">
      <c r="A35" s="292" t="s">
        <v>29</v>
      </c>
      <c r="B35" s="252" t="s">
        <v>90</v>
      </c>
      <c r="C35" s="316" t="s">
        <v>91</v>
      </c>
      <c r="D35" s="317" t="s">
        <v>231</v>
      </c>
      <c r="E35" s="318" t="s">
        <v>232</v>
      </c>
      <c r="F35" s="254">
        <v>0</v>
      </c>
      <c r="G35" s="254">
        <v>0</v>
      </c>
      <c r="H35" s="254">
        <v>0</v>
      </c>
      <c r="I35" s="254">
        <v>0</v>
      </c>
      <c r="J35" s="254">
        <v>0</v>
      </c>
      <c r="K35" s="293"/>
      <c r="L35" s="289" t="s">
        <v>33</v>
      </c>
      <c r="M35" s="294"/>
      <c r="N35" s="253"/>
      <c r="O35" s="279">
        <v>196407.13</v>
      </c>
      <c r="P35" s="279"/>
      <c r="Q35" s="279"/>
      <c r="R35" s="279"/>
      <c r="S35" s="279"/>
      <c r="T35" s="279">
        <v>133.56</v>
      </c>
      <c r="U35" s="291"/>
    </row>
    <row r="36" spans="1:21" x14ac:dyDescent="0.2">
      <c r="A36" s="295" t="s">
        <v>29</v>
      </c>
      <c r="B36" s="255" t="s">
        <v>73</v>
      </c>
      <c r="C36" s="320" t="s">
        <v>74</v>
      </c>
      <c r="D36" s="289" t="s">
        <v>75</v>
      </c>
      <c r="E36" s="248" t="s">
        <v>76</v>
      </c>
      <c r="F36" s="256">
        <v>0</v>
      </c>
      <c r="G36" s="258">
        <v>0</v>
      </c>
      <c r="H36" s="258">
        <v>0</v>
      </c>
      <c r="I36" s="258">
        <v>0</v>
      </c>
      <c r="J36" s="258">
        <v>0</v>
      </c>
      <c r="K36" s="296"/>
      <c r="L36" s="289" t="s">
        <v>33</v>
      </c>
      <c r="M36" s="296"/>
      <c r="N36" s="259"/>
      <c r="O36" s="298">
        <v>173278.54</v>
      </c>
      <c r="P36" s="298"/>
      <c r="Q36" s="298"/>
      <c r="R36" s="298"/>
      <c r="S36" s="298"/>
      <c r="T36" s="298">
        <v>96.7</v>
      </c>
      <c r="U36" s="299"/>
    </row>
    <row r="37" spans="1:21" x14ac:dyDescent="0.2">
      <c r="A37" s="295" t="s">
        <v>29</v>
      </c>
      <c r="B37" s="255" t="s">
        <v>30</v>
      </c>
      <c r="C37" s="320" t="s">
        <v>45</v>
      </c>
      <c r="D37" s="289" t="s">
        <v>77</v>
      </c>
      <c r="E37" s="248" t="s">
        <v>78</v>
      </c>
      <c r="F37" s="258">
        <v>0</v>
      </c>
      <c r="G37" s="258">
        <v>0</v>
      </c>
      <c r="H37" s="258">
        <v>0</v>
      </c>
      <c r="I37" s="258">
        <v>0</v>
      </c>
      <c r="J37" s="258">
        <v>0</v>
      </c>
      <c r="K37" s="296"/>
      <c r="L37" s="289" t="s">
        <v>33</v>
      </c>
      <c r="M37" s="296"/>
      <c r="N37" s="259"/>
      <c r="O37" s="298">
        <v>177793.6</v>
      </c>
      <c r="P37" s="298"/>
      <c r="Q37" s="298"/>
      <c r="R37" s="298"/>
      <c r="S37" s="298"/>
      <c r="T37" s="298">
        <v>197.55</v>
      </c>
      <c r="U37" s="299"/>
    </row>
    <row r="38" spans="1:21" x14ac:dyDescent="0.2">
      <c r="A38" s="295" t="s">
        <v>29</v>
      </c>
      <c r="B38" s="255" t="s">
        <v>54</v>
      </c>
      <c r="C38" s="320" t="s">
        <v>55</v>
      </c>
      <c r="D38" s="289" t="s">
        <v>79</v>
      </c>
      <c r="E38" s="248" t="s">
        <v>80</v>
      </c>
      <c r="F38" s="256">
        <v>0</v>
      </c>
      <c r="G38" s="258">
        <v>0</v>
      </c>
      <c r="H38" s="258">
        <v>0</v>
      </c>
      <c r="I38" s="258">
        <v>0</v>
      </c>
      <c r="J38" s="258">
        <v>0</v>
      </c>
      <c r="K38" s="296"/>
      <c r="L38" s="289" t="s">
        <v>33</v>
      </c>
      <c r="M38" s="296"/>
      <c r="N38" s="259"/>
      <c r="O38" s="298">
        <v>144482.95000000001</v>
      </c>
      <c r="P38" s="298"/>
      <c r="Q38" s="298"/>
      <c r="R38" s="298"/>
      <c r="S38" s="298"/>
      <c r="T38" s="298">
        <v>50.81</v>
      </c>
      <c r="U38" s="299"/>
    </row>
    <row r="39" spans="1:21" x14ac:dyDescent="0.2">
      <c r="A39" s="292" t="s">
        <v>29</v>
      </c>
      <c r="B39" s="252" t="s">
        <v>90</v>
      </c>
      <c r="C39" s="316" t="s">
        <v>91</v>
      </c>
      <c r="D39" s="317" t="s">
        <v>233</v>
      </c>
      <c r="E39" s="248" t="s">
        <v>234</v>
      </c>
      <c r="F39" s="254">
        <v>0</v>
      </c>
      <c r="G39" s="254">
        <v>0</v>
      </c>
      <c r="H39" s="254">
        <v>0</v>
      </c>
      <c r="I39" s="254">
        <v>0</v>
      </c>
      <c r="J39" s="254">
        <v>0</v>
      </c>
      <c r="K39" s="293"/>
      <c r="L39" s="289" t="s">
        <v>33</v>
      </c>
      <c r="M39" s="294"/>
      <c r="N39" s="253"/>
      <c r="O39" s="279">
        <v>196407.13</v>
      </c>
      <c r="P39" s="279"/>
      <c r="Q39" s="279"/>
      <c r="R39" s="279"/>
      <c r="S39" s="279"/>
      <c r="T39" s="279">
        <v>133.56</v>
      </c>
      <c r="U39" s="291"/>
    </row>
    <row r="40" spans="1:21" x14ac:dyDescent="0.2">
      <c r="A40" s="295" t="s">
        <v>29</v>
      </c>
      <c r="B40" s="255" t="s">
        <v>73</v>
      </c>
      <c r="C40" s="320" t="s">
        <v>81</v>
      </c>
      <c r="D40" s="321" t="s">
        <v>82</v>
      </c>
      <c r="E40" s="248" t="s">
        <v>83</v>
      </c>
      <c r="F40" s="256">
        <v>0</v>
      </c>
      <c r="G40" s="258">
        <v>0</v>
      </c>
      <c r="H40" s="258">
        <v>0</v>
      </c>
      <c r="I40" s="258">
        <v>0</v>
      </c>
      <c r="J40" s="258">
        <v>0</v>
      </c>
      <c r="K40" s="296"/>
      <c r="L40" s="289" t="s">
        <v>33</v>
      </c>
      <c r="M40" s="296"/>
      <c r="N40" s="259"/>
      <c r="O40" s="298">
        <v>147568.19</v>
      </c>
      <c r="P40" s="298"/>
      <c r="Q40" s="298"/>
      <c r="R40" s="298"/>
      <c r="S40" s="298"/>
      <c r="T40" s="298">
        <v>55.72</v>
      </c>
      <c r="U40" s="299"/>
    </row>
    <row r="41" spans="1:21" x14ac:dyDescent="0.2">
      <c r="A41" s="295" t="s">
        <v>29</v>
      </c>
      <c r="B41" s="255" t="s">
        <v>30</v>
      </c>
      <c r="C41" s="320" t="s">
        <v>48</v>
      </c>
      <c r="D41" s="321" t="s">
        <v>84</v>
      </c>
      <c r="E41" s="248" t="s">
        <v>50</v>
      </c>
      <c r="F41" s="256">
        <v>0</v>
      </c>
      <c r="G41" s="258">
        <v>0</v>
      </c>
      <c r="H41" s="258">
        <v>0</v>
      </c>
      <c r="I41" s="258">
        <v>0</v>
      </c>
      <c r="J41" s="258">
        <v>0</v>
      </c>
      <c r="K41" s="296"/>
      <c r="L41" s="289" t="s">
        <v>33</v>
      </c>
      <c r="M41" s="296"/>
      <c r="N41" s="259"/>
      <c r="O41" s="298">
        <v>327279.78000000003</v>
      </c>
      <c r="P41" s="298"/>
      <c r="Q41" s="298"/>
      <c r="R41" s="298"/>
      <c r="S41" s="298"/>
      <c r="T41" s="298">
        <v>363.64</v>
      </c>
      <c r="U41" s="299"/>
    </row>
    <row r="42" spans="1:21" x14ac:dyDescent="0.2">
      <c r="A42" s="295" t="s">
        <v>29</v>
      </c>
      <c r="B42" s="255" t="s">
        <v>58</v>
      </c>
      <c r="C42" s="320" t="s">
        <v>85</v>
      </c>
      <c r="D42" s="321" t="s">
        <v>85</v>
      </c>
      <c r="E42" s="248" t="s">
        <v>86</v>
      </c>
      <c r="F42" s="256">
        <v>0</v>
      </c>
      <c r="G42" s="258">
        <v>0</v>
      </c>
      <c r="H42" s="258">
        <v>0</v>
      </c>
      <c r="I42" s="258">
        <v>0</v>
      </c>
      <c r="J42" s="258">
        <v>0</v>
      </c>
      <c r="K42" s="296"/>
      <c r="L42" s="289" t="s">
        <v>33</v>
      </c>
      <c r="M42" s="296"/>
      <c r="N42" s="259"/>
      <c r="O42" s="298">
        <v>207756.92</v>
      </c>
      <c r="P42" s="298"/>
      <c r="Q42" s="298"/>
      <c r="R42" s="298"/>
      <c r="S42" s="298"/>
      <c r="T42" s="298">
        <v>151.65</v>
      </c>
      <c r="U42" s="299"/>
    </row>
    <row r="43" spans="1:21" x14ac:dyDescent="0.2">
      <c r="A43" s="292" t="s">
        <v>29</v>
      </c>
      <c r="B43" s="252" t="s">
        <v>90</v>
      </c>
      <c r="C43" s="316" t="s">
        <v>91</v>
      </c>
      <c r="D43" s="319" t="s">
        <v>235</v>
      </c>
      <c r="E43" s="248" t="s">
        <v>236</v>
      </c>
      <c r="F43" s="254">
        <v>0</v>
      </c>
      <c r="G43" s="254">
        <v>0</v>
      </c>
      <c r="H43" s="254">
        <v>0</v>
      </c>
      <c r="I43" s="254">
        <v>0</v>
      </c>
      <c r="J43" s="254">
        <v>0</v>
      </c>
      <c r="K43" s="293"/>
      <c r="L43" s="289" t="s">
        <v>33</v>
      </c>
      <c r="M43" s="294"/>
      <c r="N43" s="253"/>
      <c r="O43" s="279">
        <v>196407.13</v>
      </c>
      <c r="P43" s="279"/>
      <c r="Q43" s="279"/>
      <c r="R43" s="279"/>
      <c r="S43" s="279"/>
      <c r="T43" s="279">
        <v>133.56</v>
      </c>
      <c r="U43" s="291"/>
    </row>
    <row r="44" spans="1:21" x14ac:dyDescent="0.2">
      <c r="A44" s="292" t="s">
        <v>29</v>
      </c>
      <c r="B44" s="252" t="s">
        <v>87</v>
      </c>
      <c r="C44" s="316" t="s">
        <v>81</v>
      </c>
      <c r="D44" s="319" t="s">
        <v>208</v>
      </c>
      <c r="E44" s="248" t="s">
        <v>209</v>
      </c>
      <c r="F44" s="254">
        <v>0</v>
      </c>
      <c r="G44" s="254">
        <v>0</v>
      </c>
      <c r="H44" s="254">
        <v>0</v>
      </c>
      <c r="I44" s="254">
        <v>0</v>
      </c>
      <c r="J44" s="254">
        <v>0</v>
      </c>
      <c r="K44" s="293"/>
      <c r="L44" s="289" t="s">
        <v>33</v>
      </c>
      <c r="M44" s="294"/>
      <c r="N44" s="253"/>
      <c r="O44" s="279">
        <v>157852.32999999999</v>
      </c>
      <c r="P44" s="279"/>
      <c r="Q44" s="279"/>
      <c r="R44" s="279"/>
      <c r="S44" s="279"/>
      <c r="T44" s="279">
        <v>72.11</v>
      </c>
      <c r="U44" s="291"/>
    </row>
    <row r="45" spans="1:21" x14ac:dyDescent="0.2">
      <c r="A45" s="295" t="s">
        <v>29</v>
      </c>
      <c r="B45" s="255" t="s">
        <v>87</v>
      </c>
      <c r="C45" s="320" t="s">
        <v>81</v>
      </c>
      <c r="D45" s="289" t="s">
        <v>88</v>
      </c>
      <c r="E45" s="248" t="s">
        <v>89</v>
      </c>
      <c r="F45" s="256">
        <v>0</v>
      </c>
      <c r="G45" s="258">
        <v>0</v>
      </c>
      <c r="H45" s="258">
        <v>0</v>
      </c>
      <c r="I45" s="258">
        <v>0</v>
      </c>
      <c r="J45" s="258">
        <v>0</v>
      </c>
      <c r="K45" s="296"/>
      <c r="L45" s="289" t="s">
        <v>33</v>
      </c>
      <c r="M45" s="296"/>
      <c r="N45" s="259"/>
      <c r="O45" s="298">
        <v>157852.32999999999</v>
      </c>
      <c r="P45" s="298"/>
      <c r="Q45" s="298"/>
      <c r="R45" s="298"/>
      <c r="S45" s="298"/>
      <c r="T45" s="298">
        <v>72.11</v>
      </c>
      <c r="U45" s="299"/>
    </row>
    <row r="46" spans="1:21" x14ac:dyDescent="0.2">
      <c r="A46" s="295" t="s">
        <v>29</v>
      </c>
      <c r="B46" s="255" t="s">
        <v>90</v>
      </c>
      <c r="C46" s="320" t="s">
        <v>91</v>
      </c>
      <c r="D46" s="289" t="s">
        <v>91</v>
      </c>
      <c r="E46" s="248" t="s">
        <v>92</v>
      </c>
      <c r="F46" s="256">
        <v>0</v>
      </c>
      <c r="G46" s="258">
        <v>0</v>
      </c>
      <c r="H46" s="258">
        <v>0</v>
      </c>
      <c r="I46" s="258">
        <v>0</v>
      </c>
      <c r="J46" s="258">
        <v>0</v>
      </c>
      <c r="K46" s="296"/>
      <c r="L46" s="289" t="s">
        <v>33</v>
      </c>
      <c r="M46" s="296"/>
      <c r="N46" s="259"/>
      <c r="O46" s="298">
        <v>196407.13</v>
      </c>
      <c r="P46" s="298"/>
      <c r="Q46" s="298"/>
      <c r="R46" s="298"/>
      <c r="S46" s="298"/>
      <c r="T46" s="298">
        <v>133.56</v>
      </c>
      <c r="U46" s="299"/>
    </row>
    <row r="47" spans="1:21" x14ac:dyDescent="0.2">
      <c r="A47" s="292" t="s">
        <v>29</v>
      </c>
      <c r="B47" s="252" t="s">
        <v>87</v>
      </c>
      <c r="C47" s="316" t="s">
        <v>81</v>
      </c>
      <c r="D47" s="317" t="s">
        <v>255</v>
      </c>
      <c r="E47" s="248" t="s">
        <v>256</v>
      </c>
      <c r="F47" s="254">
        <v>0</v>
      </c>
      <c r="G47" s="254">
        <v>0</v>
      </c>
      <c r="H47" s="254">
        <v>0</v>
      </c>
      <c r="I47" s="254">
        <v>0</v>
      </c>
      <c r="J47" s="254">
        <v>0</v>
      </c>
      <c r="K47" s="293"/>
      <c r="L47" s="289" t="s">
        <v>33</v>
      </c>
      <c r="M47" s="294"/>
      <c r="N47" s="253"/>
      <c r="O47" s="279">
        <v>157852.32999999999</v>
      </c>
      <c r="P47" s="279"/>
      <c r="Q47" s="279"/>
      <c r="R47" s="279"/>
      <c r="S47" s="279"/>
      <c r="T47" s="279">
        <v>72.11</v>
      </c>
      <c r="U47" s="291"/>
    </row>
    <row r="48" spans="1:21" x14ac:dyDescent="0.2">
      <c r="A48" s="295" t="s">
        <v>29</v>
      </c>
      <c r="B48" s="255" t="s">
        <v>30</v>
      </c>
      <c r="C48" s="320" t="s">
        <v>93</v>
      </c>
      <c r="D48" s="289" t="s">
        <v>48</v>
      </c>
      <c r="E48" s="248" t="s">
        <v>94</v>
      </c>
      <c r="F48" s="256">
        <v>0</v>
      </c>
      <c r="G48" s="258">
        <v>0</v>
      </c>
      <c r="H48" s="258">
        <v>0</v>
      </c>
      <c r="I48" s="258">
        <v>0</v>
      </c>
      <c r="J48" s="258">
        <v>0</v>
      </c>
      <c r="K48" s="296"/>
      <c r="L48" s="289" t="s">
        <v>33</v>
      </c>
      <c r="M48" s="296"/>
      <c r="N48" s="259"/>
      <c r="O48" s="298">
        <v>211341.07</v>
      </c>
      <c r="P48" s="298"/>
      <c r="Q48" s="298"/>
      <c r="R48" s="298"/>
      <c r="S48" s="298"/>
      <c r="T48" s="298">
        <v>157.36000000000001</v>
      </c>
      <c r="U48" s="299"/>
    </row>
    <row r="49" spans="1:21" x14ac:dyDescent="0.2">
      <c r="A49" s="292" t="s">
        <v>29</v>
      </c>
      <c r="B49" s="252" t="s">
        <v>73</v>
      </c>
      <c r="C49" s="316" t="s">
        <v>81</v>
      </c>
      <c r="D49" s="319" t="s">
        <v>251</v>
      </c>
      <c r="E49" s="248" t="s">
        <v>252</v>
      </c>
      <c r="F49" s="254">
        <v>0</v>
      </c>
      <c r="G49" s="254">
        <v>0</v>
      </c>
      <c r="H49" s="254">
        <v>0</v>
      </c>
      <c r="I49" s="254">
        <v>0</v>
      </c>
      <c r="J49" s="254">
        <v>0</v>
      </c>
      <c r="K49" s="293"/>
      <c r="L49" s="289" t="s">
        <v>33</v>
      </c>
      <c r="M49" s="294"/>
      <c r="N49" s="253"/>
      <c r="O49" s="279">
        <v>157852.32999999999</v>
      </c>
      <c r="P49" s="279"/>
      <c r="Q49" s="279"/>
      <c r="R49" s="279"/>
      <c r="S49" s="279"/>
      <c r="T49" s="279">
        <v>72.11</v>
      </c>
      <c r="U49" s="291"/>
    </row>
    <row r="50" spans="1:21" x14ac:dyDescent="0.2">
      <c r="A50" s="295" t="s">
        <v>29</v>
      </c>
      <c r="B50" s="255" t="s">
        <v>70</v>
      </c>
      <c r="C50" s="320" t="s">
        <v>95</v>
      </c>
      <c r="D50" s="289" t="s">
        <v>96</v>
      </c>
      <c r="E50" s="248" t="s">
        <v>97</v>
      </c>
      <c r="F50" s="256">
        <v>0</v>
      </c>
      <c r="G50" s="258">
        <v>0</v>
      </c>
      <c r="H50" s="258">
        <v>0</v>
      </c>
      <c r="I50" s="258">
        <v>0</v>
      </c>
      <c r="J50" s="258">
        <v>0</v>
      </c>
      <c r="K50" s="296"/>
      <c r="L50" s="289" t="s">
        <v>33</v>
      </c>
      <c r="M50" s="296"/>
      <c r="N50" s="259"/>
      <c r="O50" s="298">
        <v>193420.35</v>
      </c>
      <c r="P50" s="298"/>
      <c r="Q50" s="298"/>
      <c r="R50" s="298"/>
      <c r="S50" s="298"/>
      <c r="T50" s="298">
        <v>128.80000000000001</v>
      </c>
      <c r="U50" s="299"/>
    </row>
    <row r="51" spans="1:21" x14ac:dyDescent="0.2">
      <c r="A51" s="295" t="s">
        <v>29</v>
      </c>
      <c r="B51" s="255" t="s">
        <v>73</v>
      </c>
      <c r="C51" s="320" t="s">
        <v>81</v>
      </c>
      <c r="D51" s="321" t="s">
        <v>98</v>
      </c>
      <c r="E51" s="248" t="s">
        <v>99</v>
      </c>
      <c r="F51" s="256">
        <v>0</v>
      </c>
      <c r="G51" s="258">
        <v>0</v>
      </c>
      <c r="H51" s="258">
        <v>0</v>
      </c>
      <c r="I51" s="258">
        <v>0</v>
      </c>
      <c r="J51" s="258">
        <v>0</v>
      </c>
      <c r="K51" s="296"/>
      <c r="L51" s="289" t="s">
        <v>33</v>
      </c>
      <c r="M51" s="296"/>
      <c r="N51" s="259"/>
      <c r="O51" s="298">
        <v>155795.5</v>
      </c>
      <c r="P51" s="298"/>
      <c r="Q51" s="298"/>
      <c r="R51" s="298"/>
      <c r="S51" s="298"/>
      <c r="T51" s="298">
        <v>68.84</v>
      </c>
      <c r="U51" s="299"/>
    </row>
    <row r="52" spans="1:21" x14ac:dyDescent="0.2">
      <c r="A52" s="295" t="s">
        <v>29</v>
      </c>
      <c r="B52" s="255" t="s">
        <v>34</v>
      </c>
      <c r="C52" s="320" t="s">
        <v>35</v>
      </c>
      <c r="D52" s="321" t="s">
        <v>100</v>
      </c>
      <c r="E52" s="248" t="s">
        <v>101</v>
      </c>
      <c r="F52" s="256">
        <v>0</v>
      </c>
      <c r="G52" s="258">
        <v>0</v>
      </c>
      <c r="H52" s="258">
        <v>0</v>
      </c>
      <c r="I52" s="258">
        <v>0</v>
      </c>
      <c r="J52" s="258">
        <v>0</v>
      </c>
      <c r="K52" s="296"/>
      <c r="L52" s="289" t="s">
        <v>33</v>
      </c>
      <c r="M52" s="296"/>
      <c r="N52" s="259"/>
      <c r="O52" s="298">
        <v>514248.42</v>
      </c>
      <c r="P52" s="298"/>
      <c r="Q52" s="298"/>
      <c r="R52" s="298"/>
      <c r="S52" s="298"/>
      <c r="T52" s="298">
        <v>571.39</v>
      </c>
      <c r="U52" s="299"/>
    </row>
    <row r="53" spans="1:21" x14ac:dyDescent="0.2">
      <c r="A53" s="295" t="s">
        <v>29</v>
      </c>
      <c r="B53" s="255" t="s">
        <v>34</v>
      </c>
      <c r="C53" s="320" t="s">
        <v>35</v>
      </c>
      <c r="D53" s="289" t="s">
        <v>102</v>
      </c>
      <c r="E53" s="248" t="s">
        <v>103</v>
      </c>
      <c r="F53" s="256">
        <v>0</v>
      </c>
      <c r="G53" s="258">
        <v>0</v>
      </c>
      <c r="H53" s="258">
        <v>0</v>
      </c>
      <c r="I53" s="258">
        <v>0</v>
      </c>
      <c r="J53" s="258">
        <v>0</v>
      </c>
      <c r="K53" s="296"/>
      <c r="L53" s="289" t="s">
        <v>33</v>
      </c>
      <c r="M53" s="296"/>
      <c r="N53" s="259"/>
      <c r="O53" s="298">
        <v>481259.74</v>
      </c>
      <c r="P53" s="298"/>
      <c r="Q53" s="298"/>
      <c r="R53" s="298"/>
      <c r="S53" s="298"/>
      <c r="T53" s="298">
        <v>534.73</v>
      </c>
      <c r="U53" s="299"/>
    </row>
    <row r="54" spans="1:21" x14ac:dyDescent="0.2">
      <c r="A54" s="295" t="s">
        <v>29</v>
      </c>
      <c r="B54" s="255" t="s">
        <v>70</v>
      </c>
      <c r="C54" s="320" t="s">
        <v>104</v>
      </c>
      <c r="D54" s="321" t="s">
        <v>105</v>
      </c>
      <c r="E54" s="248" t="s">
        <v>106</v>
      </c>
      <c r="F54" s="256">
        <v>0</v>
      </c>
      <c r="G54" s="258">
        <v>0</v>
      </c>
      <c r="H54" s="258">
        <v>0</v>
      </c>
      <c r="I54" s="258">
        <v>0</v>
      </c>
      <c r="J54" s="258">
        <v>0</v>
      </c>
      <c r="K54" s="296"/>
      <c r="L54" s="289" t="s">
        <v>33</v>
      </c>
      <c r="M54" s="296"/>
      <c r="N54" s="259"/>
      <c r="O54" s="298">
        <v>193420.35</v>
      </c>
      <c r="P54" s="298"/>
      <c r="Q54" s="298"/>
      <c r="R54" s="298"/>
      <c r="S54" s="298"/>
      <c r="T54" s="298">
        <v>128.80000000000001</v>
      </c>
      <c r="U54" s="299"/>
    </row>
    <row r="55" spans="1:21" x14ac:dyDescent="0.2">
      <c r="A55" s="295" t="s">
        <v>29</v>
      </c>
      <c r="B55" s="255" t="s">
        <v>34</v>
      </c>
      <c r="C55" s="320" t="s">
        <v>35</v>
      </c>
      <c r="D55" s="289" t="s">
        <v>107</v>
      </c>
      <c r="E55" s="248" t="s">
        <v>108</v>
      </c>
      <c r="F55" s="258">
        <v>0</v>
      </c>
      <c r="G55" s="258">
        <v>0</v>
      </c>
      <c r="H55" s="258">
        <v>0</v>
      </c>
      <c r="I55" s="258">
        <v>0</v>
      </c>
      <c r="J55" s="258">
        <v>0</v>
      </c>
      <c r="K55" s="296"/>
      <c r="L55" s="289" t="s">
        <v>33</v>
      </c>
      <c r="M55" s="296"/>
      <c r="N55" s="259"/>
      <c r="O55" s="298">
        <v>514248.42</v>
      </c>
      <c r="P55" s="298"/>
      <c r="Q55" s="298"/>
      <c r="R55" s="298"/>
      <c r="S55" s="298"/>
      <c r="T55" s="298">
        <v>571.39</v>
      </c>
      <c r="U55" s="299"/>
    </row>
    <row r="56" spans="1:21" x14ac:dyDescent="0.2">
      <c r="A56" s="295" t="s">
        <v>29</v>
      </c>
      <c r="B56" s="255" t="s">
        <v>34</v>
      </c>
      <c r="C56" s="295" t="s">
        <v>51</v>
      </c>
      <c r="D56" s="289" t="s">
        <v>109</v>
      </c>
      <c r="E56" s="248" t="s">
        <v>110</v>
      </c>
      <c r="F56" s="258">
        <v>0</v>
      </c>
      <c r="G56" s="258">
        <v>0</v>
      </c>
      <c r="H56" s="258">
        <v>0</v>
      </c>
      <c r="I56" s="258">
        <v>0</v>
      </c>
      <c r="J56" s="258">
        <v>0</v>
      </c>
      <c r="K56" s="296"/>
      <c r="L56" s="289" t="s">
        <v>33</v>
      </c>
      <c r="M56" s="296"/>
      <c r="N56" s="257"/>
      <c r="O56" s="279">
        <v>278554.09999999998</v>
      </c>
      <c r="P56" s="279"/>
      <c r="Q56" s="279"/>
      <c r="R56" s="279"/>
      <c r="S56" s="279"/>
      <c r="T56" s="279">
        <v>309.5</v>
      </c>
      <c r="U56" s="297"/>
    </row>
    <row r="57" spans="1:21" x14ac:dyDescent="0.2">
      <c r="A57" s="295" t="s">
        <v>29</v>
      </c>
      <c r="B57" s="255" t="s">
        <v>34</v>
      </c>
      <c r="C57" s="320" t="s">
        <v>35</v>
      </c>
      <c r="D57" s="321" t="s">
        <v>111</v>
      </c>
      <c r="E57" s="248" t="s">
        <v>112</v>
      </c>
      <c r="F57" s="258">
        <v>0</v>
      </c>
      <c r="G57" s="258">
        <v>0</v>
      </c>
      <c r="H57" s="258">
        <v>0</v>
      </c>
      <c r="I57" s="258">
        <v>0</v>
      </c>
      <c r="J57" s="258">
        <v>0</v>
      </c>
      <c r="K57" s="296"/>
      <c r="L57" s="289" t="s">
        <v>33</v>
      </c>
      <c r="M57" s="296"/>
      <c r="N57" s="257"/>
      <c r="O57" s="279">
        <v>514248.42</v>
      </c>
      <c r="P57" s="279"/>
      <c r="Q57" s="279"/>
      <c r="R57" s="279"/>
      <c r="S57" s="279"/>
      <c r="T57" s="279">
        <v>571.39</v>
      </c>
      <c r="U57" s="297"/>
    </row>
    <row r="58" spans="1:21" x14ac:dyDescent="0.2">
      <c r="A58" s="295" t="s">
        <v>29</v>
      </c>
      <c r="B58" s="255" t="s">
        <v>34</v>
      </c>
      <c r="C58" s="295" t="s">
        <v>51</v>
      </c>
      <c r="D58" s="321" t="s">
        <v>113</v>
      </c>
      <c r="E58" s="248" t="s">
        <v>114</v>
      </c>
      <c r="F58" s="258">
        <v>0</v>
      </c>
      <c r="G58" s="258">
        <v>0</v>
      </c>
      <c r="H58" s="258">
        <v>0</v>
      </c>
      <c r="I58" s="258">
        <v>0</v>
      </c>
      <c r="J58" s="258">
        <v>0</v>
      </c>
      <c r="K58" s="296"/>
      <c r="L58" s="289" t="s">
        <v>33</v>
      </c>
      <c r="M58" s="296"/>
      <c r="N58" s="257"/>
      <c r="O58" s="279">
        <v>278554.09999999998</v>
      </c>
      <c r="P58" s="279"/>
      <c r="Q58" s="279"/>
      <c r="R58" s="279"/>
      <c r="S58" s="279"/>
      <c r="T58" s="279">
        <v>309.5</v>
      </c>
      <c r="U58" s="297"/>
    </row>
    <row r="59" spans="1:21" x14ac:dyDescent="0.2">
      <c r="A59" s="295" t="s">
        <v>29</v>
      </c>
      <c r="B59" s="255" t="s">
        <v>38</v>
      </c>
      <c r="C59" s="320" t="s">
        <v>39</v>
      </c>
      <c r="D59" s="321" t="s">
        <v>115</v>
      </c>
      <c r="E59" s="248" t="s">
        <v>116</v>
      </c>
      <c r="F59" s="256">
        <v>0</v>
      </c>
      <c r="G59" s="258">
        <v>0</v>
      </c>
      <c r="H59" s="258">
        <v>0</v>
      </c>
      <c r="I59" s="258">
        <v>0</v>
      </c>
      <c r="J59" s="258">
        <v>0</v>
      </c>
      <c r="K59" s="296"/>
      <c r="L59" s="289" t="s">
        <v>33</v>
      </c>
      <c r="M59" s="296"/>
      <c r="N59" s="257"/>
      <c r="O59" s="279">
        <v>171221.71</v>
      </c>
      <c r="P59" s="279"/>
      <c r="Q59" s="279"/>
      <c r="R59" s="279"/>
      <c r="S59" s="279"/>
      <c r="T59" s="279">
        <v>93.42</v>
      </c>
      <c r="U59" s="297"/>
    </row>
    <row r="60" spans="1:21" x14ac:dyDescent="0.2">
      <c r="A60" s="295" t="s">
        <v>29</v>
      </c>
      <c r="B60" s="255" t="s">
        <v>70</v>
      </c>
      <c r="C60" s="320" t="s">
        <v>95</v>
      </c>
      <c r="D60" s="289" t="s">
        <v>117</v>
      </c>
      <c r="E60" s="248" t="s">
        <v>118</v>
      </c>
      <c r="F60" s="256">
        <v>0</v>
      </c>
      <c r="G60" s="258">
        <v>0</v>
      </c>
      <c r="H60" s="258">
        <v>0</v>
      </c>
      <c r="I60" s="258">
        <v>0</v>
      </c>
      <c r="J60" s="258">
        <v>0</v>
      </c>
      <c r="K60" s="296"/>
      <c r="L60" s="289" t="s">
        <v>33</v>
      </c>
      <c r="M60" s="296"/>
      <c r="N60" s="257"/>
      <c r="O60" s="279">
        <v>193420.35</v>
      </c>
      <c r="P60" s="279"/>
      <c r="Q60" s="279"/>
      <c r="R60" s="279"/>
      <c r="S60" s="279"/>
      <c r="T60" s="279">
        <v>128.80000000000001</v>
      </c>
      <c r="U60" s="297"/>
    </row>
    <row r="61" spans="1:21" x14ac:dyDescent="0.2">
      <c r="A61" s="295" t="s">
        <v>29</v>
      </c>
      <c r="B61" s="255" t="s">
        <v>58</v>
      </c>
      <c r="C61" s="320" t="s">
        <v>59</v>
      </c>
      <c r="D61" s="289" t="s">
        <v>119</v>
      </c>
      <c r="E61" s="248" t="s">
        <v>120</v>
      </c>
      <c r="F61" s="256">
        <v>0</v>
      </c>
      <c r="G61" s="258">
        <v>0</v>
      </c>
      <c r="H61" s="258">
        <v>0</v>
      </c>
      <c r="I61" s="258">
        <v>0</v>
      </c>
      <c r="J61" s="258">
        <v>0</v>
      </c>
      <c r="K61" s="296"/>
      <c r="L61" s="289" t="s">
        <v>33</v>
      </c>
      <c r="M61" s="296"/>
      <c r="N61" s="257"/>
      <c r="O61" s="279">
        <v>163508.60999999999</v>
      </c>
      <c r="P61" s="279"/>
      <c r="Q61" s="279"/>
      <c r="R61" s="279"/>
      <c r="S61" s="279"/>
      <c r="T61" s="279">
        <v>81.13</v>
      </c>
      <c r="U61" s="297"/>
    </row>
    <row r="62" spans="1:21" x14ac:dyDescent="0.2">
      <c r="A62" s="295" t="s">
        <v>29</v>
      </c>
      <c r="B62" s="255" t="s">
        <v>34</v>
      </c>
      <c r="C62" s="320" t="s">
        <v>35</v>
      </c>
      <c r="D62" s="289" t="s">
        <v>121</v>
      </c>
      <c r="E62" s="248" t="s">
        <v>122</v>
      </c>
      <c r="F62" s="258">
        <v>0</v>
      </c>
      <c r="G62" s="256">
        <v>0</v>
      </c>
      <c r="H62" s="258">
        <v>0</v>
      </c>
      <c r="I62" s="258">
        <v>0</v>
      </c>
      <c r="J62" s="258">
        <v>0</v>
      </c>
      <c r="K62" s="296"/>
      <c r="L62" s="289" t="s">
        <v>33</v>
      </c>
      <c r="M62" s="296"/>
      <c r="N62" s="257"/>
      <c r="O62" s="279">
        <v>545663.4</v>
      </c>
      <c r="P62" s="279"/>
      <c r="Q62" s="279"/>
      <c r="R62" s="279"/>
      <c r="S62" s="279"/>
      <c r="T62" s="279">
        <v>606.29</v>
      </c>
      <c r="U62" s="297"/>
    </row>
    <row r="63" spans="1:21" x14ac:dyDescent="0.2">
      <c r="A63" s="295" t="s">
        <v>29</v>
      </c>
      <c r="B63" s="255" t="s">
        <v>34</v>
      </c>
      <c r="C63" s="320" t="s">
        <v>123</v>
      </c>
      <c r="D63" s="289" t="s">
        <v>124</v>
      </c>
      <c r="E63" s="248" t="s">
        <v>125</v>
      </c>
      <c r="F63" s="258">
        <v>0</v>
      </c>
      <c r="G63" s="256">
        <v>0</v>
      </c>
      <c r="H63" s="258">
        <v>0</v>
      </c>
      <c r="I63" s="258">
        <v>0</v>
      </c>
      <c r="J63" s="258">
        <v>0</v>
      </c>
      <c r="K63" s="296"/>
      <c r="L63" s="289" t="s">
        <v>33</v>
      </c>
      <c r="M63" s="296"/>
      <c r="N63" s="257"/>
      <c r="O63" s="279">
        <v>701429.07</v>
      </c>
      <c r="P63" s="279"/>
      <c r="Q63" s="279"/>
      <c r="R63" s="279"/>
      <c r="S63" s="279"/>
      <c r="T63" s="279">
        <v>779.37</v>
      </c>
      <c r="U63" s="297"/>
    </row>
    <row r="64" spans="1:21" x14ac:dyDescent="0.2">
      <c r="A64" s="292" t="s">
        <v>29</v>
      </c>
      <c r="B64" s="252" t="s">
        <v>58</v>
      </c>
      <c r="C64" s="316" t="s">
        <v>59</v>
      </c>
      <c r="D64" s="319" t="s">
        <v>227</v>
      </c>
      <c r="E64" s="248" t="s">
        <v>228</v>
      </c>
      <c r="F64" s="254">
        <v>0</v>
      </c>
      <c r="G64" s="254">
        <v>0</v>
      </c>
      <c r="H64" s="254">
        <v>0</v>
      </c>
      <c r="I64" s="254">
        <v>0</v>
      </c>
      <c r="J64" s="254">
        <v>0</v>
      </c>
      <c r="K64" s="293"/>
      <c r="L64" s="289" t="s">
        <v>33</v>
      </c>
      <c r="M64" s="294"/>
      <c r="N64" s="253"/>
      <c r="O64" s="279">
        <v>161965.99</v>
      </c>
      <c r="P64" s="279"/>
      <c r="Q64" s="279"/>
      <c r="R64" s="279"/>
      <c r="S64" s="279"/>
      <c r="T64" s="279">
        <v>78.67</v>
      </c>
      <c r="U64" s="291"/>
    </row>
    <row r="65" spans="1:21" x14ac:dyDescent="0.2">
      <c r="A65" s="295" t="s">
        <v>29</v>
      </c>
      <c r="B65" s="255" t="s">
        <v>34</v>
      </c>
      <c r="C65" s="320" t="s">
        <v>35</v>
      </c>
      <c r="D65" s="321" t="s">
        <v>126</v>
      </c>
      <c r="E65" s="248" t="s">
        <v>127</v>
      </c>
      <c r="F65" s="258">
        <v>0</v>
      </c>
      <c r="G65" s="258">
        <v>0</v>
      </c>
      <c r="H65" s="258">
        <v>0</v>
      </c>
      <c r="I65" s="258">
        <v>0</v>
      </c>
      <c r="J65" s="258">
        <v>0</v>
      </c>
      <c r="K65" s="296"/>
      <c r="L65" s="289" t="s">
        <v>33</v>
      </c>
      <c r="M65" s="296"/>
      <c r="N65" s="257"/>
      <c r="O65" s="279">
        <v>732605.81</v>
      </c>
      <c r="P65" s="279"/>
      <c r="Q65" s="279"/>
      <c r="R65" s="279"/>
      <c r="S65" s="279"/>
      <c r="T65" s="279">
        <v>814.01</v>
      </c>
      <c r="U65" s="297"/>
    </row>
    <row r="66" spans="1:21" x14ac:dyDescent="0.2">
      <c r="A66" s="295" t="s">
        <v>29</v>
      </c>
      <c r="B66" s="255" t="s">
        <v>38</v>
      </c>
      <c r="C66" s="320" t="s">
        <v>39</v>
      </c>
      <c r="D66" s="289" t="s">
        <v>128</v>
      </c>
      <c r="E66" s="248" t="s">
        <v>129</v>
      </c>
      <c r="F66" s="256">
        <v>0</v>
      </c>
      <c r="G66" s="258">
        <v>0</v>
      </c>
      <c r="H66" s="258">
        <v>0</v>
      </c>
      <c r="I66" s="258">
        <v>0</v>
      </c>
      <c r="J66" s="258">
        <v>0</v>
      </c>
      <c r="K66" s="296"/>
      <c r="L66" s="289" t="s">
        <v>33</v>
      </c>
      <c r="M66" s="296"/>
      <c r="N66" s="257"/>
      <c r="O66" s="279">
        <v>146539.78</v>
      </c>
      <c r="P66" s="279"/>
      <c r="Q66" s="279"/>
      <c r="R66" s="279"/>
      <c r="S66" s="279"/>
      <c r="T66" s="279">
        <v>54.08</v>
      </c>
      <c r="U66" s="297"/>
    </row>
    <row r="67" spans="1:21" x14ac:dyDescent="0.2">
      <c r="A67" s="292" t="s">
        <v>29</v>
      </c>
      <c r="B67" s="252" t="s">
        <v>38</v>
      </c>
      <c r="C67" s="316" t="s">
        <v>39</v>
      </c>
      <c r="D67" s="317" t="s">
        <v>411</v>
      </c>
      <c r="E67" s="248" t="s">
        <v>771</v>
      </c>
      <c r="F67" s="254">
        <v>0</v>
      </c>
      <c r="G67" s="254">
        <v>0</v>
      </c>
      <c r="H67" s="254">
        <v>0</v>
      </c>
      <c r="I67" s="254">
        <v>0</v>
      </c>
      <c r="J67" s="254">
        <v>0</v>
      </c>
      <c r="K67" s="293"/>
      <c r="L67" s="289" t="s">
        <v>33</v>
      </c>
      <c r="M67" s="294"/>
      <c r="N67" s="253"/>
      <c r="O67" s="279">
        <v>146539.78</v>
      </c>
      <c r="P67" s="279"/>
      <c r="Q67" s="279"/>
      <c r="R67" s="279"/>
      <c r="S67" s="279"/>
      <c r="T67" s="279">
        <v>54.08</v>
      </c>
      <c r="U67" s="291"/>
    </row>
    <row r="68" spans="1:21" x14ac:dyDescent="0.2">
      <c r="A68" s="292" t="s">
        <v>29</v>
      </c>
      <c r="B68" s="252" t="s">
        <v>58</v>
      </c>
      <c r="C68" s="316" t="s">
        <v>59</v>
      </c>
      <c r="D68" s="317" t="s">
        <v>828</v>
      </c>
      <c r="E68" s="248" t="s">
        <v>712</v>
      </c>
      <c r="F68" s="254">
        <v>0</v>
      </c>
      <c r="G68" s="254">
        <v>0</v>
      </c>
      <c r="H68" s="254">
        <v>0</v>
      </c>
      <c r="I68" s="254">
        <v>0</v>
      </c>
      <c r="J68" s="254">
        <v>0</v>
      </c>
      <c r="K68" s="293"/>
      <c r="L68" s="289" t="s">
        <v>33</v>
      </c>
      <c r="M68" s="294"/>
      <c r="N68" s="253"/>
      <c r="O68" s="279">
        <v>161965.99</v>
      </c>
      <c r="P68" s="279"/>
      <c r="Q68" s="279"/>
      <c r="R68" s="279"/>
      <c r="S68" s="279"/>
      <c r="T68" s="279">
        <v>78.67</v>
      </c>
      <c r="U68" s="291"/>
    </row>
    <row r="69" spans="1:21" x14ac:dyDescent="0.2">
      <c r="A69" s="295" t="s">
        <v>29</v>
      </c>
      <c r="B69" s="255" t="s">
        <v>42</v>
      </c>
      <c r="C69" s="320" t="s">
        <v>130</v>
      </c>
      <c r="D69" s="289" t="s">
        <v>130</v>
      </c>
      <c r="E69" s="248" t="s">
        <v>131</v>
      </c>
      <c r="F69" s="256">
        <v>0</v>
      </c>
      <c r="G69" s="258">
        <v>0</v>
      </c>
      <c r="H69" s="258">
        <v>0</v>
      </c>
      <c r="I69" s="258">
        <v>0</v>
      </c>
      <c r="J69" s="258">
        <v>0</v>
      </c>
      <c r="K69" s="296"/>
      <c r="L69" s="289" t="s">
        <v>33</v>
      </c>
      <c r="M69" s="296"/>
      <c r="N69" s="257"/>
      <c r="O69" s="279">
        <v>223288.22</v>
      </c>
      <c r="P69" s="279"/>
      <c r="Q69" s="279"/>
      <c r="R69" s="279"/>
      <c r="S69" s="279"/>
      <c r="T69" s="279">
        <v>176.4</v>
      </c>
      <c r="U69" s="297"/>
    </row>
    <row r="70" spans="1:21" x14ac:dyDescent="0.2">
      <c r="A70" s="295" t="s">
        <v>29</v>
      </c>
      <c r="B70" s="255" t="s">
        <v>30</v>
      </c>
      <c r="C70" s="320" t="s">
        <v>45</v>
      </c>
      <c r="D70" s="321" t="s">
        <v>132</v>
      </c>
      <c r="E70" s="248" t="s">
        <v>133</v>
      </c>
      <c r="F70" s="256">
        <v>0</v>
      </c>
      <c r="G70" s="258">
        <v>0</v>
      </c>
      <c r="H70" s="258">
        <v>0</v>
      </c>
      <c r="I70" s="258">
        <v>0</v>
      </c>
      <c r="J70" s="258">
        <v>0</v>
      </c>
      <c r="K70" s="296"/>
      <c r="L70" s="289" t="s">
        <v>33</v>
      </c>
      <c r="M70" s="296"/>
      <c r="N70" s="257"/>
      <c r="O70" s="279">
        <v>327279.78000000003</v>
      </c>
      <c r="P70" s="279"/>
      <c r="Q70" s="279"/>
      <c r="R70" s="279"/>
      <c r="S70" s="279"/>
      <c r="T70" s="279">
        <v>363.64</v>
      </c>
      <c r="U70" s="297"/>
    </row>
    <row r="71" spans="1:21" x14ac:dyDescent="0.2">
      <c r="A71" s="295" t="s">
        <v>29</v>
      </c>
      <c r="B71" s="255" t="s">
        <v>58</v>
      </c>
      <c r="C71" s="320" t="s">
        <v>59</v>
      </c>
      <c r="D71" s="289" t="s">
        <v>563</v>
      </c>
      <c r="E71" s="248" t="s">
        <v>134</v>
      </c>
      <c r="F71" s="256">
        <v>0</v>
      </c>
      <c r="G71" s="258">
        <v>0</v>
      </c>
      <c r="H71" s="258">
        <v>0</v>
      </c>
      <c r="I71" s="258">
        <v>0</v>
      </c>
      <c r="J71" s="258">
        <v>0</v>
      </c>
      <c r="K71" s="296"/>
      <c r="L71" s="289" t="s">
        <v>33</v>
      </c>
      <c r="M71" s="296"/>
      <c r="N71" s="257"/>
      <c r="O71" s="279">
        <v>161965.99</v>
      </c>
      <c r="P71" s="279"/>
      <c r="Q71" s="279"/>
      <c r="R71" s="279"/>
      <c r="S71" s="279"/>
      <c r="T71" s="279">
        <v>78.67</v>
      </c>
      <c r="U71" s="297"/>
    </row>
    <row r="72" spans="1:21" x14ac:dyDescent="0.2">
      <c r="A72" s="292" t="s">
        <v>29</v>
      </c>
      <c r="B72" s="252" t="s">
        <v>90</v>
      </c>
      <c r="C72" s="316" t="s">
        <v>91</v>
      </c>
      <c r="D72" s="317" t="s">
        <v>239</v>
      </c>
      <c r="E72" s="248" t="s">
        <v>240</v>
      </c>
      <c r="F72" s="254">
        <v>0</v>
      </c>
      <c r="G72" s="254">
        <v>0</v>
      </c>
      <c r="H72" s="254">
        <v>0</v>
      </c>
      <c r="I72" s="254">
        <v>0</v>
      </c>
      <c r="J72" s="254">
        <v>0</v>
      </c>
      <c r="K72" s="293"/>
      <c r="L72" s="289" t="s">
        <v>33</v>
      </c>
      <c r="M72" s="294"/>
      <c r="N72" s="253"/>
      <c r="O72" s="279">
        <v>196407.13</v>
      </c>
      <c r="P72" s="279"/>
      <c r="Q72" s="279"/>
      <c r="R72" s="279"/>
      <c r="S72" s="279"/>
      <c r="T72" s="279">
        <v>133.56</v>
      </c>
      <c r="U72" s="291"/>
    </row>
    <row r="73" spans="1:21" x14ac:dyDescent="0.2">
      <c r="A73" s="295" t="s">
        <v>29</v>
      </c>
      <c r="B73" s="255" t="s">
        <v>90</v>
      </c>
      <c r="C73" s="320" t="s">
        <v>135</v>
      </c>
      <c r="D73" s="321" t="s">
        <v>136</v>
      </c>
      <c r="E73" s="248" t="s">
        <v>137</v>
      </c>
      <c r="F73" s="256">
        <v>0</v>
      </c>
      <c r="G73" s="258">
        <v>0</v>
      </c>
      <c r="H73" s="258">
        <v>0</v>
      </c>
      <c r="I73" s="258">
        <v>0</v>
      </c>
      <c r="J73" s="258">
        <v>0</v>
      </c>
      <c r="K73" s="296"/>
      <c r="L73" s="289" t="s">
        <v>33</v>
      </c>
      <c r="M73" s="296"/>
      <c r="N73" s="257"/>
      <c r="O73" s="279">
        <v>202380.71</v>
      </c>
      <c r="P73" s="279"/>
      <c r="Q73" s="279"/>
      <c r="R73" s="279"/>
      <c r="S73" s="279"/>
      <c r="T73" s="279">
        <v>143.08000000000001</v>
      </c>
      <c r="U73" s="297"/>
    </row>
    <row r="74" spans="1:21" x14ac:dyDescent="0.2">
      <c r="A74" s="295" t="s">
        <v>29</v>
      </c>
      <c r="B74" s="255" t="s">
        <v>90</v>
      </c>
      <c r="C74" s="320" t="s">
        <v>138</v>
      </c>
      <c r="D74" s="321" t="s">
        <v>139</v>
      </c>
      <c r="E74" s="248" t="s">
        <v>140</v>
      </c>
      <c r="F74" s="256">
        <v>0</v>
      </c>
      <c r="G74" s="258">
        <v>0</v>
      </c>
      <c r="H74" s="258">
        <v>0</v>
      </c>
      <c r="I74" s="258">
        <v>0</v>
      </c>
      <c r="J74" s="258">
        <v>0</v>
      </c>
      <c r="K74" s="296"/>
      <c r="L74" s="289" t="s">
        <v>33</v>
      </c>
      <c r="M74" s="296"/>
      <c r="N74" s="257"/>
      <c r="O74" s="279">
        <v>181950.12</v>
      </c>
      <c r="P74" s="279"/>
      <c r="Q74" s="279"/>
      <c r="R74" s="279"/>
      <c r="S74" s="279"/>
      <c r="T74" s="279">
        <v>110.52</v>
      </c>
      <c r="U74" s="297"/>
    </row>
    <row r="75" spans="1:21" x14ac:dyDescent="0.2">
      <c r="A75" s="295" t="s">
        <v>29</v>
      </c>
      <c r="B75" s="255" t="s">
        <v>30</v>
      </c>
      <c r="C75" s="295" t="s">
        <v>48</v>
      </c>
      <c r="D75" s="289" t="s">
        <v>141</v>
      </c>
      <c r="E75" s="248" t="s">
        <v>142</v>
      </c>
      <c r="F75" s="256">
        <v>0</v>
      </c>
      <c r="G75" s="256">
        <v>0</v>
      </c>
      <c r="H75" s="258">
        <v>0</v>
      </c>
      <c r="I75" s="258">
        <v>0</v>
      </c>
      <c r="J75" s="258">
        <v>0</v>
      </c>
      <c r="K75" s="296"/>
      <c r="L75" s="289" t="s">
        <v>33</v>
      </c>
      <c r="M75" s="296"/>
      <c r="N75" s="257"/>
      <c r="O75" s="279">
        <v>327279.78000000003</v>
      </c>
      <c r="P75" s="279"/>
      <c r="Q75" s="279"/>
      <c r="R75" s="279"/>
      <c r="S75" s="279"/>
      <c r="T75" s="279">
        <v>363.64</v>
      </c>
      <c r="U75" s="297"/>
    </row>
    <row r="76" spans="1:21" x14ac:dyDescent="0.2">
      <c r="A76" s="295" t="s">
        <v>29</v>
      </c>
      <c r="B76" s="255" t="s">
        <v>42</v>
      </c>
      <c r="C76" s="320" t="s">
        <v>143</v>
      </c>
      <c r="D76" s="289" t="s">
        <v>144</v>
      </c>
      <c r="E76" s="248" t="s">
        <v>145</v>
      </c>
      <c r="F76" s="256">
        <v>0</v>
      </c>
      <c r="G76" s="258">
        <v>0</v>
      </c>
      <c r="H76" s="258">
        <v>0</v>
      </c>
      <c r="I76" s="258">
        <v>0</v>
      </c>
      <c r="J76" s="258">
        <v>0</v>
      </c>
      <c r="K76" s="296"/>
      <c r="L76" s="289" t="s">
        <v>33</v>
      </c>
      <c r="M76" s="296"/>
      <c r="N76" s="257"/>
      <c r="O76" s="279">
        <v>205367.49</v>
      </c>
      <c r="P76" s="279"/>
      <c r="Q76" s="279"/>
      <c r="R76" s="279"/>
      <c r="S76" s="279"/>
      <c r="T76" s="279">
        <v>147.84</v>
      </c>
      <c r="U76" s="297"/>
    </row>
    <row r="77" spans="1:21" x14ac:dyDescent="0.2">
      <c r="A77" s="292" t="s">
        <v>29</v>
      </c>
      <c r="B77" s="252" t="s">
        <v>177</v>
      </c>
      <c r="C77" s="316" t="s">
        <v>81</v>
      </c>
      <c r="D77" s="317" t="s">
        <v>639</v>
      </c>
      <c r="E77" s="248" t="s">
        <v>699</v>
      </c>
      <c r="F77" s="254">
        <v>0</v>
      </c>
      <c r="G77" s="254">
        <v>0</v>
      </c>
      <c r="H77" s="254">
        <v>0</v>
      </c>
      <c r="I77" s="254">
        <v>0</v>
      </c>
      <c r="J77" s="254">
        <v>0</v>
      </c>
      <c r="K77" s="293"/>
      <c r="L77" s="289" t="s">
        <v>33</v>
      </c>
      <c r="M77" s="294"/>
      <c r="N77" s="253"/>
      <c r="O77" s="279">
        <v>146539.78</v>
      </c>
      <c r="P77" s="279"/>
      <c r="Q77" s="279"/>
      <c r="R77" s="279"/>
      <c r="S77" s="279"/>
      <c r="T77" s="279">
        <v>54.1</v>
      </c>
      <c r="U77" s="291"/>
    </row>
    <row r="78" spans="1:21" x14ac:dyDescent="0.2">
      <c r="A78" s="295" t="s">
        <v>29</v>
      </c>
      <c r="B78" s="255" t="s">
        <v>90</v>
      </c>
      <c r="C78" s="320" t="s">
        <v>91</v>
      </c>
      <c r="D78" s="321" t="s">
        <v>146</v>
      </c>
      <c r="E78" s="248" t="s">
        <v>147</v>
      </c>
      <c r="F78" s="256">
        <v>0</v>
      </c>
      <c r="G78" s="258">
        <v>0</v>
      </c>
      <c r="H78" s="258">
        <v>0</v>
      </c>
      <c r="I78" s="258">
        <v>0</v>
      </c>
      <c r="J78" s="258">
        <v>0</v>
      </c>
      <c r="K78" s="296"/>
      <c r="L78" s="289" t="s">
        <v>33</v>
      </c>
      <c r="M78" s="296"/>
      <c r="N78" s="257"/>
      <c r="O78" s="279">
        <v>202380.71</v>
      </c>
      <c r="P78" s="279"/>
      <c r="Q78" s="279"/>
      <c r="R78" s="279"/>
      <c r="S78" s="279"/>
      <c r="T78" s="279">
        <v>143.08000000000001</v>
      </c>
      <c r="U78" s="297"/>
    </row>
    <row r="79" spans="1:21" x14ac:dyDescent="0.2">
      <c r="A79" s="295" t="s">
        <v>29</v>
      </c>
      <c r="B79" s="255" t="s">
        <v>42</v>
      </c>
      <c r="C79" s="320" t="s">
        <v>148</v>
      </c>
      <c r="D79" s="321" t="s">
        <v>149</v>
      </c>
      <c r="E79" s="248" t="s">
        <v>150</v>
      </c>
      <c r="F79" s="256">
        <v>0</v>
      </c>
      <c r="G79" s="258">
        <v>0</v>
      </c>
      <c r="H79" s="258">
        <v>0</v>
      </c>
      <c r="I79" s="258">
        <v>0</v>
      </c>
      <c r="J79" s="258">
        <v>0</v>
      </c>
      <c r="K79" s="296"/>
      <c r="L79" s="289" t="s">
        <v>33</v>
      </c>
      <c r="M79" s="296"/>
      <c r="N79" s="257"/>
      <c r="O79" s="279">
        <v>227768.4</v>
      </c>
      <c r="P79" s="279"/>
      <c r="Q79" s="279"/>
      <c r="R79" s="279"/>
      <c r="S79" s="279"/>
      <c r="T79" s="279">
        <v>183.54</v>
      </c>
      <c r="U79" s="297"/>
    </row>
    <row r="80" spans="1:21" x14ac:dyDescent="0.2">
      <c r="A80" s="295" t="s">
        <v>29</v>
      </c>
      <c r="B80" s="255" t="s">
        <v>38</v>
      </c>
      <c r="C80" s="320" t="s">
        <v>39</v>
      </c>
      <c r="D80" s="289" t="s">
        <v>39</v>
      </c>
      <c r="E80" s="248" t="s">
        <v>151</v>
      </c>
      <c r="F80" s="256">
        <v>0</v>
      </c>
      <c r="G80" s="258">
        <v>0</v>
      </c>
      <c r="H80" s="258">
        <v>0</v>
      </c>
      <c r="I80" s="258">
        <v>0</v>
      </c>
      <c r="J80" s="258">
        <v>0</v>
      </c>
      <c r="K80" s="296"/>
      <c r="L80" s="289" t="s">
        <v>33</v>
      </c>
      <c r="M80" s="296"/>
      <c r="N80" s="257"/>
      <c r="O80" s="279">
        <v>156823.92000000001</v>
      </c>
      <c r="P80" s="279"/>
      <c r="Q80" s="279"/>
      <c r="R80" s="279"/>
      <c r="S80" s="279"/>
      <c r="T80" s="279">
        <v>70.47</v>
      </c>
      <c r="U80" s="297"/>
    </row>
    <row r="81" spans="1:21" x14ac:dyDescent="0.2">
      <c r="A81" s="295" t="s">
        <v>29</v>
      </c>
      <c r="B81" s="255" t="s">
        <v>73</v>
      </c>
      <c r="C81" s="320" t="s">
        <v>74</v>
      </c>
      <c r="D81" s="321" t="s">
        <v>152</v>
      </c>
      <c r="E81" s="248" t="s">
        <v>153</v>
      </c>
      <c r="F81" s="256">
        <v>0</v>
      </c>
      <c r="G81" s="258">
        <v>0</v>
      </c>
      <c r="H81" s="258">
        <v>0</v>
      </c>
      <c r="I81" s="258">
        <v>0</v>
      </c>
      <c r="J81" s="258">
        <v>0</v>
      </c>
      <c r="K81" s="296"/>
      <c r="L81" s="289" t="s">
        <v>33</v>
      </c>
      <c r="M81" s="296"/>
      <c r="N81" s="257"/>
      <c r="O81" s="279">
        <v>168136.47</v>
      </c>
      <c r="P81" s="279"/>
      <c r="Q81" s="279"/>
      <c r="R81" s="279"/>
      <c r="S81" s="279"/>
      <c r="T81" s="279">
        <v>88.5</v>
      </c>
      <c r="U81" s="297"/>
    </row>
    <row r="82" spans="1:21" x14ac:dyDescent="0.2">
      <c r="A82" s="295" t="s">
        <v>29</v>
      </c>
      <c r="B82" s="255" t="s">
        <v>42</v>
      </c>
      <c r="C82" s="320" t="s">
        <v>154</v>
      </c>
      <c r="D82" s="289" t="s">
        <v>154</v>
      </c>
      <c r="E82" s="248" t="s">
        <v>155</v>
      </c>
      <c r="F82" s="256">
        <v>0</v>
      </c>
      <c r="G82" s="258">
        <v>0</v>
      </c>
      <c r="H82" s="258">
        <v>0</v>
      </c>
      <c r="I82" s="258">
        <v>0</v>
      </c>
      <c r="J82" s="258">
        <v>0</v>
      </c>
      <c r="K82" s="296"/>
      <c r="L82" s="289" t="s">
        <v>33</v>
      </c>
      <c r="M82" s="296"/>
      <c r="N82" s="257"/>
      <c r="O82" s="279">
        <v>195212.42</v>
      </c>
      <c r="P82" s="279"/>
      <c r="Q82" s="279"/>
      <c r="R82" s="279"/>
      <c r="S82" s="279"/>
      <c r="T82" s="279">
        <v>131.66</v>
      </c>
      <c r="U82" s="297"/>
    </row>
    <row r="83" spans="1:21" x14ac:dyDescent="0.2">
      <c r="A83" s="295" t="s">
        <v>29</v>
      </c>
      <c r="B83" s="255" t="s">
        <v>34</v>
      </c>
      <c r="C83" s="295" t="s">
        <v>51</v>
      </c>
      <c r="D83" s="321" t="s">
        <v>156</v>
      </c>
      <c r="E83" s="248" t="s">
        <v>157</v>
      </c>
      <c r="F83" s="256">
        <v>0</v>
      </c>
      <c r="G83" s="256">
        <v>0</v>
      </c>
      <c r="H83" s="258">
        <v>0</v>
      </c>
      <c r="I83" s="258">
        <v>0</v>
      </c>
      <c r="J83" s="258">
        <v>0</v>
      </c>
      <c r="K83" s="296"/>
      <c r="L83" s="289" t="s">
        <v>33</v>
      </c>
      <c r="M83" s="296"/>
      <c r="N83" s="257"/>
      <c r="O83" s="279">
        <v>374641.58</v>
      </c>
      <c r="P83" s="279"/>
      <c r="Q83" s="279"/>
      <c r="R83" s="279"/>
      <c r="S83" s="279"/>
      <c r="T83" s="279">
        <v>416.27</v>
      </c>
      <c r="U83" s="297"/>
    </row>
    <row r="84" spans="1:21" x14ac:dyDescent="0.2">
      <c r="A84" s="295" t="s">
        <v>29</v>
      </c>
      <c r="B84" s="255" t="s">
        <v>73</v>
      </c>
      <c r="C84" s="320" t="s">
        <v>81</v>
      </c>
      <c r="D84" s="321" t="s">
        <v>158</v>
      </c>
      <c r="E84" s="248" t="s">
        <v>159</v>
      </c>
      <c r="F84" s="256">
        <v>0</v>
      </c>
      <c r="G84" s="258">
        <v>0</v>
      </c>
      <c r="H84" s="258">
        <v>0</v>
      </c>
      <c r="I84" s="258">
        <v>0</v>
      </c>
      <c r="J84" s="258">
        <v>0</v>
      </c>
      <c r="K84" s="296"/>
      <c r="L84" s="289" t="s">
        <v>33</v>
      </c>
      <c r="M84" s="296"/>
      <c r="N84" s="257"/>
      <c r="O84" s="279">
        <v>158880.74</v>
      </c>
      <c r="P84" s="279"/>
      <c r="Q84" s="279"/>
      <c r="R84" s="279"/>
      <c r="S84" s="279"/>
      <c r="T84" s="279">
        <v>73.75</v>
      </c>
      <c r="U84" s="297"/>
    </row>
    <row r="85" spans="1:21" x14ac:dyDescent="0.2">
      <c r="A85" s="295" t="s">
        <v>29</v>
      </c>
      <c r="B85" s="255" t="s">
        <v>34</v>
      </c>
      <c r="C85" s="320" t="s">
        <v>51</v>
      </c>
      <c r="D85" s="289" t="s">
        <v>160</v>
      </c>
      <c r="E85" s="248" t="s">
        <v>161</v>
      </c>
      <c r="F85" s="256">
        <v>0</v>
      </c>
      <c r="G85" s="256">
        <v>0</v>
      </c>
      <c r="H85" s="258">
        <v>0</v>
      </c>
      <c r="I85" s="258">
        <v>0</v>
      </c>
      <c r="J85" s="258">
        <v>0</v>
      </c>
      <c r="K85" s="296"/>
      <c r="L85" s="289" t="s">
        <v>33</v>
      </c>
      <c r="M85" s="296"/>
      <c r="N85" s="257"/>
      <c r="O85" s="279">
        <v>278554.09999999998</v>
      </c>
      <c r="P85" s="279"/>
      <c r="Q85" s="279"/>
      <c r="R85" s="279"/>
      <c r="S85" s="279"/>
      <c r="T85" s="279">
        <v>309.5</v>
      </c>
      <c r="U85" s="297"/>
    </row>
    <row r="86" spans="1:21" x14ac:dyDescent="0.2">
      <c r="A86" s="295" t="s">
        <v>29</v>
      </c>
      <c r="B86" s="255" t="s">
        <v>34</v>
      </c>
      <c r="C86" s="320" t="s">
        <v>123</v>
      </c>
      <c r="D86" s="289" t="s">
        <v>162</v>
      </c>
      <c r="E86" s="248" t="s">
        <v>163</v>
      </c>
      <c r="F86" s="256">
        <v>0</v>
      </c>
      <c r="G86" s="256">
        <v>0</v>
      </c>
      <c r="H86" s="258">
        <v>0</v>
      </c>
      <c r="I86" s="258">
        <v>0</v>
      </c>
      <c r="J86" s="258">
        <v>0</v>
      </c>
      <c r="K86" s="296"/>
      <c r="L86" s="289" t="s">
        <v>33</v>
      </c>
      <c r="M86" s="296"/>
      <c r="N86" s="257"/>
      <c r="O86" s="279">
        <v>873856.29</v>
      </c>
      <c r="P86" s="279"/>
      <c r="Q86" s="279"/>
      <c r="R86" s="279"/>
      <c r="S86" s="279"/>
      <c r="T86" s="279">
        <v>970.95</v>
      </c>
      <c r="U86" s="297"/>
    </row>
    <row r="87" spans="1:21" x14ac:dyDescent="0.2">
      <c r="A87" s="295" t="s">
        <v>29</v>
      </c>
      <c r="B87" s="255" t="s">
        <v>38</v>
      </c>
      <c r="C87" s="320" t="s">
        <v>39</v>
      </c>
      <c r="D87" s="289" t="s">
        <v>164</v>
      </c>
      <c r="E87" s="248" t="s">
        <v>165</v>
      </c>
      <c r="F87" s="256">
        <v>0</v>
      </c>
      <c r="G87" s="258">
        <v>0</v>
      </c>
      <c r="H87" s="258">
        <v>0</v>
      </c>
      <c r="I87" s="258">
        <v>0</v>
      </c>
      <c r="J87" s="258">
        <v>0</v>
      </c>
      <c r="K87" s="296"/>
      <c r="L87" s="289" t="s">
        <v>33</v>
      </c>
      <c r="M87" s="296"/>
      <c r="N87" s="257"/>
      <c r="O87" s="279">
        <v>149110.81</v>
      </c>
      <c r="P87" s="279"/>
      <c r="Q87" s="279"/>
      <c r="R87" s="279"/>
      <c r="S87" s="279"/>
      <c r="T87" s="279">
        <v>58.18</v>
      </c>
      <c r="U87" s="297"/>
    </row>
    <row r="88" spans="1:21" x14ac:dyDescent="0.2">
      <c r="A88" s="295" t="s">
        <v>29</v>
      </c>
      <c r="B88" s="255" t="s">
        <v>30</v>
      </c>
      <c r="C88" s="320" t="s">
        <v>45</v>
      </c>
      <c r="D88" s="289" t="s">
        <v>166</v>
      </c>
      <c r="E88" s="248" t="s">
        <v>167</v>
      </c>
      <c r="F88" s="256">
        <v>0</v>
      </c>
      <c r="G88" s="256">
        <v>0</v>
      </c>
      <c r="H88" s="258">
        <v>0</v>
      </c>
      <c r="I88" s="258">
        <v>0</v>
      </c>
      <c r="J88" s="258">
        <v>0</v>
      </c>
      <c r="K88" s="296"/>
      <c r="L88" s="289" t="s">
        <v>33</v>
      </c>
      <c r="M88" s="296"/>
      <c r="N88" s="257"/>
      <c r="O88" s="279">
        <v>219068.25</v>
      </c>
      <c r="P88" s="279"/>
      <c r="Q88" s="279"/>
      <c r="R88" s="279"/>
      <c r="S88" s="279"/>
      <c r="T88" s="279">
        <v>243.41</v>
      </c>
      <c r="U88" s="297"/>
    </row>
    <row r="89" spans="1:21" x14ac:dyDescent="0.2">
      <c r="A89" s="330" t="s">
        <v>29</v>
      </c>
      <c r="B89" s="255" t="s">
        <v>58</v>
      </c>
      <c r="C89" s="320" t="s">
        <v>59</v>
      </c>
      <c r="D89" s="289" t="s">
        <v>168</v>
      </c>
      <c r="E89" s="248" t="s">
        <v>169</v>
      </c>
      <c r="F89" s="256">
        <v>0</v>
      </c>
      <c r="G89" s="258">
        <v>0</v>
      </c>
      <c r="H89" s="258">
        <v>0</v>
      </c>
      <c r="I89" s="258">
        <v>0</v>
      </c>
      <c r="J89" s="258">
        <v>0</v>
      </c>
      <c r="K89" s="296"/>
      <c r="L89" s="289" t="s">
        <v>33</v>
      </c>
      <c r="M89" s="296"/>
      <c r="N89" s="257"/>
      <c r="O89" s="279">
        <v>159394.95000000001</v>
      </c>
      <c r="P89" s="279"/>
      <c r="Q89" s="279"/>
      <c r="R89" s="279"/>
      <c r="S89" s="279"/>
      <c r="T89" s="279">
        <v>74.569999999999993</v>
      </c>
      <c r="U89" s="297"/>
    </row>
    <row r="90" spans="1:21" x14ac:dyDescent="0.2">
      <c r="A90" s="295" t="s">
        <v>29</v>
      </c>
      <c r="B90" s="255" t="s">
        <v>90</v>
      </c>
      <c r="C90" s="320" t="s">
        <v>138</v>
      </c>
      <c r="D90" s="289" t="s">
        <v>170</v>
      </c>
      <c r="E90" s="248" t="s">
        <v>171</v>
      </c>
      <c r="F90" s="256">
        <v>0</v>
      </c>
      <c r="G90" s="258">
        <v>0</v>
      </c>
      <c r="H90" s="258">
        <v>0</v>
      </c>
      <c r="I90" s="258">
        <v>0</v>
      </c>
      <c r="J90" s="258">
        <v>0</v>
      </c>
      <c r="K90" s="296"/>
      <c r="L90" s="289" t="s">
        <v>33</v>
      </c>
      <c r="M90" s="296"/>
      <c r="N90" s="257"/>
      <c r="O90" s="279">
        <v>180994.37</v>
      </c>
      <c r="P90" s="279"/>
      <c r="Q90" s="279"/>
      <c r="R90" s="279"/>
      <c r="S90" s="279"/>
      <c r="T90" s="279">
        <v>109</v>
      </c>
      <c r="U90" s="297"/>
    </row>
    <row r="91" spans="1:21" x14ac:dyDescent="0.2">
      <c r="A91" s="295" t="s">
        <v>29</v>
      </c>
      <c r="B91" s="255" t="s">
        <v>30</v>
      </c>
      <c r="C91" s="320" t="s">
        <v>45</v>
      </c>
      <c r="D91" s="321" t="s">
        <v>172</v>
      </c>
      <c r="E91" s="248" t="s">
        <v>173</v>
      </c>
      <c r="F91" s="258">
        <v>0</v>
      </c>
      <c r="G91" s="256">
        <v>0</v>
      </c>
      <c r="H91" s="258">
        <v>0</v>
      </c>
      <c r="I91" s="258">
        <v>0</v>
      </c>
      <c r="J91" s="258">
        <v>0</v>
      </c>
      <c r="K91" s="296"/>
      <c r="L91" s="289" t="s">
        <v>33</v>
      </c>
      <c r="M91" s="296"/>
      <c r="N91" s="257"/>
      <c r="O91" s="279">
        <v>177793.6</v>
      </c>
      <c r="P91" s="279"/>
      <c r="Q91" s="279"/>
      <c r="R91" s="279"/>
      <c r="S91" s="279"/>
      <c r="T91" s="279">
        <v>197.55</v>
      </c>
      <c r="U91" s="297"/>
    </row>
    <row r="92" spans="1:21" x14ac:dyDescent="0.2">
      <c r="A92" s="295" t="s">
        <v>29</v>
      </c>
      <c r="B92" s="255" t="s">
        <v>30</v>
      </c>
      <c r="C92" s="295" t="s">
        <v>48</v>
      </c>
      <c r="D92" s="321" t="s">
        <v>174</v>
      </c>
      <c r="E92" s="248" t="s">
        <v>175</v>
      </c>
      <c r="F92" s="258">
        <v>0</v>
      </c>
      <c r="G92" s="256">
        <v>0</v>
      </c>
      <c r="H92" s="258">
        <v>0</v>
      </c>
      <c r="I92" s="258">
        <v>0</v>
      </c>
      <c r="J92" s="258">
        <v>0</v>
      </c>
      <c r="K92" s="296"/>
      <c r="L92" s="289" t="s">
        <v>33</v>
      </c>
      <c r="M92" s="296"/>
      <c r="N92" s="257"/>
      <c r="O92" s="279">
        <v>327279.78000000003</v>
      </c>
      <c r="P92" s="279"/>
      <c r="Q92" s="279"/>
      <c r="R92" s="279"/>
      <c r="S92" s="279"/>
      <c r="T92" s="279">
        <v>363.64</v>
      </c>
      <c r="U92" s="297"/>
    </row>
    <row r="93" spans="1:21" x14ac:dyDescent="0.2">
      <c r="A93" s="292" t="s">
        <v>29</v>
      </c>
      <c r="B93" s="252" t="s">
        <v>177</v>
      </c>
      <c r="C93" s="316" t="s">
        <v>81</v>
      </c>
      <c r="D93" s="317" t="s">
        <v>219</v>
      </c>
      <c r="E93" s="248" t="s">
        <v>220</v>
      </c>
      <c r="F93" s="254">
        <v>0</v>
      </c>
      <c r="G93" s="254">
        <v>0</v>
      </c>
      <c r="H93" s="254">
        <v>0</v>
      </c>
      <c r="I93" s="254">
        <v>0</v>
      </c>
      <c r="J93" s="254">
        <v>0</v>
      </c>
      <c r="K93" s="293"/>
      <c r="L93" s="289" t="s">
        <v>33</v>
      </c>
      <c r="M93" s="294"/>
      <c r="N93" s="253"/>
      <c r="O93" s="279">
        <v>158880.74</v>
      </c>
      <c r="P93" s="279"/>
      <c r="Q93" s="279"/>
      <c r="R93" s="279"/>
      <c r="S93" s="279"/>
      <c r="T93" s="279">
        <v>73.75</v>
      </c>
      <c r="U93" s="291"/>
    </row>
    <row r="94" spans="1:21" x14ac:dyDescent="0.2">
      <c r="A94" s="289" t="s">
        <v>829</v>
      </c>
      <c r="B94" s="255" t="s">
        <v>177</v>
      </c>
      <c r="C94" s="320" t="s">
        <v>81</v>
      </c>
      <c r="D94" s="289" t="s">
        <v>178</v>
      </c>
      <c r="E94" s="248" t="s">
        <v>179</v>
      </c>
      <c r="F94" s="249">
        <v>435818.12</v>
      </c>
      <c r="G94" s="249">
        <v>422743.58</v>
      </c>
      <c r="H94" s="258">
        <v>0</v>
      </c>
      <c r="I94" s="258">
        <v>0</v>
      </c>
      <c r="J94" s="258">
        <v>0</v>
      </c>
      <c r="K94" s="296"/>
      <c r="L94" s="289" t="s">
        <v>180</v>
      </c>
      <c r="M94" s="296"/>
      <c r="N94" s="257"/>
      <c r="O94" s="279">
        <v>0</v>
      </c>
      <c r="P94" s="279"/>
      <c r="Q94" s="279"/>
      <c r="R94" s="279"/>
      <c r="S94" s="279"/>
      <c r="T94" s="279">
        <v>0</v>
      </c>
      <c r="U94" s="297"/>
    </row>
    <row r="95" spans="1:21" x14ac:dyDescent="0.2">
      <c r="A95" s="295" t="s">
        <v>181</v>
      </c>
      <c r="B95" s="255" t="s">
        <v>177</v>
      </c>
      <c r="C95" s="320" t="s">
        <v>81</v>
      </c>
      <c r="D95" s="289" t="s">
        <v>182</v>
      </c>
      <c r="E95" s="248" t="s">
        <v>183</v>
      </c>
      <c r="F95" s="256">
        <v>0</v>
      </c>
      <c r="G95" s="263">
        <v>165784.44</v>
      </c>
      <c r="H95" s="258">
        <v>0</v>
      </c>
      <c r="I95" s="258">
        <v>0</v>
      </c>
      <c r="J95" s="258">
        <v>0</v>
      </c>
      <c r="K95" s="296"/>
      <c r="L95" s="289" t="s">
        <v>180</v>
      </c>
      <c r="M95" s="296"/>
      <c r="N95" s="257"/>
      <c r="O95" s="279">
        <v>0</v>
      </c>
      <c r="P95" s="279"/>
      <c r="Q95" s="279"/>
      <c r="R95" s="279"/>
      <c r="S95" s="279"/>
      <c r="T95" s="279">
        <v>0</v>
      </c>
      <c r="U95" s="297"/>
    </row>
    <row r="96" spans="1:21" x14ac:dyDescent="0.2">
      <c r="A96" s="295" t="s">
        <v>184</v>
      </c>
      <c r="B96" s="255" t="s">
        <v>30</v>
      </c>
      <c r="C96" s="295" t="s">
        <v>48</v>
      </c>
      <c r="D96" s="289" t="s">
        <v>185</v>
      </c>
      <c r="E96" s="248" t="s">
        <v>50</v>
      </c>
      <c r="F96" s="256">
        <v>0</v>
      </c>
      <c r="G96" s="256">
        <v>0</v>
      </c>
      <c r="H96" s="256">
        <v>0</v>
      </c>
      <c r="I96" s="256">
        <v>0</v>
      </c>
      <c r="J96" s="256">
        <v>0</v>
      </c>
      <c r="K96" s="296"/>
      <c r="L96" s="289" t="s">
        <v>33</v>
      </c>
      <c r="M96" s="296"/>
      <c r="N96" s="257"/>
      <c r="O96" s="279">
        <v>12442.001808426267</v>
      </c>
      <c r="P96" s="279"/>
      <c r="Q96" s="279"/>
      <c r="R96" s="279"/>
      <c r="S96" s="279"/>
      <c r="T96" s="279">
        <v>97.130045248391411</v>
      </c>
      <c r="U96" s="297"/>
    </row>
    <row r="97" spans="1:21" x14ac:dyDescent="0.2">
      <c r="A97" s="295" t="s">
        <v>184</v>
      </c>
      <c r="B97" s="255" t="s">
        <v>177</v>
      </c>
      <c r="C97" s="320" t="s">
        <v>81</v>
      </c>
      <c r="D97" s="321" t="s">
        <v>31</v>
      </c>
      <c r="E97" s="248" t="s">
        <v>32</v>
      </c>
      <c r="F97" s="256">
        <v>3289623.98</v>
      </c>
      <c r="G97" s="258">
        <v>0</v>
      </c>
      <c r="H97" s="258">
        <v>0</v>
      </c>
      <c r="I97" s="258">
        <v>0</v>
      </c>
      <c r="J97" s="258">
        <v>0</v>
      </c>
      <c r="K97" s="296"/>
      <c r="L97" s="289" t="s">
        <v>33</v>
      </c>
      <c r="M97" s="296"/>
      <c r="N97" s="257"/>
      <c r="O97" s="279">
        <v>27690.01</v>
      </c>
      <c r="P97" s="279"/>
      <c r="Q97" s="279"/>
      <c r="R97" s="279"/>
      <c r="S97" s="279"/>
      <c r="T97" s="279">
        <v>93.25</v>
      </c>
      <c r="U97" s="297"/>
    </row>
    <row r="98" spans="1:21" x14ac:dyDescent="0.2">
      <c r="A98" s="295" t="s">
        <v>184</v>
      </c>
      <c r="B98" s="255" t="s">
        <v>34</v>
      </c>
      <c r="C98" s="320" t="s">
        <v>35</v>
      </c>
      <c r="D98" s="289" t="s">
        <v>36</v>
      </c>
      <c r="E98" s="248" t="s">
        <v>37</v>
      </c>
      <c r="F98" s="256">
        <v>0</v>
      </c>
      <c r="G98" s="258">
        <v>0</v>
      </c>
      <c r="H98" s="258">
        <v>0</v>
      </c>
      <c r="I98" s="258">
        <v>0</v>
      </c>
      <c r="J98" s="258">
        <v>0</v>
      </c>
      <c r="K98" s="296"/>
      <c r="L98" s="289" t="s">
        <v>33</v>
      </c>
      <c r="M98" s="296"/>
      <c r="N98" s="257"/>
      <c r="O98" s="279">
        <v>27690.01</v>
      </c>
      <c r="P98" s="279"/>
      <c r="Q98" s="279"/>
      <c r="R98" s="279"/>
      <c r="S98" s="279"/>
      <c r="T98" s="279">
        <v>245.02</v>
      </c>
      <c r="U98" s="297"/>
    </row>
    <row r="99" spans="1:21" x14ac:dyDescent="0.2">
      <c r="A99" s="295" t="s">
        <v>184</v>
      </c>
      <c r="B99" s="255" t="s">
        <v>30</v>
      </c>
      <c r="C99" s="295" t="s">
        <v>48</v>
      </c>
      <c r="D99" s="289" t="s">
        <v>186</v>
      </c>
      <c r="E99" s="248" t="s">
        <v>187</v>
      </c>
      <c r="F99" s="256">
        <v>0</v>
      </c>
      <c r="G99" s="258">
        <v>0</v>
      </c>
      <c r="H99" s="258">
        <v>0</v>
      </c>
      <c r="I99" s="258">
        <v>0</v>
      </c>
      <c r="J99" s="258">
        <v>0</v>
      </c>
      <c r="K99" s="296"/>
      <c r="L99" s="289" t="s">
        <v>33</v>
      </c>
      <c r="M99" s="296"/>
      <c r="N99" s="257"/>
      <c r="O99" s="279">
        <v>27690.01</v>
      </c>
      <c r="P99" s="279"/>
      <c r="Q99" s="279"/>
      <c r="R99" s="279"/>
      <c r="S99" s="279"/>
      <c r="T99" s="279">
        <v>183.03</v>
      </c>
      <c r="U99" s="297"/>
    </row>
    <row r="100" spans="1:21" x14ac:dyDescent="0.2">
      <c r="A100" s="295" t="s">
        <v>184</v>
      </c>
      <c r="B100" s="255" t="s">
        <v>30</v>
      </c>
      <c r="C100" s="320" t="s">
        <v>45</v>
      </c>
      <c r="D100" s="289" t="s">
        <v>46</v>
      </c>
      <c r="E100" s="248" t="s">
        <v>47</v>
      </c>
      <c r="F100" s="256">
        <v>0</v>
      </c>
      <c r="G100" s="258">
        <v>0</v>
      </c>
      <c r="H100" s="258">
        <v>0</v>
      </c>
      <c r="I100" s="258">
        <v>0</v>
      </c>
      <c r="J100" s="258">
        <v>0</v>
      </c>
      <c r="K100" s="296"/>
      <c r="L100" s="289" t="s">
        <v>33</v>
      </c>
      <c r="M100" s="296"/>
      <c r="N100" s="257"/>
      <c r="O100" s="279">
        <v>27690.01</v>
      </c>
      <c r="P100" s="279"/>
      <c r="Q100" s="279"/>
      <c r="R100" s="279"/>
      <c r="S100" s="279"/>
      <c r="T100" s="279">
        <v>216.17</v>
      </c>
      <c r="U100" s="297"/>
    </row>
    <row r="101" spans="1:21" x14ac:dyDescent="0.2">
      <c r="A101" s="295" t="s">
        <v>184</v>
      </c>
      <c r="B101" s="255" t="s">
        <v>30</v>
      </c>
      <c r="C101" s="320" t="s">
        <v>48</v>
      </c>
      <c r="D101" s="289" t="s">
        <v>188</v>
      </c>
      <c r="E101" s="248" t="s">
        <v>50</v>
      </c>
      <c r="F101" s="256">
        <v>0</v>
      </c>
      <c r="G101" s="256">
        <v>0</v>
      </c>
      <c r="H101" s="256">
        <v>0</v>
      </c>
      <c r="I101" s="256">
        <v>0</v>
      </c>
      <c r="J101" s="256">
        <v>0</v>
      </c>
      <c r="K101" s="296"/>
      <c r="L101" s="289" t="s">
        <v>33</v>
      </c>
      <c r="M101" s="296"/>
      <c r="N101" s="257"/>
      <c r="O101" s="279">
        <v>25819.708343888931</v>
      </c>
      <c r="P101" s="279"/>
      <c r="Q101" s="279"/>
      <c r="R101" s="279"/>
      <c r="S101" s="279"/>
      <c r="T101" s="279">
        <v>143.41838337208708</v>
      </c>
      <c r="U101" s="297"/>
    </row>
    <row r="102" spans="1:21" x14ac:dyDescent="0.2">
      <c r="A102" s="295" t="s">
        <v>184</v>
      </c>
      <c r="B102" s="255" t="s">
        <v>30</v>
      </c>
      <c r="C102" s="320" t="s">
        <v>45</v>
      </c>
      <c r="D102" s="289" t="s">
        <v>189</v>
      </c>
      <c r="E102" s="248" t="s">
        <v>190</v>
      </c>
      <c r="F102" s="256">
        <v>4784907.6100000003</v>
      </c>
      <c r="G102" s="258">
        <v>0</v>
      </c>
      <c r="H102" s="258">
        <v>0</v>
      </c>
      <c r="I102" s="258">
        <v>0</v>
      </c>
      <c r="J102" s="258">
        <v>0</v>
      </c>
      <c r="K102" s="296"/>
      <c r="L102" s="289" t="s">
        <v>33</v>
      </c>
      <c r="M102" s="296"/>
      <c r="N102" s="257"/>
      <c r="O102" s="279">
        <v>27690.01</v>
      </c>
      <c r="P102" s="279"/>
      <c r="Q102" s="279"/>
      <c r="R102" s="279"/>
      <c r="S102" s="279"/>
      <c r="T102" s="279">
        <v>183.03</v>
      </c>
      <c r="U102" s="297"/>
    </row>
    <row r="103" spans="1:21" x14ac:dyDescent="0.2">
      <c r="A103" s="295" t="s">
        <v>184</v>
      </c>
      <c r="B103" s="255" t="s">
        <v>34</v>
      </c>
      <c r="C103" s="320" t="s">
        <v>51</v>
      </c>
      <c r="D103" s="289" t="s">
        <v>52</v>
      </c>
      <c r="E103" s="248" t="s">
        <v>53</v>
      </c>
      <c r="F103" s="256">
        <v>0</v>
      </c>
      <c r="G103" s="258">
        <v>0</v>
      </c>
      <c r="H103" s="258">
        <v>0</v>
      </c>
      <c r="I103" s="258">
        <v>0</v>
      </c>
      <c r="J103" s="258">
        <v>0</v>
      </c>
      <c r="K103" s="296"/>
      <c r="L103" s="289" t="s">
        <v>33</v>
      </c>
      <c r="M103" s="296"/>
      <c r="N103" s="257"/>
      <c r="O103" s="279">
        <v>27690.01</v>
      </c>
      <c r="P103" s="279"/>
      <c r="Q103" s="279"/>
      <c r="R103" s="279"/>
      <c r="S103" s="279"/>
      <c r="T103" s="279">
        <v>234.6</v>
      </c>
      <c r="U103" s="297"/>
    </row>
    <row r="104" spans="1:21" x14ac:dyDescent="0.2">
      <c r="A104" s="295" t="s">
        <v>184</v>
      </c>
      <c r="B104" s="255" t="s">
        <v>177</v>
      </c>
      <c r="C104" s="320" t="s">
        <v>81</v>
      </c>
      <c r="D104" s="289" t="s">
        <v>191</v>
      </c>
      <c r="E104" s="248" t="s">
        <v>192</v>
      </c>
      <c r="F104" s="256">
        <v>0</v>
      </c>
      <c r="G104" s="258">
        <v>0</v>
      </c>
      <c r="H104" s="258">
        <v>0</v>
      </c>
      <c r="I104" s="258">
        <v>0</v>
      </c>
      <c r="J104" s="258">
        <v>0</v>
      </c>
      <c r="K104" s="296"/>
      <c r="L104" s="289" t="s">
        <v>33</v>
      </c>
      <c r="M104" s="296"/>
      <c r="N104" s="257"/>
      <c r="O104" s="279">
        <v>27690.01</v>
      </c>
      <c r="P104" s="279"/>
      <c r="Q104" s="279"/>
      <c r="R104" s="279"/>
      <c r="S104" s="279"/>
      <c r="T104" s="279">
        <v>183.03</v>
      </c>
      <c r="U104" s="297"/>
    </row>
    <row r="105" spans="1:21" x14ac:dyDescent="0.2">
      <c r="A105" s="295" t="s">
        <v>184</v>
      </c>
      <c r="B105" s="255" t="s">
        <v>34</v>
      </c>
      <c r="C105" s="320" t="s">
        <v>35</v>
      </c>
      <c r="D105" s="289" t="s">
        <v>61</v>
      </c>
      <c r="E105" s="248" t="s">
        <v>62</v>
      </c>
      <c r="F105" s="256">
        <v>0</v>
      </c>
      <c r="G105" s="258">
        <v>0</v>
      </c>
      <c r="H105" s="258">
        <v>0</v>
      </c>
      <c r="I105" s="258">
        <v>0</v>
      </c>
      <c r="J105" s="258">
        <v>0</v>
      </c>
      <c r="K105" s="296"/>
      <c r="L105" s="289" t="s">
        <v>33</v>
      </c>
      <c r="M105" s="296"/>
      <c r="N105" s="257"/>
      <c r="O105" s="279">
        <v>27690.01</v>
      </c>
      <c r="P105" s="279"/>
      <c r="Q105" s="279"/>
      <c r="R105" s="279"/>
      <c r="S105" s="279"/>
      <c r="T105" s="279">
        <v>315.3</v>
      </c>
      <c r="U105" s="297"/>
    </row>
    <row r="106" spans="1:21" x14ac:dyDescent="0.2">
      <c r="A106" s="295" t="s">
        <v>184</v>
      </c>
      <c r="B106" s="255" t="s">
        <v>30</v>
      </c>
      <c r="C106" s="320" t="s">
        <v>48</v>
      </c>
      <c r="D106" s="289" t="s">
        <v>63</v>
      </c>
      <c r="E106" s="248" t="s">
        <v>50</v>
      </c>
      <c r="F106" s="256">
        <v>0</v>
      </c>
      <c r="G106" s="256">
        <v>0</v>
      </c>
      <c r="H106" s="256">
        <v>0</v>
      </c>
      <c r="I106" s="256">
        <v>0</v>
      </c>
      <c r="J106" s="256">
        <v>0</v>
      </c>
      <c r="K106" s="296"/>
      <c r="L106" s="289" t="s">
        <v>33</v>
      </c>
      <c r="M106" s="296"/>
      <c r="N106" s="257"/>
      <c r="O106" s="279">
        <v>12442</v>
      </c>
      <c r="P106" s="279"/>
      <c r="Q106" s="279"/>
      <c r="R106" s="279"/>
      <c r="S106" s="279"/>
      <c r="T106" s="279">
        <v>82.242374530467416</v>
      </c>
      <c r="U106" s="297"/>
    </row>
    <row r="107" spans="1:21" x14ac:dyDescent="0.2">
      <c r="A107" s="295" t="s">
        <v>184</v>
      </c>
      <c r="B107" s="255" t="s">
        <v>30</v>
      </c>
      <c r="C107" s="320" t="s">
        <v>45</v>
      </c>
      <c r="D107" s="289" t="s">
        <v>64</v>
      </c>
      <c r="E107" s="248" t="s">
        <v>65</v>
      </c>
      <c r="F107" s="256">
        <v>0</v>
      </c>
      <c r="G107" s="258">
        <v>0</v>
      </c>
      <c r="H107" s="258">
        <v>0</v>
      </c>
      <c r="I107" s="258">
        <v>0</v>
      </c>
      <c r="J107" s="258">
        <v>0</v>
      </c>
      <c r="K107" s="296"/>
      <c r="L107" s="289" t="s">
        <v>33</v>
      </c>
      <c r="M107" s="296"/>
      <c r="N107" s="257"/>
      <c r="O107" s="279">
        <v>27690.01</v>
      </c>
      <c r="P107" s="279"/>
      <c r="Q107" s="279"/>
      <c r="R107" s="279"/>
      <c r="S107" s="279"/>
      <c r="T107" s="279">
        <v>247.96</v>
      </c>
      <c r="U107" s="297"/>
    </row>
    <row r="108" spans="1:21" x14ac:dyDescent="0.2">
      <c r="A108" s="295" t="s">
        <v>184</v>
      </c>
      <c r="B108" s="255" t="s">
        <v>34</v>
      </c>
      <c r="C108" s="320" t="s">
        <v>35</v>
      </c>
      <c r="D108" s="289" t="s">
        <v>66</v>
      </c>
      <c r="E108" s="248" t="s">
        <v>67</v>
      </c>
      <c r="F108" s="256">
        <v>0</v>
      </c>
      <c r="G108" s="258">
        <v>0</v>
      </c>
      <c r="H108" s="258">
        <v>0</v>
      </c>
      <c r="I108" s="258">
        <v>0</v>
      </c>
      <c r="J108" s="258">
        <v>0</v>
      </c>
      <c r="K108" s="296"/>
      <c r="L108" s="289" t="s">
        <v>33</v>
      </c>
      <c r="M108" s="296"/>
      <c r="N108" s="257"/>
      <c r="O108" s="279">
        <v>27690.01</v>
      </c>
      <c r="P108" s="279"/>
      <c r="Q108" s="279"/>
      <c r="R108" s="279"/>
      <c r="S108" s="279"/>
      <c r="T108" s="279">
        <v>361.79</v>
      </c>
      <c r="U108" s="297"/>
    </row>
    <row r="109" spans="1:21" x14ac:dyDescent="0.2">
      <c r="A109" s="295" t="s">
        <v>184</v>
      </c>
      <c r="B109" s="255" t="s">
        <v>34</v>
      </c>
      <c r="C109" s="320" t="s">
        <v>51</v>
      </c>
      <c r="D109" s="331" t="s">
        <v>68</v>
      </c>
      <c r="E109" s="248" t="s">
        <v>69</v>
      </c>
      <c r="F109" s="256">
        <v>5472738.0800000001</v>
      </c>
      <c r="G109" s="258">
        <v>0</v>
      </c>
      <c r="H109" s="258">
        <v>0</v>
      </c>
      <c r="I109" s="258">
        <v>0</v>
      </c>
      <c r="J109" s="258">
        <v>0</v>
      </c>
      <c r="K109" s="296"/>
      <c r="L109" s="289" t="s">
        <v>33</v>
      </c>
      <c r="M109" s="296"/>
      <c r="N109" s="257"/>
      <c r="O109" s="279">
        <v>27690.01</v>
      </c>
      <c r="P109" s="279"/>
      <c r="Q109" s="279"/>
      <c r="R109" s="279"/>
      <c r="S109" s="279"/>
      <c r="T109" s="279">
        <v>247.96</v>
      </c>
      <c r="U109" s="297"/>
    </row>
    <row r="110" spans="1:21" x14ac:dyDescent="0.2">
      <c r="A110" s="295" t="s">
        <v>184</v>
      </c>
      <c r="B110" s="255" t="s">
        <v>34</v>
      </c>
      <c r="C110" s="320" t="s">
        <v>35</v>
      </c>
      <c r="D110" s="289" t="s">
        <v>193</v>
      </c>
      <c r="E110" s="248" t="s">
        <v>194</v>
      </c>
      <c r="F110" s="256">
        <v>0</v>
      </c>
      <c r="G110" s="258">
        <v>0</v>
      </c>
      <c r="H110" s="258">
        <v>0</v>
      </c>
      <c r="I110" s="258">
        <v>0</v>
      </c>
      <c r="J110" s="258">
        <v>0</v>
      </c>
      <c r="K110" s="296"/>
      <c r="L110" s="289" t="s">
        <v>33</v>
      </c>
      <c r="M110" s="296"/>
      <c r="N110" s="257"/>
      <c r="O110" s="279">
        <v>27690.01</v>
      </c>
      <c r="P110" s="279"/>
      <c r="Q110" s="279"/>
      <c r="R110" s="279"/>
      <c r="S110" s="279"/>
      <c r="T110" s="279">
        <v>364.73</v>
      </c>
      <c r="U110" s="297"/>
    </row>
    <row r="111" spans="1:21" x14ac:dyDescent="0.2">
      <c r="A111" s="295" t="s">
        <v>184</v>
      </c>
      <c r="B111" s="255" t="s">
        <v>30</v>
      </c>
      <c r="C111" s="320" t="s">
        <v>45</v>
      </c>
      <c r="D111" s="289" t="s">
        <v>77</v>
      </c>
      <c r="E111" s="248" t="s">
        <v>78</v>
      </c>
      <c r="F111" s="256">
        <v>4784907.6100000003</v>
      </c>
      <c r="G111" s="258">
        <v>0</v>
      </c>
      <c r="H111" s="258">
        <v>0</v>
      </c>
      <c r="I111" s="258">
        <v>0</v>
      </c>
      <c r="J111" s="258">
        <v>0</v>
      </c>
      <c r="K111" s="296"/>
      <c r="L111" s="289" t="s">
        <v>33</v>
      </c>
      <c r="M111" s="296"/>
      <c r="N111" s="257"/>
      <c r="O111" s="279">
        <v>27690.01</v>
      </c>
      <c r="P111" s="279"/>
      <c r="Q111" s="279"/>
      <c r="R111" s="279"/>
      <c r="S111" s="279"/>
      <c r="T111" s="279">
        <v>183.03</v>
      </c>
      <c r="U111" s="297"/>
    </row>
    <row r="112" spans="1:21" x14ac:dyDescent="0.2">
      <c r="A112" s="295" t="s">
        <v>184</v>
      </c>
      <c r="B112" s="255" t="s">
        <v>30</v>
      </c>
      <c r="C112" s="320" t="s">
        <v>48</v>
      </c>
      <c r="D112" s="289" t="s">
        <v>84</v>
      </c>
      <c r="E112" s="248" t="s">
        <v>50</v>
      </c>
      <c r="F112" s="256">
        <v>0</v>
      </c>
      <c r="G112" s="256">
        <v>0</v>
      </c>
      <c r="H112" s="256">
        <v>0</v>
      </c>
      <c r="I112" s="256">
        <v>0</v>
      </c>
      <c r="J112" s="256">
        <v>0</v>
      </c>
      <c r="K112" s="296"/>
      <c r="L112" s="289" t="s">
        <v>33</v>
      </c>
      <c r="M112" s="296"/>
      <c r="N112" s="257"/>
      <c r="O112" s="279">
        <v>20082.973009005447</v>
      </c>
      <c r="P112" s="279"/>
      <c r="Q112" s="279"/>
      <c r="R112" s="279"/>
      <c r="S112" s="279"/>
      <c r="T112" s="279">
        <v>114.73470669766964</v>
      </c>
      <c r="U112" s="297"/>
    </row>
    <row r="113" spans="1:21" ht="15.6" customHeight="1" x14ac:dyDescent="0.2">
      <c r="A113" s="295" t="s">
        <v>184</v>
      </c>
      <c r="B113" s="255" t="s">
        <v>34</v>
      </c>
      <c r="C113" s="320" t="s">
        <v>35</v>
      </c>
      <c r="D113" s="289" t="s">
        <v>195</v>
      </c>
      <c r="E113" s="248" t="s">
        <v>196</v>
      </c>
      <c r="F113" s="256">
        <v>0</v>
      </c>
      <c r="G113" s="258">
        <v>0</v>
      </c>
      <c r="H113" s="258">
        <v>0</v>
      </c>
      <c r="I113" s="258">
        <v>0</v>
      </c>
      <c r="J113" s="258">
        <v>0</v>
      </c>
      <c r="K113" s="296"/>
      <c r="L113" s="289" t="s">
        <v>33</v>
      </c>
      <c r="M113" s="296"/>
      <c r="N113" s="257"/>
      <c r="O113" s="279">
        <v>667958.41</v>
      </c>
      <c r="P113" s="279"/>
      <c r="Q113" s="279"/>
      <c r="R113" s="279"/>
      <c r="S113" s="279"/>
      <c r="T113" s="279">
        <v>441.15</v>
      </c>
      <c r="U113" s="297"/>
    </row>
    <row r="114" spans="1:21" ht="15.6" customHeight="1" x14ac:dyDescent="0.2">
      <c r="A114" s="295" t="s">
        <v>184</v>
      </c>
      <c r="B114" s="255" t="s">
        <v>30</v>
      </c>
      <c r="C114" s="295" t="s">
        <v>48</v>
      </c>
      <c r="D114" s="289" t="s">
        <v>330</v>
      </c>
      <c r="E114" s="248" t="s">
        <v>94</v>
      </c>
      <c r="F114" s="256">
        <v>0</v>
      </c>
      <c r="G114" s="258">
        <v>0</v>
      </c>
      <c r="H114" s="258">
        <v>0</v>
      </c>
      <c r="I114" s="258">
        <v>0</v>
      </c>
      <c r="J114" s="258">
        <v>0</v>
      </c>
      <c r="K114" s="296"/>
      <c r="L114" s="289" t="s">
        <v>33</v>
      </c>
      <c r="M114" s="296"/>
      <c r="N114" s="257"/>
      <c r="O114" s="279">
        <v>27690.01</v>
      </c>
      <c r="P114" s="279"/>
      <c r="Q114" s="279"/>
      <c r="R114" s="279"/>
      <c r="S114" s="279"/>
      <c r="T114" s="279">
        <v>183.03</v>
      </c>
      <c r="U114" s="297"/>
    </row>
    <row r="115" spans="1:21" x14ac:dyDescent="0.2">
      <c r="A115" s="295" t="s">
        <v>184</v>
      </c>
      <c r="B115" s="255" t="s">
        <v>34</v>
      </c>
      <c r="C115" s="320" t="s">
        <v>35</v>
      </c>
      <c r="D115" s="289" t="s">
        <v>100</v>
      </c>
      <c r="E115" s="248" t="s">
        <v>101</v>
      </c>
      <c r="F115" s="256">
        <v>0</v>
      </c>
      <c r="G115" s="258">
        <v>0</v>
      </c>
      <c r="H115" s="258">
        <v>0</v>
      </c>
      <c r="I115" s="258">
        <v>0</v>
      </c>
      <c r="J115" s="258">
        <v>0</v>
      </c>
      <c r="K115" s="296"/>
      <c r="L115" s="289" t="s">
        <v>33</v>
      </c>
      <c r="M115" s="296"/>
      <c r="N115" s="257"/>
      <c r="O115" s="279">
        <v>667958.41</v>
      </c>
      <c r="P115" s="279"/>
      <c r="Q115" s="279"/>
      <c r="R115" s="279"/>
      <c r="S115" s="279"/>
      <c r="T115" s="279">
        <v>441.15</v>
      </c>
      <c r="U115" s="297"/>
    </row>
    <row r="116" spans="1:21" x14ac:dyDescent="0.2">
      <c r="A116" s="295" t="s">
        <v>184</v>
      </c>
      <c r="B116" s="255" t="s">
        <v>34</v>
      </c>
      <c r="C116" s="320" t="s">
        <v>35</v>
      </c>
      <c r="D116" s="289" t="s">
        <v>102</v>
      </c>
      <c r="E116" s="248" t="s">
        <v>103</v>
      </c>
      <c r="F116" s="256">
        <v>0</v>
      </c>
      <c r="G116" s="258">
        <v>0</v>
      </c>
      <c r="H116" s="258">
        <v>0</v>
      </c>
      <c r="I116" s="258">
        <v>0</v>
      </c>
      <c r="J116" s="258">
        <v>0</v>
      </c>
      <c r="K116" s="296"/>
      <c r="L116" s="289" t="s">
        <v>33</v>
      </c>
      <c r="M116" s="296"/>
      <c r="N116" s="257"/>
      <c r="O116" s="279">
        <v>27690.01</v>
      </c>
      <c r="P116" s="279"/>
      <c r="Q116" s="279"/>
      <c r="R116" s="279"/>
      <c r="S116" s="279"/>
      <c r="T116" s="279">
        <v>265.60000000000002</v>
      </c>
      <c r="U116" s="297"/>
    </row>
    <row r="117" spans="1:21" x14ac:dyDescent="0.2">
      <c r="A117" s="295" t="s">
        <v>184</v>
      </c>
      <c r="B117" s="255" t="s">
        <v>177</v>
      </c>
      <c r="C117" s="320" t="s">
        <v>81</v>
      </c>
      <c r="D117" s="321" t="s">
        <v>197</v>
      </c>
      <c r="E117" s="248" t="s">
        <v>198</v>
      </c>
      <c r="F117" s="256">
        <v>0</v>
      </c>
      <c r="G117" s="258">
        <v>0</v>
      </c>
      <c r="H117" s="258">
        <v>0</v>
      </c>
      <c r="I117" s="258">
        <v>0</v>
      </c>
      <c r="J117" s="258">
        <v>0</v>
      </c>
      <c r="K117" s="296"/>
      <c r="L117" s="289" t="s">
        <v>33</v>
      </c>
      <c r="M117" s="296"/>
      <c r="N117" s="257"/>
      <c r="O117" s="279">
        <v>27690.01</v>
      </c>
      <c r="P117" s="279"/>
      <c r="Q117" s="279"/>
      <c r="R117" s="279"/>
      <c r="S117" s="279"/>
      <c r="T117" s="279">
        <v>120.24</v>
      </c>
      <c r="U117" s="297"/>
    </row>
    <row r="118" spans="1:21" x14ac:dyDescent="0.2">
      <c r="A118" s="295" t="s">
        <v>184</v>
      </c>
      <c r="B118" s="255" t="s">
        <v>34</v>
      </c>
      <c r="C118" s="320" t="s">
        <v>51</v>
      </c>
      <c r="D118" s="289" t="s">
        <v>199</v>
      </c>
      <c r="E118" s="248" t="s">
        <v>200</v>
      </c>
      <c r="F118" s="256">
        <v>0</v>
      </c>
      <c r="G118" s="258">
        <v>0</v>
      </c>
      <c r="H118" s="258">
        <v>0</v>
      </c>
      <c r="I118" s="258">
        <v>0</v>
      </c>
      <c r="J118" s="258">
        <v>0</v>
      </c>
      <c r="K118" s="296"/>
      <c r="L118" s="289" t="s">
        <v>33</v>
      </c>
      <c r="M118" s="296"/>
      <c r="N118" s="257"/>
      <c r="O118" s="279">
        <v>27690.01</v>
      </c>
      <c r="P118" s="279"/>
      <c r="Q118" s="279"/>
      <c r="R118" s="279"/>
      <c r="S118" s="279"/>
      <c r="T118" s="279">
        <v>188.64</v>
      </c>
      <c r="U118" s="297"/>
    </row>
    <row r="119" spans="1:21" x14ac:dyDescent="0.2">
      <c r="A119" s="295" t="s">
        <v>184</v>
      </c>
      <c r="B119" s="255" t="s">
        <v>34</v>
      </c>
      <c r="C119" s="320" t="s">
        <v>35</v>
      </c>
      <c r="D119" s="289" t="s">
        <v>107</v>
      </c>
      <c r="E119" s="248" t="s">
        <v>108</v>
      </c>
      <c r="F119" s="256">
        <v>0</v>
      </c>
      <c r="G119" s="258">
        <v>0</v>
      </c>
      <c r="H119" s="258">
        <v>0</v>
      </c>
      <c r="I119" s="258">
        <v>0</v>
      </c>
      <c r="J119" s="258">
        <v>0</v>
      </c>
      <c r="K119" s="296"/>
      <c r="L119" s="289" t="s">
        <v>33</v>
      </c>
      <c r="M119" s="296"/>
      <c r="N119" s="257"/>
      <c r="O119" s="279">
        <v>27690.01</v>
      </c>
      <c r="P119" s="279"/>
      <c r="Q119" s="279"/>
      <c r="R119" s="279"/>
      <c r="S119" s="279"/>
      <c r="T119" s="279">
        <v>306.75</v>
      </c>
      <c r="U119" s="297"/>
    </row>
    <row r="120" spans="1:21" x14ac:dyDescent="0.2">
      <c r="A120" s="295" t="s">
        <v>184</v>
      </c>
      <c r="B120" s="255" t="s">
        <v>34</v>
      </c>
      <c r="C120" s="295" t="s">
        <v>51</v>
      </c>
      <c r="D120" s="289" t="s">
        <v>109</v>
      </c>
      <c r="E120" s="248" t="s">
        <v>110</v>
      </c>
      <c r="F120" s="256">
        <v>0</v>
      </c>
      <c r="G120" s="258">
        <v>0</v>
      </c>
      <c r="H120" s="258">
        <v>0</v>
      </c>
      <c r="I120" s="258">
        <v>0</v>
      </c>
      <c r="J120" s="258">
        <v>0</v>
      </c>
      <c r="K120" s="296"/>
      <c r="L120" s="289" t="s">
        <v>33</v>
      </c>
      <c r="M120" s="296"/>
      <c r="N120" s="257"/>
      <c r="O120" s="279">
        <v>27690.01</v>
      </c>
      <c r="P120" s="279"/>
      <c r="Q120" s="279"/>
      <c r="R120" s="279"/>
      <c r="S120" s="279"/>
      <c r="T120" s="279">
        <v>188.64</v>
      </c>
      <c r="U120" s="297"/>
    </row>
    <row r="121" spans="1:21" x14ac:dyDescent="0.2">
      <c r="A121" s="295" t="s">
        <v>184</v>
      </c>
      <c r="B121" s="255" t="s">
        <v>34</v>
      </c>
      <c r="C121" s="320" t="s">
        <v>35</v>
      </c>
      <c r="D121" s="289" t="s">
        <v>201</v>
      </c>
      <c r="E121" s="248" t="s">
        <v>202</v>
      </c>
      <c r="F121" s="256">
        <v>0</v>
      </c>
      <c r="G121" s="258">
        <v>0</v>
      </c>
      <c r="H121" s="258">
        <v>0</v>
      </c>
      <c r="I121" s="258">
        <v>0</v>
      </c>
      <c r="J121" s="258">
        <v>0</v>
      </c>
      <c r="K121" s="296"/>
      <c r="L121" s="289" t="s">
        <v>33</v>
      </c>
      <c r="M121" s="296"/>
      <c r="N121" s="257"/>
      <c r="O121" s="279">
        <v>27690.01</v>
      </c>
      <c r="P121" s="279"/>
      <c r="Q121" s="279"/>
      <c r="R121" s="279"/>
      <c r="S121" s="279"/>
      <c r="T121" s="279">
        <v>285.37</v>
      </c>
      <c r="U121" s="297"/>
    </row>
    <row r="122" spans="1:21" x14ac:dyDescent="0.2">
      <c r="A122" s="295" t="s">
        <v>184</v>
      </c>
      <c r="B122" s="255" t="s">
        <v>34</v>
      </c>
      <c r="C122" s="320" t="s">
        <v>35</v>
      </c>
      <c r="D122" s="289" t="s">
        <v>111</v>
      </c>
      <c r="E122" s="248" t="s">
        <v>112</v>
      </c>
      <c r="F122" s="256">
        <v>0</v>
      </c>
      <c r="G122" s="258">
        <v>0</v>
      </c>
      <c r="H122" s="258">
        <v>0</v>
      </c>
      <c r="I122" s="258">
        <v>0</v>
      </c>
      <c r="J122" s="258">
        <v>0</v>
      </c>
      <c r="K122" s="296"/>
      <c r="L122" s="289" t="s">
        <v>33</v>
      </c>
      <c r="M122" s="296"/>
      <c r="N122" s="257"/>
      <c r="O122" s="279">
        <v>27690.01</v>
      </c>
      <c r="P122" s="279"/>
      <c r="Q122" s="279"/>
      <c r="R122" s="279"/>
      <c r="S122" s="279"/>
      <c r="T122" s="279">
        <v>306.75</v>
      </c>
      <c r="U122" s="297"/>
    </row>
    <row r="123" spans="1:21" x14ac:dyDescent="0.2">
      <c r="A123" s="295" t="s">
        <v>184</v>
      </c>
      <c r="B123" s="255" t="s">
        <v>34</v>
      </c>
      <c r="C123" s="295" t="s">
        <v>51</v>
      </c>
      <c r="D123" s="321" t="s">
        <v>113</v>
      </c>
      <c r="E123" s="248" t="s">
        <v>114</v>
      </c>
      <c r="F123" s="256">
        <v>0</v>
      </c>
      <c r="G123" s="258">
        <v>0</v>
      </c>
      <c r="H123" s="258">
        <v>0</v>
      </c>
      <c r="I123" s="258">
        <v>0</v>
      </c>
      <c r="J123" s="258">
        <v>0</v>
      </c>
      <c r="K123" s="296"/>
      <c r="L123" s="289" t="s">
        <v>33</v>
      </c>
      <c r="M123" s="296"/>
      <c r="N123" s="257"/>
      <c r="O123" s="279">
        <v>27690.01</v>
      </c>
      <c r="P123" s="279"/>
      <c r="Q123" s="279"/>
      <c r="R123" s="279"/>
      <c r="S123" s="279"/>
      <c r="T123" s="279">
        <v>188.64</v>
      </c>
      <c r="U123" s="297"/>
    </row>
    <row r="124" spans="1:21" x14ac:dyDescent="0.2">
      <c r="A124" s="295" t="s">
        <v>184</v>
      </c>
      <c r="B124" s="255" t="s">
        <v>34</v>
      </c>
      <c r="C124" s="320" t="s">
        <v>35</v>
      </c>
      <c r="D124" s="289" t="s">
        <v>121</v>
      </c>
      <c r="E124" s="248" t="s">
        <v>122</v>
      </c>
      <c r="F124" s="256">
        <v>8074531.5899999999</v>
      </c>
      <c r="G124" s="258">
        <v>0</v>
      </c>
      <c r="H124" s="258">
        <v>0</v>
      </c>
      <c r="I124" s="258">
        <v>0</v>
      </c>
      <c r="J124" s="258">
        <v>0</v>
      </c>
      <c r="K124" s="296"/>
      <c r="L124" s="289" t="s">
        <v>33</v>
      </c>
      <c r="M124" s="296"/>
      <c r="N124" s="257"/>
      <c r="O124" s="279">
        <v>27690.01</v>
      </c>
      <c r="P124" s="279"/>
      <c r="Q124" s="279"/>
      <c r="R124" s="279"/>
      <c r="S124" s="279"/>
      <c r="T124" s="279">
        <v>332.13</v>
      </c>
      <c r="U124" s="297"/>
    </row>
    <row r="125" spans="1:21" x14ac:dyDescent="0.2">
      <c r="A125" s="295" t="s">
        <v>184</v>
      </c>
      <c r="B125" s="255" t="s">
        <v>34</v>
      </c>
      <c r="C125" s="320" t="s">
        <v>123</v>
      </c>
      <c r="D125" s="289" t="s">
        <v>124</v>
      </c>
      <c r="E125" s="248" t="s">
        <v>125</v>
      </c>
      <c r="F125" s="256">
        <v>0</v>
      </c>
      <c r="G125" s="258">
        <v>0</v>
      </c>
      <c r="H125" s="258">
        <v>0</v>
      </c>
      <c r="I125" s="258">
        <v>0</v>
      </c>
      <c r="J125" s="258">
        <v>0</v>
      </c>
      <c r="K125" s="296"/>
      <c r="L125" s="289" t="s">
        <v>33</v>
      </c>
      <c r="M125" s="296"/>
      <c r="N125" s="257"/>
      <c r="O125" s="279">
        <v>27690.01</v>
      </c>
      <c r="P125" s="279"/>
      <c r="Q125" s="279"/>
      <c r="R125" s="279"/>
      <c r="S125" s="279"/>
      <c r="T125" s="279">
        <v>390.91</v>
      </c>
      <c r="U125" s="297"/>
    </row>
    <row r="126" spans="1:21" x14ac:dyDescent="0.2">
      <c r="A126" s="295" t="s">
        <v>184</v>
      </c>
      <c r="B126" s="255" t="s">
        <v>34</v>
      </c>
      <c r="C126" s="295" t="s">
        <v>51</v>
      </c>
      <c r="D126" s="289" t="s">
        <v>203</v>
      </c>
      <c r="E126" s="248" t="s">
        <v>204</v>
      </c>
      <c r="F126" s="256">
        <v>0</v>
      </c>
      <c r="G126" s="258">
        <v>0</v>
      </c>
      <c r="H126" s="258">
        <v>0</v>
      </c>
      <c r="I126" s="258">
        <v>0</v>
      </c>
      <c r="J126" s="258">
        <v>0</v>
      </c>
      <c r="K126" s="296"/>
      <c r="L126" s="289" t="s">
        <v>33</v>
      </c>
      <c r="M126" s="296"/>
      <c r="N126" s="257"/>
      <c r="O126" s="279">
        <v>133558.29999999999</v>
      </c>
      <c r="P126" s="279"/>
      <c r="Q126" s="279"/>
      <c r="R126" s="279"/>
      <c r="S126" s="279"/>
      <c r="T126" s="279">
        <v>361.79</v>
      </c>
      <c r="U126" s="297"/>
    </row>
    <row r="127" spans="1:21" x14ac:dyDescent="0.2">
      <c r="A127" s="295" t="s">
        <v>184</v>
      </c>
      <c r="B127" s="255" t="s">
        <v>34</v>
      </c>
      <c r="C127" s="320" t="s">
        <v>35</v>
      </c>
      <c r="D127" s="321" t="s">
        <v>126</v>
      </c>
      <c r="E127" s="248" t="s">
        <v>127</v>
      </c>
      <c r="F127" s="256">
        <v>0</v>
      </c>
      <c r="G127" s="258">
        <v>0</v>
      </c>
      <c r="H127" s="258">
        <v>0</v>
      </c>
      <c r="I127" s="258">
        <v>0</v>
      </c>
      <c r="J127" s="258">
        <v>0</v>
      </c>
      <c r="K127" s="296"/>
      <c r="L127" s="289" t="s">
        <v>33</v>
      </c>
      <c r="M127" s="296"/>
      <c r="N127" s="257"/>
      <c r="O127" s="279">
        <v>400746.11</v>
      </c>
      <c r="P127" s="279"/>
      <c r="Q127" s="279"/>
      <c r="R127" s="279"/>
      <c r="S127" s="279"/>
      <c r="T127" s="279">
        <v>441.15</v>
      </c>
      <c r="U127" s="297"/>
    </row>
    <row r="128" spans="1:21" x14ac:dyDescent="0.2">
      <c r="A128" s="295" t="s">
        <v>184</v>
      </c>
      <c r="B128" s="255" t="s">
        <v>30</v>
      </c>
      <c r="C128" s="320" t="s">
        <v>45</v>
      </c>
      <c r="D128" s="289" t="s">
        <v>132</v>
      </c>
      <c r="E128" s="248" t="s">
        <v>133</v>
      </c>
      <c r="F128" s="256">
        <v>5083964.33</v>
      </c>
      <c r="G128" s="258">
        <v>0</v>
      </c>
      <c r="H128" s="258">
        <v>0</v>
      </c>
      <c r="I128" s="258">
        <v>0</v>
      </c>
      <c r="J128" s="258">
        <v>0</v>
      </c>
      <c r="K128" s="296"/>
      <c r="L128" s="289" t="s">
        <v>33</v>
      </c>
      <c r="M128" s="296"/>
      <c r="N128" s="257"/>
      <c r="O128" s="279">
        <v>27690.01</v>
      </c>
      <c r="P128" s="279"/>
      <c r="Q128" s="279"/>
      <c r="R128" s="279"/>
      <c r="S128" s="279"/>
      <c r="T128" s="279">
        <v>227.39</v>
      </c>
      <c r="U128" s="297"/>
    </row>
    <row r="129" spans="1:21" x14ac:dyDescent="0.2">
      <c r="A129" s="295" t="s">
        <v>184</v>
      </c>
      <c r="B129" s="255" t="s">
        <v>30</v>
      </c>
      <c r="C129" s="295" t="s">
        <v>48</v>
      </c>
      <c r="D129" s="289" t="s">
        <v>141</v>
      </c>
      <c r="E129" s="248" t="s">
        <v>142</v>
      </c>
      <c r="F129" s="256">
        <v>0</v>
      </c>
      <c r="G129" s="258">
        <v>0</v>
      </c>
      <c r="H129" s="258">
        <v>0</v>
      </c>
      <c r="I129" s="258">
        <v>0</v>
      </c>
      <c r="J129" s="258">
        <v>0</v>
      </c>
      <c r="K129" s="296"/>
      <c r="L129" s="289" t="s">
        <v>33</v>
      </c>
      <c r="M129" s="296"/>
      <c r="N129" s="257"/>
      <c r="O129" s="279">
        <v>27690.01</v>
      </c>
      <c r="P129" s="279"/>
      <c r="Q129" s="279"/>
      <c r="R129" s="279"/>
      <c r="S129" s="279"/>
      <c r="T129" s="279">
        <v>227.39</v>
      </c>
      <c r="U129" s="297"/>
    </row>
    <row r="130" spans="1:21" x14ac:dyDescent="0.2">
      <c r="A130" s="295" t="s">
        <v>184</v>
      </c>
      <c r="B130" s="255" t="s">
        <v>34</v>
      </c>
      <c r="C130" s="295" t="s">
        <v>51</v>
      </c>
      <c r="D130" s="321" t="s">
        <v>156</v>
      </c>
      <c r="E130" s="248" t="s">
        <v>157</v>
      </c>
      <c r="F130" s="256">
        <v>0</v>
      </c>
      <c r="G130" s="258">
        <v>0</v>
      </c>
      <c r="H130" s="258">
        <v>0</v>
      </c>
      <c r="I130" s="258">
        <v>0</v>
      </c>
      <c r="J130" s="258">
        <v>0</v>
      </c>
      <c r="K130" s="296"/>
      <c r="L130" s="289" t="s">
        <v>33</v>
      </c>
      <c r="M130" s="296"/>
      <c r="N130" s="257"/>
      <c r="O130" s="279">
        <v>133558.29999999999</v>
      </c>
      <c r="P130" s="279"/>
      <c r="Q130" s="279"/>
      <c r="R130" s="279"/>
      <c r="S130" s="279"/>
      <c r="T130" s="279">
        <v>364.73</v>
      </c>
      <c r="U130" s="297"/>
    </row>
    <row r="131" spans="1:21" x14ac:dyDescent="0.2">
      <c r="A131" s="295" t="s">
        <v>184</v>
      </c>
      <c r="B131" s="255" t="s">
        <v>34</v>
      </c>
      <c r="C131" s="295" t="s">
        <v>51</v>
      </c>
      <c r="D131" s="321" t="s">
        <v>160</v>
      </c>
      <c r="E131" s="248" t="s">
        <v>161</v>
      </c>
      <c r="F131" s="256">
        <v>0</v>
      </c>
      <c r="G131" s="258">
        <v>0</v>
      </c>
      <c r="H131" s="258">
        <v>0</v>
      </c>
      <c r="I131" s="258">
        <v>0</v>
      </c>
      <c r="J131" s="258">
        <v>0</v>
      </c>
      <c r="K131" s="296"/>
      <c r="L131" s="289" t="s">
        <v>33</v>
      </c>
      <c r="M131" s="296"/>
      <c r="N131" s="257"/>
      <c r="O131" s="279">
        <v>27690.01</v>
      </c>
      <c r="P131" s="279"/>
      <c r="Q131" s="279"/>
      <c r="R131" s="279"/>
      <c r="S131" s="279"/>
      <c r="T131" s="279">
        <v>188.64</v>
      </c>
      <c r="U131" s="297"/>
    </row>
    <row r="132" spans="1:21" x14ac:dyDescent="0.2">
      <c r="A132" s="295" t="s">
        <v>184</v>
      </c>
      <c r="B132" s="255" t="s">
        <v>177</v>
      </c>
      <c r="C132" s="320" t="s">
        <v>81</v>
      </c>
      <c r="D132" s="289" t="s">
        <v>205</v>
      </c>
      <c r="E132" s="248" t="s">
        <v>206</v>
      </c>
      <c r="F132" s="256">
        <v>0</v>
      </c>
      <c r="G132" s="258">
        <v>0</v>
      </c>
      <c r="H132" s="258">
        <v>0</v>
      </c>
      <c r="I132" s="258">
        <v>0</v>
      </c>
      <c r="J132" s="258">
        <v>0</v>
      </c>
      <c r="K132" s="296"/>
      <c r="L132" s="289" t="s">
        <v>33</v>
      </c>
      <c r="M132" s="296"/>
      <c r="N132" s="257"/>
      <c r="O132" s="279">
        <v>27690.01</v>
      </c>
      <c r="P132" s="279"/>
      <c r="Q132" s="279"/>
      <c r="R132" s="279"/>
      <c r="S132" s="279"/>
      <c r="T132" s="279">
        <v>183.03</v>
      </c>
      <c r="U132" s="297"/>
    </row>
    <row r="133" spans="1:21" x14ac:dyDescent="0.2">
      <c r="A133" s="295" t="s">
        <v>184</v>
      </c>
      <c r="B133" s="255" t="s">
        <v>34</v>
      </c>
      <c r="C133" s="320" t="s">
        <v>123</v>
      </c>
      <c r="D133" s="289" t="s">
        <v>162</v>
      </c>
      <c r="E133" s="248" t="s">
        <v>163</v>
      </c>
      <c r="F133" s="256">
        <v>0</v>
      </c>
      <c r="G133" s="258">
        <v>0</v>
      </c>
      <c r="H133" s="258">
        <v>0</v>
      </c>
      <c r="I133" s="258">
        <v>0</v>
      </c>
      <c r="J133" s="258">
        <v>0</v>
      </c>
      <c r="K133" s="296"/>
      <c r="L133" s="289" t="s">
        <v>33</v>
      </c>
      <c r="M133" s="296"/>
      <c r="N133" s="257"/>
      <c r="O133" s="279">
        <v>27690.01</v>
      </c>
      <c r="P133" s="279"/>
      <c r="Q133" s="279"/>
      <c r="R133" s="279"/>
      <c r="S133" s="279"/>
      <c r="T133" s="279">
        <v>441.15</v>
      </c>
      <c r="U133" s="297"/>
    </row>
    <row r="134" spans="1:21" x14ac:dyDescent="0.2">
      <c r="A134" s="295" t="s">
        <v>184</v>
      </c>
      <c r="B134" s="255" t="s">
        <v>30</v>
      </c>
      <c r="C134" s="320" t="s">
        <v>45</v>
      </c>
      <c r="D134" s="289" t="s">
        <v>166</v>
      </c>
      <c r="E134" s="248" t="s">
        <v>167</v>
      </c>
      <c r="F134" s="256">
        <v>0</v>
      </c>
      <c r="G134" s="258">
        <v>0</v>
      </c>
      <c r="H134" s="258">
        <v>0</v>
      </c>
      <c r="I134" s="258">
        <v>0</v>
      </c>
      <c r="J134" s="258">
        <v>0</v>
      </c>
      <c r="K134" s="296"/>
      <c r="L134" s="289" t="s">
        <v>33</v>
      </c>
      <c r="M134" s="296"/>
      <c r="N134" s="257"/>
      <c r="O134" s="279">
        <v>27690.01</v>
      </c>
      <c r="P134" s="279"/>
      <c r="Q134" s="279"/>
      <c r="R134" s="279"/>
      <c r="S134" s="279"/>
      <c r="T134" s="279">
        <v>183.03</v>
      </c>
      <c r="U134" s="297"/>
    </row>
    <row r="135" spans="1:21" x14ac:dyDescent="0.2">
      <c r="A135" s="295" t="s">
        <v>184</v>
      </c>
      <c r="B135" s="255" t="s">
        <v>30</v>
      </c>
      <c r="C135" s="320" t="s">
        <v>45</v>
      </c>
      <c r="D135" s="289" t="s">
        <v>172</v>
      </c>
      <c r="E135" s="248" t="s">
        <v>173</v>
      </c>
      <c r="F135" s="256">
        <v>0</v>
      </c>
      <c r="G135" s="258">
        <v>0</v>
      </c>
      <c r="H135" s="258">
        <v>0</v>
      </c>
      <c r="I135" s="258">
        <v>0</v>
      </c>
      <c r="J135" s="258">
        <v>0</v>
      </c>
      <c r="K135" s="296"/>
      <c r="L135" s="289" t="s">
        <v>33</v>
      </c>
      <c r="M135" s="296"/>
      <c r="N135" s="257"/>
      <c r="O135" s="279">
        <v>27690.01</v>
      </c>
      <c r="P135" s="279"/>
      <c r="Q135" s="279"/>
      <c r="R135" s="279"/>
      <c r="S135" s="279"/>
      <c r="T135" s="279">
        <v>183.03</v>
      </c>
      <c r="U135" s="297"/>
    </row>
    <row r="136" spans="1:21" x14ac:dyDescent="0.2">
      <c r="A136" s="295" t="s">
        <v>184</v>
      </c>
      <c r="B136" s="255" t="s">
        <v>30</v>
      </c>
      <c r="C136" s="295" t="s">
        <v>48</v>
      </c>
      <c r="D136" s="289" t="s">
        <v>174</v>
      </c>
      <c r="E136" s="248" t="s">
        <v>175</v>
      </c>
      <c r="F136" s="256">
        <v>0</v>
      </c>
      <c r="G136" s="258">
        <v>0</v>
      </c>
      <c r="H136" s="258">
        <v>0</v>
      </c>
      <c r="I136" s="258">
        <v>0</v>
      </c>
      <c r="J136" s="258">
        <v>0</v>
      </c>
      <c r="K136" s="296"/>
      <c r="L136" s="289" t="s">
        <v>33</v>
      </c>
      <c r="M136" s="296"/>
      <c r="N136" s="257"/>
      <c r="O136" s="279">
        <v>27690.01</v>
      </c>
      <c r="P136" s="279"/>
      <c r="Q136" s="279"/>
      <c r="R136" s="279"/>
      <c r="S136" s="279"/>
      <c r="T136" s="279">
        <v>216.17</v>
      </c>
      <c r="U136" s="297"/>
    </row>
    <row r="137" spans="1:21" x14ac:dyDescent="0.2">
      <c r="A137" s="295" t="s">
        <v>207</v>
      </c>
      <c r="B137" s="255" t="s">
        <v>58</v>
      </c>
      <c r="C137" s="320" t="s">
        <v>59</v>
      </c>
      <c r="D137" s="321" t="s">
        <v>229</v>
      </c>
      <c r="E137" s="248" t="s">
        <v>230</v>
      </c>
      <c r="F137" s="249">
        <v>1384961.42</v>
      </c>
      <c r="G137" s="250">
        <v>0</v>
      </c>
      <c r="H137" s="250">
        <v>0</v>
      </c>
      <c r="I137" s="250">
        <v>0</v>
      </c>
      <c r="J137" s="250">
        <v>0</v>
      </c>
      <c r="K137" s="296"/>
      <c r="L137" s="289" t="s">
        <v>180</v>
      </c>
      <c r="M137" s="296"/>
      <c r="N137" s="257"/>
      <c r="O137" s="279">
        <v>0</v>
      </c>
      <c r="P137" s="279"/>
      <c r="Q137" s="279"/>
      <c r="R137" s="279"/>
      <c r="S137" s="279"/>
      <c r="T137" s="279">
        <v>0</v>
      </c>
      <c r="U137" s="297"/>
    </row>
    <row r="138" spans="1:21" x14ac:dyDescent="0.2">
      <c r="A138" s="295" t="s">
        <v>207</v>
      </c>
      <c r="B138" s="255" t="s">
        <v>30</v>
      </c>
      <c r="C138" s="320" t="s">
        <v>81</v>
      </c>
      <c r="D138" s="321" t="s">
        <v>31</v>
      </c>
      <c r="E138" s="248" t="s">
        <v>32</v>
      </c>
      <c r="F138" s="249">
        <v>1384961.42</v>
      </c>
      <c r="G138" s="250">
        <v>0</v>
      </c>
      <c r="H138" s="250">
        <v>0</v>
      </c>
      <c r="I138" s="250">
        <v>0</v>
      </c>
      <c r="J138" s="250">
        <v>0</v>
      </c>
      <c r="K138" s="296"/>
      <c r="L138" s="289" t="s">
        <v>180</v>
      </c>
      <c r="M138" s="296"/>
      <c r="N138" s="257"/>
      <c r="O138" s="279">
        <v>0</v>
      </c>
      <c r="P138" s="279"/>
      <c r="Q138" s="279"/>
      <c r="R138" s="279"/>
      <c r="S138" s="279"/>
      <c r="T138" s="279">
        <v>0</v>
      </c>
      <c r="U138" s="297"/>
    </row>
    <row r="139" spans="1:21" x14ac:dyDescent="0.2">
      <c r="A139" s="295" t="s">
        <v>207</v>
      </c>
      <c r="B139" s="255" t="s">
        <v>58</v>
      </c>
      <c r="C139" s="320" t="s">
        <v>59</v>
      </c>
      <c r="D139" s="289" t="s">
        <v>223</v>
      </c>
      <c r="E139" s="248" t="s">
        <v>224</v>
      </c>
      <c r="F139" s="249">
        <v>1384961.42</v>
      </c>
      <c r="G139" s="250">
        <v>0</v>
      </c>
      <c r="H139" s="250">
        <v>0</v>
      </c>
      <c r="I139" s="250">
        <v>0</v>
      </c>
      <c r="J139" s="250">
        <v>0</v>
      </c>
      <c r="K139" s="296"/>
      <c r="L139" s="289" t="s">
        <v>180</v>
      </c>
      <c r="M139" s="296"/>
      <c r="N139" s="257"/>
      <c r="O139" s="279">
        <v>0</v>
      </c>
      <c r="P139" s="279"/>
      <c r="Q139" s="279"/>
      <c r="R139" s="279"/>
      <c r="S139" s="279"/>
      <c r="T139" s="279">
        <v>0</v>
      </c>
      <c r="U139" s="297"/>
    </row>
    <row r="140" spans="1:21" x14ac:dyDescent="0.2">
      <c r="A140" s="295" t="s">
        <v>207</v>
      </c>
      <c r="B140" s="255" t="s">
        <v>73</v>
      </c>
      <c r="C140" s="320" t="s">
        <v>81</v>
      </c>
      <c r="D140" s="289" t="s">
        <v>247</v>
      </c>
      <c r="E140" s="248" t="s">
        <v>248</v>
      </c>
      <c r="F140" s="249">
        <v>934234.33</v>
      </c>
      <c r="G140" s="250">
        <v>0</v>
      </c>
      <c r="H140" s="250">
        <v>0</v>
      </c>
      <c r="I140" s="250">
        <v>0</v>
      </c>
      <c r="J140" s="250">
        <v>0</v>
      </c>
      <c r="K140" s="296"/>
      <c r="L140" s="289" t="s">
        <v>180</v>
      </c>
      <c r="M140" s="296"/>
      <c r="N140" s="257"/>
      <c r="O140" s="279">
        <v>0</v>
      </c>
      <c r="P140" s="279"/>
      <c r="Q140" s="279"/>
      <c r="R140" s="279"/>
      <c r="S140" s="279"/>
      <c r="T140" s="279">
        <v>0</v>
      </c>
      <c r="U140" s="297"/>
    </row>
    <row r="141" spans="1:21" x14ac:dyDescent="0.2">
      <c r="A141" s="295" t="s">
        <v>207</v>
      </c>
      <c r="B141" s="255" t="s">
        <v>58</v>
      </c>
      <c r="C141" s="320" t="s">
        <v>59</v>
      </c>
      <c r="D141" s="289" t="s">
        <v>225</v>
      </c>
      <c r="E141" s="248" t="s">
        <v>226</v>
      </c>
      <c r="F141" s="249">
        <v>1384961.42</v>
      </c>
      <c r="G141" s="250">
        <v>0</v>
      </c>
      <c r="H141" s="250">
        <v>0</v>
      </c>
      <c r="I141" s="250">
        <v>0</v>
      </c>
      <c r="J141" s="250">
        <v>0</v>
      </c>
      <c r="K141" s="296"/>
      <c r="L141" s="289" t="s">
        <v>180</v>
      </c>
      <c r="M141" s="296"/>
      <c r="N141" s="257"/>
      <c r="O141" s="279">
        <v>0</v>
      </c>
      <c r="P141" s="279"/>
      <c r="Q141" s="279"/>
      <c r="R141" s="279"/>
      <c r="S141" s="279"/>
      <c r="T141" s="279">
        <v>0</v>
      </c>
      <c r="U141" s="297"/>
    </row>
    <row r="142" spans="1:21" x14ac:dyDescent="0.2">
      <c r="A142" s="295" t="s">
        <v>207</v>
      </c>
      <c r="B142" s="255" t="s">
        <v>177</v>
      </c>
      <c r="C142" s="320" t="s">
        <v>81</v>
      </c>
      <c r="D142" s="289" t="s">
        <v>211</v>
      </c>
      <c r="E142" s="248" t="s">
        <v>212</v>
      </c>
      <c r="F142" s="249">
        <v>518941.25</v>
      </c>
      <c r="G142" s="249">
        <v>470000</v>
      </c>
      <c r="H142" s="249">
        <v>390000</v>
      </c>
      <c r="I142" s="249">
        <v>0</v>
      </c>
      <c r="J142" s="249">
        <v>0</v>
      </c>
      <c r="K142" s="296"/>
      <c r="L142" s="289" t="s">
        <v>180</v>
      </c>
      <c r="M142" s="296"/>
      <c r="N142" s="257"/>
      <c r="O142" s="279">
        <v>0</v>
      </c>
      <c r="P142" s="279"/>
      <c r="Q142" s="279"/>
      <c r="R142" s="279"/>
      <c r="S142" s="279"/>
      <c r="T142" s="279">
        <v>0</v>
      </c>
      <c r="U142" s="297"/>
    </row>
    <row r="143" spans="1:21" x14ac:dyDescent="0.2">
      <c r="A143" s="295" t="s">
        <v>207</v>
      </c>
      <c r="B143" s="255" t="s">
        <v>177</v>
      </c>
      <c r="C143" s="320" t="s">
        <v>81</v>
      </c>
      <c r="D143" s="289" t="s">
        <v>182</v>
      </c>
      <c r="E143" s="248" t="s">
        <v>183</v>
      </c>
      <c r="F143" s="249">
        <v>471764.77</v>
      </c>
      <c r="G143" s="249">
        <v>425000</v>
      </c>
      <c r="H143" s="249">
        <v>350000</v>
      </c>
      <c r="I143" s="249">
        <v>0</v>
      </c>
      <c r="J143" s="249">
        <v>0</v>
      </c>
      <c r="K143" s="296"/>
      <c r="L143" s="289" t="s">
        <v>180</v>
      </c>
      <c r="M143" s="296"/>
      <c r="N143" s="257"/>
      <c r="O143" s="279">
        <v>0</v>
      </c>
      <c r="P143" s="279"/>
      <c r="Q143" s="279"/>
      <c r="R143" s="279"/>
      <c r="S143" s="279"/>
      <c r="T143" s="279">
        <v>0</v>
      </c>
      <c r="U143" s="297"/>
    </row>
    <row r="144" spans="1:21" x14ac:dyDescent="0.2">
      <c r="A144" s="295" t="s">
        <v>207</v>
      </c>
      <c r="B144" s="255" t="s">
        <v>73</v>
      </c>
      <c r="C144" s="320" t="s">
        <v>81</v>
      </c>
      <c r="D144" s="321" t="s">
        <v>249</v>
      </c>
      <c r="E144" s="248" t="s">
        <v>250</v>
      </c>
      <c r="F144" s="249">
        <v>518941.25</v>
      </c>
      <c r="G144" s="250">
        <v>0</v>
      </c>
      <c r="H144" s="250">
        <v>0</v>
      </c>
      <c r="I144" s="250">
        <v>0</v>
      </c>
      <c r="J144" s="250">
        <v>0</v>
      </c>
      <c r="K144" s="296"/>
      <c r="L144" s="289" t="s">
        <v>180</v>
      </c>
      <c r="M144" s="296"/>
      <c r="N144" s="257"/>
      <c r="O144" s="279">
        <v>0</v>
      </c>
      <c r="P144" s="279"/>
      <c r="Q144" s="279"/>
      <c r="R144" s="279"/>
      <c r="S144" s="279"/>
      <c r="T144" s="279">
        <v>0</v>
      </c>
      <c r="U144" s="297"/>
    </row>
    <row r="145" spans="1:21" x14ac:dyDescent="0.2">
      <c r="A145" s="295" t="s">
        <v>207</v>
      </c>
      <c r="B145" s="255" t="s">
        <v>54</v>
      </c>
      <c r="C145" s="320" t="s">
        <v>55</v>
      </c>
      <c r="D145" s="321" t="s">
        <v>56</v>
      </c>
      <c r="E145" s="248" t="s">
        <v>57</v>
      </c>
      <c r="F145" s="249">
        <v>1255228.56</v>
      </c>
      <c r="G145" s="250">
        <v>0</v>
      </c>
      <c r="H145" s="250">
        <v>0</v>
      </c>
      <c r="I145" s="250">
        <v>0</v>
      </c>
      <c r="J145" s="250">
        <v>0</v>
      </c>
      <c r="K145" s="296"/>
      <c r="L145" s="289" t="s">
        <v>180</v>
      </c>
      <c r="M145" s="296"/>
      <c r="N145" s="257"/>
      <c r="O145" s="279">
        <v>0</v>
      </c>
      <c r="P145" s="279"/>
      <c r="Q145" s="279"/>
      <c r="R145" s="279"/>
      <c r="S145" s="279"/>
      <c r="T145" s="279">
        <v>0</v>
      </c>
      <c r="U145" s="297"/>
    </row>
    <row r="146" spans="1:21" x14ac:dyDescent="0.2">
      <c r="A146" s="295" t="s">
        <v>207</v>
      </c>
      <c r="B146" s="255" t="s">
        <v>58</v>
      </c>
      <c r="C146" s="320" t="s">
        <v>59</v>
      </c>
      <c r="D146" s="289" t="s">
        <v>59</v>
      </c>
      <c r="E146" s="248" t="s">
        <v>60</v>
      </c>
      <c r="F146" s="249">
        <v>1384961.42</v>
      </c>
      <c r="G146" s="250">
        <v>0</v>
      </c>
      <c r="H146" s="250">
        <v>0</v>
      </c>
      <c r="I146" s="250">
        <v>0</v>
      </c>
      <c r="J146" s="250">
        <v>0</v>
      </c>
      <c r="K146" s="296"/>
      <c r="L146" s="289" t="s">
        <v>180</v>
      </c>
      <c r="M146" s="296"/>
      <c r="N146" s="257"/>
      <c r="O146" s="279">
        <v>0</v>
      </c>
      <c r="P146" s="279"/>
      <c r="Q146" s="279"/>
      <c r="R146" s="279"/>
      <c r="S146" s="279"/>
      <c r="T146" s="279">
        <v>0</v>
      </c>
      <c r="U146" s="297"/>
    </row>
    <row r="147" spans="1:21" x14ac:dyDescent="0.2">
      <c r="A147" s="295" t="s">
        <v>207</v>
      </c>
      <c r="B147" s="255" t="s">
        <v>70</v>
      </c>
      <c r="C147" s="320" t="s">
        <v>245</v>
      </c>
      <c r="D147" s="289" t="s">
        <v>245</v>
      </c>
      <c r="E147" s="248" t="s">
        <v>246</v>
      </c>
      <c r="F147" s="249">
        <v>2025813.43</v>
      </c>
      <c r="G147" s="250">
        <v>0</v>
      </c>
      <c r="H147" s="250">
        <v>0</v>
      </c>
      <c r="I147" s="250">
        <v>0</v>
      </c>
      <c r="J147" s="250">
        <v>0</v>
      </c>
      <c r="K147" s="296"/>
      <c r="L147" s="289" t="s">
        <v>180</v>
      </c>
      <c r="M147" s="296"/>
      <c r="N147" s="257"/>
      <c r="O147" s="279">
        <v>0</v>
      </c>
      <c r="P147" s="279"/>
      <c r="Q147" s="279"/>
      <c r="R147" s="279"/>
      <c r="S147" s="279"/>
      <c r="T147" s="279">
        <v>0</v>
      </c>
      <c r="U147" s="297"/>
    </row>
    <row r="148" spans="1:21" x14ac:dyDescent="0.2">
      <c r="A148" s="295" t="s">
        <v>207</v>
      </c>
      <c r="B148" s="255" t="s">
        <v>34</v>
      </c>
      <c r="C148" s="320" t="s">
        <v>51</v>
      </c>
      <c r="D148" s="321" t="s">
        <v>68</v>
      </c>
      <c r="E148" s="248" t="s">
        <v>69</v>
      </c>
      <c r="F148" s="249">
        <v>6030885.6399999997</v>
      </c>
      <c r="G148" s="250">
        <v>0</v>
      </c>
      <c r="H148" s="250">
        <v>0</v>
      </c>
      <c r="I148" s="250">
        <v>0</v>
      </c>
      <c r="J148" s="250">
        <v>0</v>
      </c>
      <c r="K148" s="296"/>
      <c r="L148" s="289" t="s">
        <v>180</v>
      </c>
      <c r="M148" s="296"/>
      <c r="N148" s="257"/>
      <c r="O148" s="279">
        <v>0</v>
      </c>
      <c r="P148" s="279"/>
      <c r="Q148" s="279"/>
      <c r="R148" s="279"/>
      <c r="S148" s="279"/>
      <c r="T148" s="279">
        <v>0</v>
      </c>
      <c r="U148" s="297"/>
    </row>
    <row r="149" spans="1:21" x14ac:dyDescent="0.2">
      <c r="A149" s="295" t="s">
        <v>207</v>
      </c>
      <c r="B149" s="255" t="s">
        <v>90</v>
      </c>
      <c r="C149" s="320" t="s">
        <v>91</v>
      </c>
      <c r="D149" s="321" t="s">
        <v>231</v>
      </c>
      <c r="E149" s="248" t="s">
        <v>232</v>
      </c>
      <c r="F149" s="249">
        <v>2333244.39</v>
      </c>
      <c r="G149" s="250">
        <v>0</v>
      </c>
      <c r="H149" s="250">
        <v>0</v>
      </c>
      <c r="I149" s="250">
        <v>0</v>
      </c>
      <c r="J149" s="250">
        <v>0</v>
      </c>
      <c r="K149" s="296"/>
      <c r="L149" s="289" t="s">
        <v>180</v>
      </c>
      <c r="M149" s="296"/>
      <c r="N149" s="257"/>
      <c r="O149" s="279">
        <v>0</v>
      </c>
      <c r="P149" s="279"/>
      <c r="Q149" s="279"/>
      <c r="R149" s="279"/>
      <c r="S149" s="279"/>
      <c r="T149" s="279">
        <v>0</v>
      </c>
      <c r="U149" s="297"/>
    </row>
    <row r="150" spans="1:21" x14ac:dyDescent="0.2">
      <c r="A150" s="295" t="s">
        <v>207</v>
      </c>
      <c r="B150" s="255" t="s">
        <v>30</v>
      </c>
      <c r="C150" s="320" t="s">
        <v>45</v>
      </c>
      <c r="D150" s="321" t="s">
        <v>77</v>
      </c>
      <c r="E150" s="248" t="s">
        <v>78</v>
      </c>
      <c r="F150" s="249">
        <v>3433642.91</v>
      </c>
      <c r="G150" s="250">
        <v>0</v>
      </c>
      <c r="H150" s="250">
        <v>0</v>
      </c>
      <c r="I150" s="250">
        <v>0</v>
      </c>
      <c r="J150" s="250">
        <v>0</v>
      </c>
      <c r="K150" s="296"/>
      <c r="L150" s="289" t="s">
        <v>180</v>
      </c>
      <c r="M150" s="296"/>
      <c r="N150" s="257"/>
      <c r="O150" s="279">
        <v>0</v>
      </c>
      <c r="P150" s="279"/>
      <c r="Q150" s="279"/>
      <c r="R150" s="279"/>
      <c r="S150" s="279"/>
      <c r="T150" s="279">
        <v>0</v>
      </c>
      <c r="U150" s="297"/>
    </row>
    <row r="151" spans="1:21" x14ac:dyDescent="0.2">
      <c r="A151" s="295" t="s">
        <v>207</v>
      </c>
      <c r="B151" s="255" t="s">
        <v>90</v>
      </c>
      <c r="C151" s="320" t="s">
        <v>91</v>
      </c>
      <c r="D151" s="289" t="s">
        <v>233</v>
      </c>
      <c r="E151" s="248" t="s">
        <v>234</v>
      </c>
      <c r="F151" s="249">
        <v>2333244.39</v>
      </c>
      <c r="G151" s="250">
        <v>0</v>
      </c>
      <c r="H151" s="250">
        <v>0</v>
      </c>
      <c r="I151" s="250">
        <v>0</v>
      </c>
      <c r="J151" s="250">
        <v>0</v>
      </c>
      <c r="K151" s="296"/>
      <c r="L151" s="289" t="s">
        <v>180</v>
      </c>
      <c r="M151" s="296"/>
      <c r="N151" s="257"/>
      <c r="O151" s="279">
        <v>0</v>
      </c>
      <c r="P151" s="279"/>
      <c r="Q151" s="279"/>
      <c r="R151" s="279"/>
      <c r="S151" s="279"/>
      <c r="T151" s="279">
        <v>0</v>
      </c>
      <c r="U151" s="297"/>
    </row>
    <row r="152" spans="1:21" x14ac:dyDescent="0.2">
      <c r="A152" s="295" t="s">
        <v>207</v>
      </c>
      <c r="B152" s="255" t="s">
        <v>73</v>
      </c>
      <c r="C152" s="320" t="s">
        <v>81</v>
      </c>
      <c r="D152" s="321" t="s">
        <v>82</v>
      </c>
      <c r="E152" s="248" t="s">
        <v>83</v>
      </c>
      <c r="F152" s="249">
        <v>934234.33</v>
      </c>
      <c r="G152" s="250">
        <v>0</v>
      </c>
      <c r="H152" s="250">
        <v>0</v>
      </c>
      <c r="I152" s="250">
        <v>0</v>
      </c>
      <c r="J152" s="250">
        <v>0</v>
      </c>
      <c r="K152" s="296"/>
      <c r="L152" s="289" t="s">
        <v>180</v>
      </c>
      <c r="M152" s="296"/>
      <c r="N152" s="257"/>
      <c r="O152" s="279">
        <v>0</v>
      </c>
      <c r="P152" s="279"/>
      <c r="Q152" s="279"/>
      <c r="R152" s="279"/>
      <c r="S152" s="279"/>
      <c r="T152" s="279">
        <v>0</v>
      </c>
      <c r="U152" s="297"/>
    </row>
    <row r="153" spans="1:21" x14ac:dyDescent="0.2">
      <c r="A153" s="295" t="s">
        <v>207</v>
      </c>
      <c r="B153" s="255" t="s">
        <v>90</v>
      </c>
      <c r="C153" s="320" t="s">
        <v>91</v>
      </c>
      <c r="D153" s="321" t="s">
        <v>235</v>
      </c>
      <c r="E153" s="248" t="s">
        <v>236</v>
      </c>
      <c r="F153" s="249">
        <v>2333244.39</v>
      </c>
      <c r="G153" s="250">
        <v>0</v>
      </c>
      <c r="H153" s="250">
        <v>0</v>
      </c>
      <c r="I153" s="250">
        <v>0</v>
      </c>
      <c r="J153" s="250">
        <v>0</v>
      </c>
      <c r="K153" s="296"/>
      <c r="L153" s="289" t="s">
        <v>180</v>
      </c>
      <c r="M153" s="296"/>
      <c r="N153" s="257"/>
      <c r="O153" s="279">
        <v>0</v>
      </c>
      <c r="P153" s="279"/>
      <c r="Q153" s="279"/>
      <c r="R153" s="279"/>
      <c r="S153" s="279"/>
      <c r="T153" s="279">
        <v>0</v>
      </c>
      <c r="U153" s="297"/>
    </row>
    <row r="154" spans="1:21" x14ac:dyDescent="0.2">
      <c r="A154" s="295" t="s">
        <v>207</v>
      </c>
      <c r="B154" s="255" t="s">
        <v>90</v>
      </c>
      <c r="C154" s="320" t="s">
        <v>91</v>
      </c>
      <c r="D154" s="321" t="s">
        <v>237</v>
      </c>
      <c r="E154" s="248" t="s">
        <v>238</v>
      </c>
      <c r="F154" s="249">
        <v>2333244.39</v>
      </c>
      <c r="G154" s="250">
        <v>0</v>
      </c>
      <c r="H154" s="250">
        <v>0</v>
      </c>
      <c r="I154" s="250">
        <v>0</v>
      </c>
      <c r="J154" s="250">
        <v>0</v>
      </c>
      <c r="K154" s="296"/>
      <c r="L154" s="289" t="s">
        <v>180</v>
      </c>
      <c r="M154" s="296"/>
      <c r="N154" s="257"/>
      <c r="O154" s="279">
        <v>0</v>
      </c>
      <c r="P154" s="279"/>
      <c r="Q154" s="279"/>
      <c r="R154" s="279"/>
      <c r="S154" s="279"/>
      <c r="T154" s="279">
        <v>0</v>
      </c>
      <c r="U154" s="297"/>
    </row>
    <row r="155" spans="1:21" x14ac:dyDescent="0.2">
      <c r="A155" s="295" t="s">
        <v>207</v>
      </c>
      <c r="B155" s="255" t="s">
        <v>87</v>
      </c>
      <c r="C155" s="320" t="s">
        <v>81</v>
      </c>
      <c r="D155" s="321" t="s">
        <v>208</v>
      </c>
      <c r="E155" s="248" t="s">
        <v>209</v>
      </c>
      <c r="F155" s="249">
        <v>1283999.49</v>
      </c>
      <c r="G155" s="250">
        <v>0</v>
      </c>
      <c r="H155" s="250">
        <v>0</v>
      </c>
      <c r="I155" s="250">
        <v>0</v>
      </c>
      <c r="J155" s="250">
        <v>0</v>
      </c>
      <c r="K155" s="296"/>
      <c r="L155" s="289" t="s">
        <v>180</v>
      </c>
      <c r="M155" s="296"/>
      <c r="N155" s="257"/>
      <c r="O155" s="279">
        <v>0</v>
      </c>
      <c r="P155" s="279"/>
      <c r="Q155" s="279"/>
      <c r="R155" s="279"/>
      <c r="S155" s="279"/>
      <c r="T155" s="279">
        <v>0</v>
      </c>
      <c r="U155" s="297"/>
    </row>
    <row r="156" spans="1:21" x14ac:dyDescent="0.2">
      <c r="A156" s="295" t="s">
        <v>207</v>
      </c>
      <c r="B156" s="255" t="s">
        <v>87</v>
      </c>
      <c r="C156" s="320" t="s">
        <v>81</v>
      </c>
      <c r="D156" s="321" t="s">
        <v>210</v>
      </c>
      <c r="E156" s="248" t="s">
        <v>89</v>
      </c>
      <c r="F156" s="249">
        <v>1283015.1399999999</v>
      </c>
      <c r="G156" s="250">
        <v>0</v>
      </c>
      <c r="H156" s="250">
        <v>0</v>
      </c>
      <c r="I156" s="250">
        <v>0</v>
      </c>
      <c r="J156" s="250">
        <v>0</v>
      </c>
      <c r="K156" s="296"/>
      <c r="L156" s="289" t="s">
        <v>180</v>
      </c>
      <c r="M156" s="296"/>
      <c r="N156" s="257"/>
      <c r="O156" s="279">
        <v>0</v>
      </c>
      <c r="P156" s="279"/>
      <c r="Q156" s="279"/>
      <c r="R156" s="279"/>
      <c r="S156" s="279"/>
      <c r="T156" s="279">
        <v>0</v>
      </c>
      <c r="U156" s="297"/>
    </row>
    <row r="157" spans="1:21" x14ac:dyDescent="0.2">
      <c r="A157" s="295" t="s">
        <v>207</v>
      </c>
      <c r="B157" s="255" t="s">
        <v>90</v>
      </c>
      <c r="C157" s="320" t="s">
        <v>91</v>
      </c>
      <c r="D157" s="321" t="s">
        <v>91</v>
      </c>
      <c r="E157" s="248" t="s">
        <v>92</v>
      </c>
      <c r="F157" s="249">
        <v>2333244.39</v>
      </c>
      <c r="G157" s="250">
        <v>0</v>
      </c>
      <c r="H157" s="250">
        <v>0</v>
      </c>
      <c r="I157" s="250">
        <v>0</v>
      </c>
      <c r="J157" s="250">
        <v>0</v>
      </c>
      <c r="K157" s="296"/>
      <c r="L157" s="289" t="s">
        <v>180</v>
      </c>
      <c r="M157" s="296"/>
      <c r="N157" s="257"/>
      <c r="O157" s="279">
        <v>0</v>
      </c>
      <c r="P157" s="279"/>
      <c r="Q157" s="279"/>
      <c r="R157" s="279"/>
      <c r="S157" s="279"/>
      <c r="T157" s="279">
        <v>0</v>
      </c>
      <c r="U157" s="297"/>
    </row>
    <row r="158" spans="1:21" x14ac:dyDescent="0.2">
      <c r="A158" s="295" t="s">
        <v>207</v>
      </c>
      <c r="B158" s="255" t="s">
        <v>177</v>
      </c>
      <c r="C158" s="320" t="s">
        <v>81</v>
      </c>
      <c r="D158" s="289" t="s">
        <v>213</v>
      </c>
      <c r="E158" s="248" t="s">
        <v>214</v>
      </c>
      <c r="F158" s="249">
        <v>518941.25</v>
      </c>
      <c r="G158" s="249">
        <v>470000</v>
      </c>
      <c r="H158" s="249">
        <v>390000</v>
      </c>
      <c r="I158" s="249">
        <v>0</v>
      </c>
      <c r="J158" s="249">
        <v>0</v>
      </c>
      <c r="K158" s="296"/>
      <c r="L158" s="289" t="s">
        <v>180</v>
      </c>
      <c r="M158" s="296"/>
      <c r="N158" s="257"/>
      <c r="O158" s="279">
        <v>0</v>
      </c>
      <c r="P158" s="279"/>
      <c r="Q158" s="279"/>
      <c r="R158" s="279"/>
      <c r="S158" s="279"/>
      <c r="T158" s="279">
        <v>0</v>
      </c>
      <c r="U158" s="297"/>
    </row>
    <row r="159" spans="1:21" x14ac:dyDescent="0.2">
      <c r="A159" s="295" t="s">
        <v>207</v>
      </c>
      <c r="B159" s="255" t="s">
        <v>30</v>
      </c>
      <c r="C159" s="320" t="s">
        <v>93</v>
      </c>
      <c r="D159" s="289" t="s">
        <v>48</v>
      </c>
      <c r="E159" s="248" t="s">
        <v>94</v>
      </c>
      <c r="F159" s="249">
        <v>2679777.4300000002</v>
      </c>
      <c r="G159" s="250">
        <v>0</v>
      </c>
      <c r="H159" s="250">
        <v>0</v>
      </c>
      <c r="I159" s="250">
        <v>0</v>
      </c>
      <c r="J159" s="250">
        <v>0</v>
      </c>
      <c r="K159" s="296"/>
      <c r="L159" s="289" t="s">
        <v>180</v>
      </c>
      <c r="M159" s="296"/>
      <c r="N159" s="257"/>
      <c r="O159" s="279">
        <v>0</v>
      </c>
      <c r="P159" s="279"/>
      <c r="Q159" s="279"/>
      <c r="R159" s="279"/>
      <c r="S159" s="279"/>
      <c r="T159" s="279">
        <v>0</v>
      </c>
      <c r="U159" s="297"/>
    </row>
    <row r="160" spans="1:21" x14ac:dyDescent="0.2">
      <c r="A160" s="295" t="s">
        <v>207</v>
      </c>
      <c r="B160" s="255" t="s">
        <v>73</v>
      </c>
      <c r="C160" s="320" t="s">
        <v>81</v>
      </c>
      <c r="D160" s="321" t="s">
        <v>251</v>
      </c>
      <c r="E160" s="248" t="s">
        <v>252</v>
      </c>
      <c r="F160" s="249">
        <v>1386023.98</v>
      </c>
      <c r="G160" s="250">
        <v>0</v>
      </c>
      <c r="H160" s="250">
        <v>0</v>
      </c>
      <c r="I160" s="250">
        <v>0</v>
      </c>
      <c r="J160" s="250">
        <v>0</v>
      </c>
      <c r="K160" s="296"/>
      <c r="L160" s="289" t="s">
        <v>180</v>
      </c>
      <c r="M160" s="296"/>
      <c r="N160" s="257"/>
      <c r="O160" s="279">
        <v>0</v>
      </c>
      <c r="P160" s="279"/>
      <c r="Q160" s="279"/>
      <c r="R160" s="279"/>
      <c r="S160" s="279"/>
      <c r="T160" s="279">
        <v>0</v>
      </c>
      <c r="U160" s="297"/>
    </row>
    <row r="161" spans="1:21" x14ac:dyDescent="0.2">
      <c r="A161" s="295" t="s">
        <v>207</v>
      </c>
      <c r="B161" s="255" t="s">
        <v>54</v>
      </c>
      <c r="C161" s="320" t="s">
        <v>55</v>
      </c>
      <c r="D161" s="321" t="s">
        <v>243</v>
      </c>
      <c r="E161" s="248" t="s">
        <v>244</v>
      </c>
      <c r="F161" s="249">
        <v>1303011.1200000001</v>
      </c>
      <c r="G161" s="250">
        <v>0</v>
      </c>
      <c r="H161" s="250">
        <v>0</v>
      </c>
      <c r="I161" s="250">
        <v>0</v>
      </c>
      <c r="J161" s="250">
        <v>0</v>
      </c>
      <c r="K161" s="296"/>
      <c r="L161" s="289" t="s">
        <v>180</v>
      </c>
      <c r="M161" s="296"/>
      <c r="N161" s="257"/>
      <c r="O161" s="279">
        <v>0</v>
      </c>
      <c r="P161" s="279"/>
      <c r="Q161" s="279"/>
      <c r="R161" s="279"/>
      <c r="S161" s="279"/>
      <c r="T161" s="279">
        <v>0</v>
      </c>
      <c r="U161" s="297"/>
    </row>
    <row r="162" spans="1:21" x14ac:dyDescent="0.2">
      <c r="A162" s="295" t="s">
        <v>207</v>
      </c>
      <c r="B162" s="255" t="s">
        <v>70</v>
      </c>
      <c r="C162" s="320" t="s">
        <v>95</v>
      </c>
      <c r="D162" s="321" t="s">
        <v>96</v>
      </c>
      <c r="E162" s="248" t="s">
        <v>97</v>
      </c>
      <c r="F162" s="249">
        <v>3067387.67</v>
      </c>
      <c r="G162" s="250">
        <v>0</v>
      </c>
      <c r="H162" s="250">
        <v>0</v>
      </c>
      <c r="I162" s="250">
        <v>0</v>
      </c>
      <c r="J162" s="250">
        <v>0</v>
      </c>
      <c r="K162" s="296"/>
      <c r="L162" s="289" t="s">
        <v>180</v>
      </c>
      <c r="M162" s="296"/>
      <c r="N162" s="257"/>
      <c r="O162" s="279">
        <v>0</v>
      </c>
      <c r="P162" s="279"/>
      <c r="Q162" s="279"/>
      <c r="R162" s="279"/>
      <c r="S162" s="279"/>
      <c r="T162" s="279">
        <v>0</v>
      </c>
      <c r="U162" s="297"/>
    </row>
    <row r="163" spans="1:21" x14ac:dyDescent="0.2">
      <c r="A163" s="295" t="s">
        <v>207</v>
      </c>
      <c r="B163" s="255" t="s">
        <v>177</v>
      </c>
      <c r="C163" s="320" t="s">
        <v>81</v>
      </c>
      <c r="D163" s="289" t="s">
        <v>215</v>
      </c>
      <c r="E163" s="248" t="s">
        <v>216</v>
      </c>
      <c r="F163" s="249">
        <v>518941.25</v>
      </c>
      <c r="G163" s="249">
        <v>470000</v>
      </c>
      <c r="H163" s="249">
        <v>390000</v>
      </c>
      <c r="I163" s="249">
        <v>0</v>
      </c>
      <c r="J163" s="249">
        <v>0</v>
      </c>
      <c r="K163" s="296"/>
      <c r="L163" s="289" t="s">
        <v>180</v>
      </c>
      <c r="M163" s="296"/>
      <c r="N163" s="257"/>
      <c r="O163" s="279">
        <v>0</v>
      </c>
      <c r="P163" s="279"/>
      <c r="Q163" s="279"/>
      <c r="R163" s="279"/>
      <c r="S163" s="279"/>
      <c r="T163" s="279">
        <v>0</v>
      </c>
      <c r="U163" s="297"/>
    </row>
    <row r="164" spans="1:21" x14ac:dyDescent="0.2">
      <c r="A164" s="295" t="s">
        <v>207</v>
      </c>
      <c r="B164" s="255" t="s">
        <v>70</v>
      </c>
      <c r="C164" s="320" t="s">
        <v>104</v>
      </c>
      <c r="D164" s="321" t="s">
        <v>105</v>
      </c>
      <c r="E164" s="248" t="s">
        <v>106</v>
      </c>
      <c r="F164" s="249">
        <v>2078693.58</v>
      </c>
      <c r="G164" s="250">
        <v>0</v>
      </c>
      <c r="H164" s="250">
        <v>0</v>
      </c>
      <c r="I164" s="250">
        <v>0</v>
      </c>
      <c r="J164" s="250">
        <v>0</v>
      </c>
      <c r="K164" s="296"/>
      <c r="L164" s="289" t="s">
        <v>180</v>
      </c>
      <c r="M164" s="296"/>
      <c r="N164" s="257"/>
      <c r="O164" s="279">
        <v>0</v>
      </c>
      <c r="P164" s="279"/>
      <c r="Q164" s="279"/>
      <c r="R164" s="279"/>
      <c r="S164" s="279"/>
      <c r="T164" s="279">
        <v>0</v>
      </c>
      <c r="U164" s="297"/>
    </row>
    <row r="165" spans="1:21" x14ac:dyDescent="0.2">
      <c r="A165" s="295" t="s">
        <v>207</v>
      </c>
      <c r="B165" s="255" t="s">
        <v>70</v>
      </c>
      <c r="C165" s="320" t="s">
        <v>95</v>
      </c>
      <c r="D165" s="321" t="s">
        <v>117</v>
      </c>
      <c r="E165" s="248" t="s">
        <v>118</v>
      </c>
      <c r="F165" s="249">
        <v>2025813.43</v>
      </c>
      <c r="G165" s="250">
        <v>0</v>
      </c>
      <c r="H165" s="250">
        <v>0</v>
      </c>
      <c r="I165" s="250">
        <v>0</v>
      </c>
      <c r="J165" s="250">
        <v>0</v>
      </c>
      <c r="K165" s="296"/>
      <c r="L165" s="289" t="s">
        <v>180</v>
      </c>
      <c r="M165" s="296"/>
      <c r="N165" s="257"/>
      <c r="O165" s="279">
        <v>0</v>
      </c>
      <c r="P165" s="279"/>
      <c r="Q165" s="279"/>
      <c r="R165" s="279"/>
      <c r="S165" s="279"/>
      <c r="T165" s="279">
        <v>0</v>
      </c>
      <c r="U165" s="297"/>
    </row>
    <row r="166" spans="1:21" x14ac:dyDescent="0.2">
      <c r="A166" s="295" t="s">
        <v>207</v>
      </c>
      <c r="B166" s="255" t="s">
        <v>58</v>
      </c>
      <c r="C166" s="320" t="s">
        <v>59</v>
      </c>
      <c r="D166" s="321" t="s">
        <v>119</v>
      </c>
      <c r="E166" s="248" t="s">
        <v>120</v>
      </c>
      <c r="F166" s="249">
        <v>1384961.42</v>
      </c>
      <c r="G166" s="250">
        <v>0</v>
      </c>
      <c r="H166" s="250">
        <v>0</v>
      </c>
      <c r="I166" s="250">
        <v>0</v>
      </c>
      <c r="J166" s="250">
        <v>0</v>
      </c>
      <c r="K166" s="296"/>
      <c r="L166" s="289" t="s">
        <v>180</v>
      </c>
      <c r="M166" s="296"/>
      <c r="N166" s="257"/>
      <c r="O166" s="279">
        <v>0</v>
      </c>
      <c r="P166" s="279"/>
      <c r="Q166" s="279"/>
      <c r="R166" s="279"/>
      <c r="S166" s="279"/>
      <c r="T166" s="279">
        <v>0</v>
      </c>
      <c r="U166" s="297"/>
    </row>
    <row r="167" spans="1:21" x14ac:dyDescent="0.2">
      <c r="A167" s="295" t="s">
        <v>207</v>
      </c>
      <c r="B167" s="255" t="s">
        <v>58</v>
      </c>
      <c r="C167" s="320" t="s">
        <v>59</v>
      </c>
      <c r="D167" s="321" t="s">
        <v>227</v>
      </c>
      <c r="E167" s="248" t="s">
        <v>228</v>
      </c>
      <c r="F167" s="249">
        <v>1523457.57</v>
      </c>
      <c r="G167" s="250">
        <v>0</v>
      </c>
      <c r="H167" s="250">
        <v>0</v>
      </c>
      <c r="I167" s="250">
        <v>0</v>
      </c>
      <c r="J167" s="250">
        <v>0</v>
      </c>
      <c r="K167" s="296"/>
      <c r="L167" s="289" t="s">
        <v>180</v>
      </c>
      <c r="M167" s="296"/>
      <c r="N167" s="257"/>
      <c r="O167" s="279">
        <v>0</v>
      </c>
      <c r="P167" s="279"/>
      <c r="Q167" s="279"/>
      <c r="R167" s="279"/>
      <c r="S167" s="279"/>
      <c r="T167" s="279">
        <v>0</v>
      </c>
      <c r="U167" s="297"/>
    </row>
    <row r="168" spans="1:21" x14ac:dyDescent="0.2">
      <c r="A168" s="295" t="s">
        <v>207</v>
      </c>
      <c r="B168" s="255" t="s">
        <v>38</v>
      </c>
      <c r="C168" s="320" t="s">
        <v>39</v>
      </c>
      <c r="D168" s="289" t="s">
        <v>128</v>
      </c>
      <c r="E168" s="248" t="s">
        <v>129</v>
      </c>
      <c r="F168" s="249">
        <v>810325.37</v>
      </c>
      <c r="G168" s="250">
        <v>0</v>
      </c>
      <c r="H168" s="250">
        <v>0</v>
      </c>
      <c r="I168" s="250">
        <v>0</v>
      </c>
      <c r="J168" s="250">
        <v>0</v>
      </c>
      <c r="K168" s="296"/>
      <c r="L168" s="289" t="s">
        <v>180</v>
      </c>
      <c r="M168" s="296"/>
      <c r="N168" s="257"/>
      <c r="O168" s="279">
        <v>0</v>
      </c>
      <c r="P168" s="279"/>
      <c r="Q168" s="279"/>
      <c r="R168" s="279"/>
      <c r="S168" s="279"/>
      <c r="T168" s="279">
        <v>0</v>
      </c>
      <c r="U168" s="297"/>
    </row>
    <row r="169" spans="1:21" x14ac:dyDescent="0.2">
      <c r="A169" s="295" t="s">
        <v>207</v>
      </c>
      <c r="B169" s="255" t="s">
        <v>42</v>
      </c>
      <c r="C169" s="320" t="s">
        <v>130</v>
      </c>
      <c r="D169" s="289" t="s">
        <v>130</v>
      </c>
      <c r="E169" s="248" t="s">
        <v>131</v>
      </c>
      <c r="F169" s="249">
        <v>2953148.92</v>
      </c>
      <c r="G169" s="250">
        <v>0</v>
      </c>
      <c r="H169" s="250">
        <v>0</v>
      </c>
      <c r="I169" s="250">
        <v>0</v>
      </c>
      <c r="J169" s="250">
        <v>0</v>
      </c>
      <c r="K169" s="296"/>
      <c r="L169" s="289" t="s">
        <v>180</v>
      </c>
      <c r="M169" s="296"/>
      <c r="N169" s="257"/>
      <c r="O169" s="279">
        <v>0</v>
      </c>
      <c r="P169" s="279"/>
      <c r="Q169" s="279"/>
      <c r="R169" s="279"/>
      <c r="S169" s="279"/>
      <c r="T169" s="279">
        <v>0</v>
      </c>
      <c r="U169" s="297"/>
    </row>
    <row r="170" spans="1:21" x14ac:dyDescent="0.2">
      <c r="A170" s="295" t="s">
        <v>207</v>
      </c>
      <c r="B170" s="255" t="s">
        <v>30</v>
      </c>
      <c r="C170" s="320" t="s">
        <v>45</v>
      </c>
      <c r="D170" s="321" t="s">
        <v>132</v>
      </c>
      <c r="E170" s="248" t="s">
        <v>133</v>
      </c>
      <c r="F170" s="249">
        <v>3675582.01</v>
      </c>
      <c r="G170" s="250">
        <v>0</v>
      </c>
      <c r="H170" s="250">
        <v>0</v>
      </c>
      <c r="I170" s="250">
        <v>0</v>
      </c>
      <c r="J170" s="250">
        <v>0</v>
      </c>
      <c r="K170" s="296"/>
      <c r="L170" s="289" t="s">
        <v>180</v>
      </c>
      <c r="M170" s="296"/>
      <c r="N170" s="257"/>
      <c r="O170" s="279">
        <v>0</v>
      </c>
      <c r="P170" s="279"/>
      <c r="Q170" s="279"/>
      <c r="R170" s="279"/>
      <c r="S170" s="279"/>
      <c r="T170" s="279">
        <v>0</v>
      </c>
      <c r="U170" s="297"/>
    </row>
    <row r="171" spans="1:21" x14ac:dyDescent="0.2">
      <c r="A171" s="295" t="s">
        <v>207</v>
      </c>
      <c r="B171" s="255" t="s">
        <v>90</v>
      </c>
      <c r="C171" s="320" t="s">
        <v>91</v>
      </c>
      <c r="D171" s="289" t="s">
        <v>239</v>
      </c>
      <c r="E171" s="248" t="s">
        <v>240</v>
      </c>
      <c r="F171" s="249">
        <v>2333244.39</v>
      </c>
      <c r="G171" s="250">
        <v>0</v>
      </c>
      <c r="H171" s="250">
        <v>0</v>
      </c>
      <c r="I171" s="250">
        <v>0</v>
      </c>
      <c r="J171" s="250">
        <v>0</v>
      </c>
      <c r="K171" s="296"/>
      <c r="L171" s="289" t="s">
        <v>180</v>
      </c>
      <c r="M171" s="296"/>
      <c r="N171" s="257"/>
      <c r="O171" s="279">
        <v>0</v>
      </c>
      <c r="P171" s="279"/>
      <c r="Q171" s="279"/>
      <c r="R171" s="279"/>
      <c r="S171" s="279"/>
      <c r="T171" s="279">
        <v>0</v>
      </c>
      <c r="U171" s="297"/>
    </row>
    <row r="172" spans="1:21" x14ac:dyDescent="0.2">
      <c r="A172" s="295" t="s">
        <v>207</v>
      </c>
      <c r="B172" s="255" t="s">
        <v>90</v>
      </c>
      <c r="C172" s="320" t="s">
        <v>135</v>
      </c>
      <c r="D172" s="321" t="s">
        <v>136</v>
      </c>
      <c r="E172" s="248" t="s">
        <v>137</v>
      </c>
      <c r="F172" s="249">
        <v>2333244.39</v>
      </c>
      <c r="G172" s="250">
        <v>0</v>
      </c>
      <c r="H172" s="250">
        <v>0</v>
      </c>
      <c r="I172" s="250">
        <v>0</v>
      </c>
      <c r="J172" s="250">
        <v>0</v>
      </c>
      <c r="K172" s="296"/>
      <c r="L172" s="289" t="s">
        <v>180</v>
      </c>
      <c r="M172" s="296"/>
      <c r="N172" s="257"/>
      <c r="O172" s="279">
        <v>0</v>
      </c>
      <c r="P172" s="279"/>
      <c r="Q172" s="279"/>
      <c r="R172" s="279"/>
      <c r="S172" s="279"/>
      <c r="T172" s="279">
        <v>0</v>
      </c>
      <c r="U172" s="297"/>
    </row>
    <row r="173" spans="1:21" x14ac:dyDescent="0.2">
      <c r="A173" s="295" t="s">
        <v>207</v>
      </c>
      <c r="B173" s="255" t="s">
        <v>42</v>
      </c>
      <c r="C173" s="320" t="s">
        <v>143</v>
      </c>
      <c r="D173" s="321" t="s">
        <v>144</v>
      </c>
      <c r="E173" s="248" t="s">
        <v>145</v>
      </c>
      <c r="F173" s="249">
        <v>2364853.8199999998</v>
      </c>
      <c r="G173" s="250">
        <v>0</v>
      </c>
      <c r="H173" s="250">
        <v>0</v>
      </c>
      <c r="I173" s="250">
        <v>0</v>
      </c>
      <c r="J173" s="250">
        <v>0</v>
      </c>
      <c r="K173" s="296"/>
      <c r="L173" s="289" t="s">
        <v>180</v>
      </c>
      <c r="M173" s="296"/>
      <c r="N173" s="257"/>
      <c r="O173" s="279">
        <v>0</v>
      </c>
      <c r="P173" s="279"/>
      <c r="Q173" s="279"/>
      <c r="R173" s="279"/>
      <c r="S173" s="279"/>
      <c r="T173" s="279">
        <v>0</v>
      </c>
      <c r="U173" s="297"/>
    </row>
    <row r="174" spans="1:21" x14ac:dyDescent="0.2">
      <c r="A174" s="295" t="s">
        <v>207</v>
      </c>
      <c r="B174" s="255" t="s">
        <v>90</v>
      </c>
      <c r="C174" s="320" t="s">
        <v>91</v>
      </c>
      <c r="D174" s="289" t="s">
        <v>146</v>
      </c>
      <c r="E174" s="248" t="s">
        <v>147</v>
      </c>
      <c r="F174" s="249">
        <v>2566568.8199999998</v>
      </c>
      <c r="G174" s="250">
        <v>0</v>
      </c>
      <c r="H174" s="250">
        <v>0</v>
      </c>
      <c r="I174" s="250">
        <v>0</v>
      </c>
      <c r="J174" s="250">
        <v>0</v>
      </c>
      <c r="K174" s="296"/>
      <c r="L174" s="289" t="s">
        <v>180</v>
      </c>
      <c r="M174" s="296"/>
      <c r="N174" s="257"/>
      <c r="O174" s="279">
        <v>0</v>
      </c>
      <c r="P174" s="279"/>
      <c r="Q174" s="279"/>
      <c r="R174" s="279"/>
      <c r="S174" s="279"/>
      <c r="T174" s="279">
        <v>0</v>
      </c>
      <c r="U174" s="297"/>
    </row>
    <row r="175" spans="1:21" x14ac:dyDescent="0.2">
      <c r="A175" s="295" t="s">
        <v>207</v>
      </c>
      <c r="B175" s="255" t="s">
        <v>42</v>
      </c>
      <c r="C175" s="320" t="s">
        <v>148</v>
      </c>
      <c r="D175" s="289" t="s">
        <v>149</v>
      </c>
      <c r="E175" s="248" t="s">
        <v>150</v>
      </c>
      <c r="F175" s="249">
        <v>3138702.14</v>
      </c>
      <c r="G175" s="250">
        <v>0</v>
      </c>
      <c r="H175" s="250">
        <v>0</v>
      </c>
      <c r="I175" s="250">
        <v>0</v>
      </c>
      <c r="J175" s="250">
        <v>0</v>
      </c>
      <c r="K175" s="296"/>
      <c r="L175" s="289" t="s">
        <v>180</v>
      </c>
      <c r="M175" s="296"/>
      <c r="N175" s="257"/>
      <c r="O175" s="279">
        <v>0</v>
      </c>
      <c r="P175" s="279"/>
      <c r="Q175" s="279"/>
      <c r="R175" s="279"/>
      <c r="S175" s="279"/>
      <c r="T175" s="279">
        <v>0</v>
      </c>
      <c r="U175" s="297"/>
    </row>
    <row r="176" spans="1:21" x14ac:dyDescent="0.2">
      <c r="A176" s="295" t="s">
        <v>207</v>
      </c>
      <c r="B176" s="255" t="s">
        <v>38</v>
      </c>
      <c r="C176" s="320" t="s">
        <v>39</v>
      </c>
      <c r="D176" s="289" t="s">
        <v>39</v>
      </c>
      <c r="E176" s="248" t="s">
        <v>151</v>
      </c>
      <c r="F176" s="249">
        <v>1303011.1200000001</v>
      </c>
      <c r="G176" s="250">
        <v>0</v>
      </c>
      <c r="H176" s="250">
        <v>0</v>
      </c>
      <c r="I176" s="250">
        <v>0</v>
      </c>
      <c r="J176" s="250">
        <v>0</v>
      </c>
      <c r="K176" s="296"/>
      <c r="L176" s="289" t="s">
        <v>180</v>
      </c>
      <c r="M176" s="296"/>
      <c r="N176" s="257"/>
      <c r="O176" s="279">
        <v>0</v>
      </c>
      <c r="P176" s="279"/>
      <c r="Q176" s="279"/>
      <c r="R176" s="279"/>
      <c r="S176" s="279"/>
      <c r="T176" s="279">
        <v>0</v>
      </c>
      <c r="U176" s="297"/>
    </row>
    <row r="177" spans="1:21" x14ac:dyDescent="0.2">
      <c r="A177" s="295" t="s">
        <v>207</v>
      </c>
      <c r="B177" s="255" t="s">
        <v>90</v>
      </c>
      <c r="C177" s="320" t="s">
        <v>135</v>
      </c>
      <c r="D177" s="289" t="s">
        <v>241</v>
      </c>
      <c r="E177" s="248" t="s">
        <v>242</v>
      </c>
      <c r="F177" s="249">
        <v>2333244.39</v>
      </c>
      <c r="G177" s="250">
        <v>0</v>
      </c>
      <c r="H177" s="250">
        <v>0</v>
      </c>
      <c r="I177" s="250">
        <v>0</v>
      </c>
      <c r="J177" s="250">
        <v>0</v>
      </c>
      <c r="K177" s="296"/>
      <c r="L177" s="289" t="s">
        <v>180</v>
      </c>
      <c r="M177" s="296"/>
      <c r="N177" s="257"/>
      <c r="O177" s="279">
        <v>0</v>
      </c>
      <c r="P177" s="279"/>
      <c r="Q177" s="279"/>
      <c r="R177" s="279"/>
      <c r="S177" s="279"/>
      <c r="T177" s="279">
        <v>0</v>
      </c>
      <c r="U177" s="297"/>
    </row>
    <row r="178" spans="1:21" x14ac:dyDescent="0.2">
      <c r="A178" s="295" t="s">
        <v>207</v>
      </c>
      <c r="B178" s="255" t="s">
        <v>73</v>
      </c>
      <c r="C178" s="320" t="s">
        <v>74</v>
      </c>
      <c r="D178" s="321" t="s">
        <v>253</v>
      </c>
      <c r="E178" s="248" t="s">
        <v>153</v>
      </c>
      <c r="F178" s="249">
        <v>1940240.75</v>
      </c>
      <c r="G178" s="250">
        <v>0</v>
      </c>
      <c r="H178" s="250">
        <v>0</v>
      </c>
      <c r="I178" s="250">
        <v>0</v>
      </c>
      <c r="J178" s="250">
        <v>0</v>
      </c>
      <c r="K178" s="296"/>
      <c r="L178" s="289" t="s">
        <v>180</v>
      </c>
      <c r="M178" s="296"/>
      <c r="N178" s="257"/>
      <c r="O178" s="279">
        <v>0</v>
      </c>
      <c r="P178" s="279"/>
      <c r="Q178" s="279"/>
      <c r="R178" s="279"/>
      <c r="S178" s="279"/>
      <c r="T178" s="279">
        <v>0</v>
      </c>
      <c r="U178" s="297"/>
    </row>
    <row r="179" spans="1:21" x14ac:dyDescent="0.2">
      <c r="A179" s="295" t="s">
        <v>207</v>
      </c>
      <c r="B179" s="255" t="s">
        <v>73</v>
      </c>
      <c r="C179" s="320" t="s">
        <v>81</v>
      </c>
      <c r="D179" s="321" t="s">
        <v>158</v>
      </c>
      <c r="E179" s="248" t="s">
        <v>159</v>
      </c>
      <c r="F179" s="249">
        <v>1139110.28</v>
      </c>
      <c r="G179" s="250">
        <v>0</v>
      </c>
      <c r="H179" s="250">
        <v>0</v>
      </c>
      <c r="I179" s="250">
        <v>0</v>
      </c>
      <c r="J179" s="250">
        <v>0</v>
      </c>
      <c r="K179" s="296"/>
      <c r="L179" s="289" t="s">
        <v>180</v>
      </c>
      <c r="M179" s="296"/>
      <c r="N179" s="257"/>
      <c r="O179" s="279">
        <v>0</v>
      </c>
      <c r="P179" s="279"/>
      <c r="Q179" s="279"/>
      <c r="R179" s="279"/>
      <c r="S179" s="279"/>
      <c r="T179" s="279">
        <v>0</v>
      </c>
      <c r="U179" s="297"/>
    </row>
    <row r="180" spans="1:21" x14ac:dyDescent="0.2">
      <c r="A180" s="295" t="s">
        <v>207</v>
      </c>
      <c r="B180" s="255" t="s">
        <v>34</v>
      </c>
      <c r="C180" s="320" t="s">
        <v>51</v>
      </c>
      <c r="D180" s="289" t="s">
        <v>160</v>
      </c>
      <c r="E180" s="248" t="s">
        <v>161</v>
      </c>
      <c r="F180" s="249">
        <v>4824708.51</v>
      </c>
      <c r="G180" s="250">
        <v>0</v>
      </c>
      <c r="H180" s="250">
        <v>0</v>
      </c>
      <c r="I180" s="250">
        <v>0</v>
      </c>
      <c r="J180" s="250">
        <v>0</v>
      </c>
      <c r="K180" s="296"/>
      <c r="L180" s="289" t="s">
        <v>180</v>
      </c>
      <c r="M180" s="296"/>
      <c r="N180" s="257"/>
      <c r="O180" s="279">
        <v>0</v>
      </c>
      <c r="P180" s="279"/>
      <c r="Q180" s="279"/>
      <c r="R180" s="279"/>
      <c r="S180" s="279"/>
      <c r="T180" s="279">
        <v>0</v>
      </c>
      <c r="U180" s="297"/>
    </row>
    <row r="181" spans="1:21" x14ac:dyDescent="0.2">
      <c r="A181" s="295" t="s">
        <v>207</v>
      </c>
      <c r="B181" s="255" t="s">
        <v>58</v>
      </c>
      <c r="C181" s="320" t="s">
        <v>59</v>
      </c>
      <c r="D181" s="321" t="s">
        <v>168</v>
      </c>
      <c r="E181" s="248" t="s">
        <v>169</v>
      </c>
      <c r="F181" s="249">
        <v>1303011.04</v>
      </c>
      <c r="G181" s="250">
        <v>0</v>
      </c>
      <c r="H181" s="250">
        <v>0</v>
      </c>
      <c r="I181" s="250">
        <v>0</v>
      </c>
      <c r="J181" s="250">
        <v>0</v>
      </c>
      <c r="K181" s="296"/>
      <c r="L181" s="289" t="s">
        <v>180</v>
      </c>
      <c r="M181" s="296"/>
      <c r="N181" s="257"/>
      <c r="O181" s="279">
        <v>0</v>
      </c>
      <c r="P181" s="279"/>
      <c r="Q181" s="279"/>
      <c r="R181" s="279"/>
      <c r="S181" s="279"/>
      <c r="T181" s="279">
        <v>0</v>
      </c>
      <c r="U181" s="297"/>
    </row>
    <row r="182" spans="1:21" x14ac:dyDescent="0.2">
      <c r="A182" s="295" t="s">
        <v>207</v>
      </c>
      <c r="B182" s="255" t="s">
        <v>177</v>
      </c>
      <c r="C182" s="320" t="s">
        <v>81</v>
      </c>
      <c r="D182" s="321" t="s">
        <v>217</v>
      </c>
      <c r="E182" s="248" t="s">
        <v>218</v>
      </c>
      <c r="F182" s="249">
        <v>518941.25</v>
      </c>
      <c r="G182" s="249">
        <v>470000</v>
      </c>
      <c r="H182" s="249">
        <v>390000</v>
      </c>
      <c r="I182" s="249">
        <v>0</v>
      </c>
      <c r="J182" s="249">
        <v>0</v>
      </c>
      <c r="K182" s="296"/>
      <c r="L182" s="289" t="s">
        <v>180</v>
      </c>
      <c r="M182" s="296"/>
      <c r="N182" s="257"/>
      <c r="O182" s="279">
        <v>0</v>
      </c>
      <c r="P182" s="279"/>
      <c r="Q182" s="279"/>
      <c r="R182" s="279"/>
      <c r="S182" s="279"/>
      <c r="T182" s="279">
        <v>0</v>
      </c>
      <c r="U182" s="297"/>
    </row>
    <row r="183" spans="1:21" x14ac:dyDescent="0.2">
      <c r="A183" s="295" t="s">
        <v>207</v>
      </c>
      <c r="B183" s="255" t="s">
        <v>177</v>
      </c>
      <c r="C183" s="320" t="s">
        <v>81</v>
      </c>
      <c r="D183" s="289" t="s">
        <v>219</v>
      </c>
      <c r="E183" s="248" t="s">
        <v>220</v>
      </c>
      <c r="F183" s="249">
        <v>471764.77</v>
      </c>
      <c r="G183" s="249">
        <v>425000</v>
      </c>
      <c r="H183" s="249">
        <v>350000</v>
      </c>
      <c r="I183" s="249">
        <v>0</v>
      </c>
      <c r="J183" s="249">
        <v>0</v>
      </c>
      <c r="K183" s="296"/>
      <c r="L183" s="289" t="s">
        <v>180</v>
      </c>
      <c r="M183" s="296"/>
      <c r="N183" s="257"/>
      <c r="O183" s="279">
        <v>0</v>
      </c>
      <c r="P183" s="279"/>
      <c r="Q183" s="279"/>
      <c r="R183" s="279"/>
      <c r="S183" s="279"/>
      <c r="T183" s="279">
        <v>0</v>
      </c>
      <c r="U183" s="297"/>
    </row>
    <row r="184" spans="1:21" x14ac:dyDescent="0.2">
      <c r="A184" s="295" t="s">
        <v>207</v>
      </c>
      <c r="B184" s="255" t="s">
        <v>177</v>
      </c>
      <c r="C184" s="320" t="s">
        <v>81</v>
      </c>
      <c r="D184" s="321" t="s">
        <v>178</v>
      </c>
      <c r="E184" s="248" t="s">
        <v>179</v>
      </c>
      <c r="F184" s="249">
        <v>471764.77</v>
      </c>
      <c r="G184" s="249">
        <v>425000</v>
      </c>
      <c r="H184" s="249">
        <v>350000</v>
      </c>
      <c r="I184" s="249">
        <v>0</v>
      </c>
      <c r="J184" s="249">
        <v>0</v>
      </c>
      <c r="K184" s="296"/>
      <c r="L184" s="289" t="s">
        <v>180</v>
      </c>
      <c r="M184" s="296"/>
      <c r="N184" s="257"/>
      <c r="O184" s="279">
        <v>0</v>
      </c>
      <c r="P184" s="279"/>
      <c r="Q184" s="279"/>
      <c r="R184" s="279"/>
      <c r="S184" s="279"/>
      <c r="T184" s="279">
        <v>0</v>
      </c>
      <c r="U184" s="297"/>
    </row>
    <row r="185" spans="1:21" x14ac:dyDescent="0.2">
      <c r="A185" s="295" t="s">
        <v>207</v>
      </c>
      <c r="B185" s="255" t="s">
        <v>177</v>
      </c>
      <c r="C185" s="320" t="s">
        <v>81</v>
      </c>
      <c r="D185" s="289" t="s">
        <v>221</v>
      </c>
      <c r="E185" s="248" t="s">
        <v>222</v>
      </c>
      <c r="F185" s="249">
        <v>471764.77</v>
      </c>
      <c r="G185" s="249">
        <v>425000</v>
      </c>
      <c r="H185" s="249">
        <v>350000</v>
      </c>
      <c r="I185" s="249">
        <v>0</v>
      </c>
      <c r="J185" s="249">
        <v>0</v>
      </c>
      <c r="K185" s="296"/>
      <c r="L185" s="289" t="s">
        <v>180</v>
      </c>
      <c r="M185" s="296"/>
      <c r="N185" s="257"/>
      <c r="O185" s="279">
        <v>0</v>
      </c>
      <c r="P185" s="279"/>
      <c r="Q185" s="279"/>
      <c r="R185" s="279"/>
      <c r="S185" s="279"/>
      <c r="T185" s="279">
        <v>0</v>
      </c>
      <c r="U185" s="297"/>
    </row>
    <row r="186" spans="1:21" x14ac:dyDescent="0.2">
      <c r="A186" s="292" t="s">
        <v>254</v>
      </c>
      <c r="B186" s="252" t="s">
        <v>58</v>
      </c>
      <c r="C186" s="316" t="s">
        <v>59</v>
      </c>
      <c r="D186" s="317" t="s">
        <v>542</v>
      </c>
      <c r="E186" s="318" t="s">
        <v>701</v>
      </c>
      <c r="F186" s="254">
        <v>1540261.69</v>
      </c>
      <c r="G186" s="254">
        <v>0</v>
      </c>
      <c r="H186" s="254">
        <v>0</v>
      </c>
      <c r="I186" s="254">
        <v>0</v>
      </c>
      <c r="J186" s="254">
        <v>0</v>
      </c>
      <c r="K186" s="293"/>
      <c r="L186" s="289" t="s">
        <v>180</v>
      </c>
      <c r="M186" s="294"/>
      <c r="N186" s="253"/>
      <c r="O186" s="279">
        <v>0</v>
      </c>
      <c r="P186" s="279"/>
      <c r="Q186" s="279"/>
      <c r="R186" s="279"/>
      <c r="S186" s="279"/>
      <c r="T186" s="279">
        <v>414.71</v>
      </c>
      <c r="U186" s="291"/>
    </row>
    <row r="187" spans="1:21" x14ac:dyDescent="0.2">
      <c r="A187" s="295" t="s">
        <v>254</v>
      </c>
      <c r="B187" s="255" t="s">
        <v>58</v>
      </c>
      <c r="C187" s="320" t="s">
        <v>59</v>
      </c>
      <c r="D187" s="321" t="s">
        <v>229</v>
      </c>
      <c r="E187" s="248" t="s">
        <v>230</v>
      </c>
      <c r="F187" s="256">
        <v>1439445.99</v>
      </c>
      <c r="G187" s="258">
        <v>0</v>
      </c>
      <c r="H187" s="258">
        <v>0</v>
      </c>
      <c r="I187" s="258">
        <v>0</v>
      </c>
      <c r="J187" s="258">
        <v>0</v>
      </c>
      <c r="K187" s="296"/>
      <c r="L187" s="289" t="s">
        <v>180</v>
      </c>
      <c r="M187" s="296"/>
      <c r="N187" s="257"/>
      <c r="O187" s="279">
        <v>0</v>
      </c>
      <c r="P187" s="279"/>
      <c r="Q187" s="279"/>
      <c r="R187" s="279"/>
      <c r="S187" s="279"/>
      <c r="T187" s="279">
        <v>336.73</v>
      </c>
      <c r="U187" s="297"/>
    </row>
    <row r="188" spans="1:21" x14ac:dyDescent="0.2">
      <c r="A188" s="295" t="s">
        <v>254</v>
      </c>
      <c r="B188" s="255" t="s">
        <v>30</v>
      </c>
      <c r="C188" s="320" t="s">
        <v>81</v>
      </c>
      <c r="D188" s="321" t="s">
        <v>31</v>
      </c>
      <c r="E188" s="248" t="s">
        <v>32</v>
      </c>
      <c r="F188" s="256">
        <v>1640086.46</v>
      </c>
      <c r="G188" s="258">
        <v>0</v>
      </c>
      <c r="H188" s="258">
        <v>0</v>
      </c>
      <c r="I188" s="258">
        <v>0</v>
      </c>
      <c r="J188" s="258">
        <v>0</v>
      </c>
      <c r="K188" s="296"/>
      <c r="L188" s="289" t="s">
        <v>180</v>
      </c>
      <c r="M188" s="296"/>
      <c r="N188" s="257"/>
      <c r="O188" s="279">
        <v>0</v>
      </c>
      <c r="P188" s="279"/>
      <c r="Q188" s="279"/>
      <c r="R188" s="279"/>
      <c r="S188" s="279"/>
      <c r="T188" s="279">
        <v>0</v>
      </c>
      <c r="U188" s="297"/>
    </row>
    <row r="189" spans="1:21" x14ac:dyDescent="0.2">
      <c r="A189" s="292" t="s">
        <v>254</v>
      </c>
      <c r="B189" s="252" t="s">
        <v>58</v>
      </c>
      <c r="C189" s="316" t="s">
        <v>59</v>
      </c>
      <c r="D189" s="317" t="s">
        <v>223</v>
      </c>
      <c r="E189" s="318" t="s">
        <v>224</v>
      </c>
      <c r="F189" s="254">
        <v>1439445.99</v>
      </c>
      <c r="G189" s="254">
        <v>0</v>
      </c>
      <c r="H189" s="254">
        <v>0</v>
      </c>
      <c r="I189" s="254">
        <v>0</v>
      </c>
      <c r="J189" s="254">
        <v>0</v>
      </c>
      <c r="K189" s="293"/>
      <c r="L189" s="289" t="s">
        <v>180</v>
      </c>
      <c r="M189" s="294"/>
      <c r="N189" s="253"/>
      <c r="O189" s="279">
        <v>0</v>
      </c>
      <c r="P189" s="279"/>
      <c r="Q189" s="279"/>
      <c r="R189" s="279"/>
      <c r="S189" s="279"/>
      <c r="T189" s="279">
        <v>336.73</v>
      </c>
      <c r="U189" s="291"/>
    </row>
    <row r="190" spans="1:21" x14ac:dyDescent="0.2">
      <c r="A190" s="295" t="s">
        <v>254</v>
      </c>
      <c r="B190" s="255" t="s">
        <v>58</v>
      </c>
      <c r="C190" s="320" t="s">
        <v>59</v>
      </c>
      <c r="D190" s="289" t="s">
        <v>225</v>
      </c>
      <c r="E190" s="248" t="s">
        <v>226</v>
      </c>
      <c r="F190" s="256">
        <v>1439445.99</v>
      </c>
      <c r="G190" s="258">
        <v>0</v>
      </c>
      <c r="H190" s="258">
        <v>0</v>
      </c>
      <c r="I190" s="258">
        <v>0</v>
      </c>
      <c r="J190" s="258">
        <v>0</v>
      </c>
      <c r="K190" s="296"/>
      <c r="L190" s="289" t="s">
        <v>180</v>
      </c>
      <c r="M190" s="296"/>
      <c r="N190" s="257"/>
      <c r="O190" s="279">
        <v>0</v>
      </c>
      <c r="P190" s="279"/>
      <c r="Q190" s="279"/>
      <c r="R190" s="279"/>
      <c r="S190" s="279"/>
      <c r="T190" s="279">
        <v>336.73</v>
      </c>
      <c r="U190" s="297"/>
    </row>
    <row r="191" spans="1:21" x14ac:dyDescent="0.2">
      <c r="A191" s="295" t="s">
        <v>254</v>
      </c>
      <c r="B191" s="255" t="s">
        <v>177</v>
      </c>
      <c r="C191" s="320" t="s">
        <v>81</v>
      </c>
      <c r="D191" s="321" t="s">
        <v>211</v>
      </c>
      <c r="E191" s="248" t="s">
        <v>212</v>
      </c>
      <c r="F191" s="256">
        <v>589318.31999999995</v>
      </c>
      <c r="G191" s="256">
        <v>487040.18</v>
      </c>
      <c r="H191" s="256">
        <v>379891.95</v>
      </c>
      <c r="I191" s="256">
        <v>282602.45</v>
      </c>
      <c r="J191" s="256">
        <v>214296.48</v>
      </c>
      <c r="K191" s="296"/>
      <c r="L191" s="289" t="s">
        <v>180</v>
      </c>
      <c r="M191" s="296"/>
      <c r="N191" s="257"/>
      <c r="O191" s="279">
        <v>0</v>
      </c>
      <c r="P191" s="279"/>
      <c r="Q191" s="279"/>
      <c r="R191" s="279"/>
      <c r="S191" s="279"/>
      <c r="T191" s="279">
        <v>0</v>
      </c>
      <c r="U191" s="297"/>
    </row>
    <row r="192" spans="1:21" x14ac:dyDescent="0.2">
      <c r="A192" s="295" t="s">
        <v>254</v>
      </c>
      <c r="B192" s="255" t="s">
        <v>177</v>
      </c>
      <c r="C192" s="320" t="s">
        <v>81</v>
      </c>
      <c r="D192" s="321" t="s">
        <v>182</v>
      </c>
      <c r="E192" s="248" t="s">
        <v>183</v>
      </c>
      <c r="F192" s="256">
        <v>535743.19999999995</v>
      </c>
      <c r="G192" s="256">
        <v>438335.16</v>
      </c>
      <c r="H192" s="256">
        <v>340927.12</v>
      </c>
      <c r="I192" s="256">
        <v>253261.3</v>
      </c>
      <c r="J192" s="256">
        <v>194816.07</v>
      </c>
      <c r="K192" s="296"/>
      <c r="L192" s="289" t="s">
        <v>180</v>
      </c>
      <c r="M192" s="296"/>
      <c r="N192" s="257"/>
      <c r="O192" s="279">
        <v>0</v>
      </c>
      <c r="P192" s="279"/>
      <c r="Q192" s="279"/>
      <c r="R192" s="279"/>
      <c r="S192" s="279"/>
      <c r="T192" s="279">
        <v>0</v>
      </c>
      <c r="U192" s="297"/>
    </row>
    <row r="193" spans="1:21" x14ac:dyDescent="0.2">
      <c r="A193" s="295" t="s">
        <v>254</v>
      </c>
      <c r="B193" s="255" t="s">
        <v>54</v>
      </c>
      <c r="C193" s="320" t="s">
        <v>55</v>
      </c>
      <c r="D193" s="289" t="s">
        <v>56</v>
      </c>
      <c r="E193" s="248" t="s">
        <v>57</v>
      </c>
      <c r="F193" s="256">
        <v>1319071.73</v>
      </c>
      <c r="G193" s="258">
        <v>0</v>
      </c>
      <c r="H193" s="258">
        <v>0</v>
      </c>
      <c r="I193" s="258">
        <v>0</v>
      </c>
      <c r="J193" s="258">
        <v>0</v>
      </c>
      <c r="K193" s="296"/>
      <c r="L193" s="289" t="s">
        <v>180</v>
      </c>
      <c r="M193" s="296"/>
      <c r="N193" s="257"/>
      <c r="O193" s="279">
        <v>0</v>
      </c>
      <c r="P193" s="279"/>
      <c r="Q193" s="279"/>
      <c r="R193" s="279"/>
      <c r="S193" s="279"/>
      <c r="T193" s="279">
        <v>0</v>
      </c>
      <c r="U193" s="297"/>
    </row>
    <row r="194" spans="1:21" x14ac:dyDescent="0.2">
      <c r="A194" s="295" t="s">
        <v>254</v>
      </c>
      <c r="B194" s="255" t="s">
        <v>58</v>
      </c>
      <c r="C194" s="320" t="s">
        <v>59</v>
      </c>
      <c r="D194" s="321" t="s">
        <v>59</v>
      </c>
      <c r="E194" s="248" t="s">
        <v>60</v>
      </c>
      <c r="F194" s="256">
        <v>1494692.43</v>
      </c>
      <c r="G194" s="258">
        <v>0</v>
      </c>
      <c r="H194" s="258">
        <v>0</v>
      </c>
      <c r="I194" s="258">
        <v>0</v>
      </c>
      <c r="J194" s="258">
        <v>0</v>
      </c>
      <c r="K194" s="296"/>
      <c r="L194" s="289" t="s">
        <v>180</v>
      </c>
      <c r="M194" s="296"/>
      <c r="N194" s="257"/>
      <c r="O194" s="279">
        <v>0</v>
      </c>
      <c r="P194" s="279"/>
      <c r="Q194" s="279"/>
      <c r="R194" s="279"/>
      <c r="S194" s="279"/>
      <c r="T194" s="279">
        <v>349.65</v>
      </c>
      <c r="U194" s="297"/>
    </row>
    <row r="195" spans="1:21" x14ac:dyDescent="0.2">
      <c r="A195" s="295" t="s">
        <v>254</v>
      </c>
      <c r="B195" s="255" t="s">
        <v>70</v>
      </c>
      <c r="C195" s="320" t="s">
        <v>245</v>
      </c>
      <c r="D195" s="289" t="s">
        <v>245</v>
      </c>
      <c r="E195" s="248" t="s">
        <v>246</v>
      </c>
      <c r="F195" s="256">
        <v>2195570.6800000002</v>
      </c>
      <c r="G195" s="258">
        <v>0</v>
      </c>
      <c r="H195" s="258">
        <v>0</v>
      </c>
      <c r="I195" s="258">
        <v>0</v>
      </c>
      <c r="J195" s="258">
        <v>0</v>
      </c>
      <c r="K195" s="296"/>
      <c r="L195" s="289" t="s">
        <v>180</v>
      </c>
      <c r="M195" s="296"/>
      <c r="N195" s="257"/>
      <c r="O195" s="279">
        <v>0</v>
      </c>
      <c r="P195" s="279"/>
      <c r="Q195" s="279"/>
      <c r="R195" s="279"/>
      <c r="S195" s="279"/>
      <c r="T195" s="279">
        <v>0</v>
      </c>
      <c r="U195" s="297"/>
    </row>
    <row r="196" spans="1:21" x14ac:dyDescent="0.2">
      <c r="A196" s="295" t="s">
        <v>254</v>
      </c>
      <c r="B196" s="255" t="s">
        <v>38</v>
      </c>
      <c r="C196" s="320" t="s">
        <v>39</v>
      </c>
      <c r="D196" s="289" t="s">
        <v>257</v>
      </c>
      <c r="E196" s="248" t="s">
        <v>258</v>
      </c>
      <c r="F196" s="256">
        <v>1656206.09</v>
      </c>
      <c r="G196" s="258">
        <v>0</v>
      </c>
      <c r="H196" s="258">
        <v>0</v>
      </c>
      <c r="I196" s="258">
        <v>0</v>
      </c>
      <c r="J196" s="258">
        <v>0</v>
      </c>
      <c r="K196" s="296"/>
      <c r="L196" s="289" t="s">
        <v>180</v>
      </c>
      <c r="M196" s="296"/>
      <c r="N196" s="257"/>
      <c r="O196" s="279">
        <v>0</v>
      </c>
      <c r="P196" s="279"/>
      <c r="Q196" s="279"/>
      <c r="R196" s="279"/>
      <c r="S196" s="279"/>
      <c r="T196" s="279">
        <v>0</v>
      </c>
      <c r="U196" s="297"/>
    </row>
    <row r="197" spans="1:21" x14ac:dyDescent="0.2">
      <c r="A197" s="295" t="s">
        <v>254</v>
      </c>
      <c r="B197" s="255" t="s">
        <v>90</v>
      </c>
      <c r="C197" s="320" t="s">
        <v>91</v>
      </c>
      <c r="D197" s="289" t="s">
        <v>231</v>
      </c>
      <c r="E197" s="248" t="s">
        <v>232</v>
      </c>
      <c r="F197" s="256">
        <v>2419609.17</v>
      </c>
      <c r="G197" s="258">
        <v>0</v>
      </c>
      <c r="H197" s="258">
        <v>0</v>
      </c>
      <c r="I197" s="258">
        <v>0</v>
      </c>
      <c r="J197" s="258">
        <v>0</v>
      </c>
      <c r="K197" s="296"/>
      <c r="L197" s="289" t="s">
        <v>180</v>
      </c>
      <c r="M197" s="296"/>
      <c r="N197" s="257"/>
      <c r="O197" s="279">
        <v>0</v>
      </c>
      <c r="P197" s="279"/>
      <c r="Q197" s="279"/>
      <c r="R197" s="279"/>
      <c r="S197" s="279"/>
      <c r="T197" s="279">
        <v>0</v>
      </c>
      <c r="U197" s="297"/>
    </row>
    <row r="198" spans="1:21" x14ac:dyDescent="0.2">
      <c r="A198" s="295" t="s">
        <v>254</v>
      </c>
      <c r="B198" s="255" t="s">
        <v>30</v>
      </c>
      <c r="C198" s="320" t="s">
        <v>45</v>
      </c>
      <c r="D198" s="321" t="s">
        <v>77</v>
      </c>
      <c r="E198" s="248" t="s">
        <v>78</v>
      </c>
      <c r="F198" s="256">
        <v>3030113.23</v>
      </c>
      <c r="G198" s="258">
        <v>0</v>
      </c>
      <c r="H198" s="258">
        <v>0</v>
      </c>
      <c r="I198" s="258">
        <v>0</v>
      </c>
      <c r="J198" s="258">
        <v>0</v>
      </c>
      <c r="K198" s="296"/>
      <c r="L198" s="289" t="s">
        <v>180</v>
      </c>
      <c r="M198" s="296"/>
      <c r="N198" s="257"/>
      <c r="O198" s="279">
        <v>0</v>
      </c>
      <c r="P198" s="279"/>
      <c r="Q198" s="279"/>
      <c r="R198" s="279"/>
      <c r="S198" s="279"/>
      <c r="T198" s="279">
        <v>0</v>
      </c>
      <c r="U198" s="297"/>
    </row>
    <row r="199" spans="1:21" x14ac:dyDescent="0.2">
      <c r="A199" s="295" t="s">
        <v>254</v>
      </c>
      <c r="B199" s="255" t="s">
        <v>90</v>
      </c>
      <c r="C199" s="320" t="s">
        <v>91</v>
      </c>
      <c r="D199" s="289" t="s">
        <v>233</v>
      </c>
      <c r="E199" s="248" t="s">
        <v>234</v>
      </c>
      <c r="F199" s="256">
        <v>2419609.17</v>
      </c>
      <c r="G199" s="258">
        <v>0</v>
      </c>
      <c r="H199" s="258">
        <v>0</v>
      </c>
      <c r="I199" s="258">
        <v>0</v>
      </c>
      <c r="J199" s="258">
        <v>0</v>
      </c>
      <c r="K199" s="296"/>
      <c r="L199" s="289" t="s">
        <v>180</v>
      </c>
      <c r="M199" s="296"/>
      <c r="N199" s="257"/>
      <c r="O199" s="279">
        <v>0</v>
      </c>
      <c r="P199" s="279"/>
      <c r="Q199" s="279"/>
      <c r="R199" s="279"/>
      <c r="S199" s="279"/>
      <c r="T199" s="279">
        <v>0</v>
      </c>
      <c r="U199" s="297"/>
    </row>
    <row r="200" spans="1:21" x14ac:dyDescent="0.2">
      <c r="A200" s="295" t="s">
        <v>254</v>
      </c>
      <c r="B200" s="255" t="s">
        <v>73</v>
      </c>
      <c r="C200" s="320" t="s">
        <v>81</v>
      </c>
      <c r="D200" s="321" t="s">
        <v>82</v>
      </c>
      <c r="E200" s="248" t="s">
        <v>83</v>
      </c>
      <c r="F200" s="256">
        <v>901468.4</v>
      </c>
      <c r="G200" s="258">
        <v>0</v>
      </c>
      <c r="H200" s="258">
        <v>0</v>
      </c>
      <c r="I200" s="258">
        <v>0</v>
      </c>
      <c r="J200" s="258">
        <v>0</v>
      </c>
      <c r="K200" s="296"/>
      <c r="L200" s="289" t="s">
        <v>180</v>
      </c>
      <c r="M200" s="296"/>
      <c r="N200" s="257"/>
      <c r="O200" s="279">
        <v>0</v>
      </c>
      <c r="P200" s="279"/>
      <c r="Q200" s="279"/>
      <c r="R200" s="279"/>
      <c r="S200" s="279"/>
      <c r="T200" s="279">
        <v>0</v>
      </c>
      <c r="U200" s="297"/>
    </row>
    <row r="201" spans="1:21" x14ac:dyDescent="0.2">
      <c r="A201" s="295" t="s">
        <v>254</v>
      </c>
      <c r="B201" s="255" t="s">
        <v>90</v>
      </c>
      <c r="C201" s="320" t="s">
        <v>91</v>
      </c>
      <c r="D201" s="321" t="s">
        <v>235</v>
      </c>
      <c r="E201" s="248" t="s">
        <v>236</v>
      </c>
      <c r="F201" s="256">
        <v>2464416.4</v>
      </c>
      <c r="G201" s="258">
        <v>0</v>
      </c>
      <c r="H201" s="258">
        <v>0</v>
      </c>
      <c r="I201" s="258">
        <v>0</v>
      </c>
      <c r="J201" s="258">
        <v>0</v>
      </c>
      <c r="K201" s="296"/>
      <c r="L201" s="289" t="s">
        <v>180</v>
      </c>
      <c r="M201" s="296"/>
      <c r="N201" s="257"/>
      <c r="O201" s="279">
        <v>0</v>
      </c>
      <c r="P201" s="279"/>
      <c r="Q201" s="279"/>
      <c r="R201" s="279"/>
      <c r="S201" s="279"/>
      <c r="T201" s="279">
        <v>0</v>
      </c>
      <c r="U201" s="297"/>
    </row>
    <row r="202" spans="1:21" x14ac:dyDescent="0.2">
      <c r="A202" s="295" t="s">
        <v>254</v>
      </c>
      <c r="B202" s="255" t="s">
        <v>87</v>
      </c>
      <c r="C202" s="320" t="s">
        <v>81</v>
      </c>
      <c r="D202" s="289" t="s">
        <v>208</v>
      </c>
      <c r="E202" s="248" t="s">
        <v>209</v>
      </c>
      <c r="F202" s="256">
        <v>1424900.81</v>
      </c>
      <c r="G202" s="258">
        <v>0</v>
      </c>
      <c r="H202" s="258">
        <v>0</v>
      </c>
      <c r="I202" s="258">
        <v>0</v>
      </c>
      <c r="J202" s="258">
        <v>0</v>
      </c>
      <c r="K202" s="296"/>
      <c r="L202" s="289" t="s">
        <v>180</v>
      </c>
      <c r="M202" s="296"/>
      <c r="N202" s="257"/>
      <c r="O202" s="279">
        <v>0</v>
      </c>
      <c r="P202" s="279"/>
      <c r="Q202" s="279"/>
      <c r="R202" s="279"/>
      <c r="S202" s="279"/>
      <c r="T202" s="279">
        <v>0</v>
      </c>
      <c r="U202" s="297"/>
    </row>
    <row r="203" spans="1:21" x14ac:dyDescent="0.2">
      <c r="A203" s="295" t="s">
        <v>254</v>
      </c>
      <c r="B203" s="255" t="s">
        <v>87</v>
      </c>
      <c r="C203" s="320" t="s">
        <v>81</v>
      </c>
      <c r="D203" s="289" t="s">
        <v>88</v>
      </c>
      <c r="E203" s="248" t="s">
        <v>89</v>
      </c>
      <c r="F203" s="256">
        <v>1424900.81</v>
      </c>
      <c r="G203" s="258">
        <v>0</v>
      </c>
      <c r="H203" s="258">
        <v>0</v>
      </c>
      <c r="I203" s="258">
        <v>0</v>
      </c>
      <c r="J203" s="258">
        <v>0</v>
      </c>
      <c r="K203" s="296"/>
      <c r="L203" s="289" t="s">
        <v>180</v>
      </c>
      <c r="M203" s="296"/>
      <c r="N203" s="257"/>
      <c r="O203" s="279">
        <v>0</v>
      </c>
      <c r="P203" s="279"/>
      <c r="Q203" s="279"/>
      <c r="R203" s="279"/>
      <c r="S203" s="279"/>
      <c r="T203" s="279">
        <v>0</v>
      </c>
      <c r="U203" s="297"/>
    </row>
    <row r="204" spans="1:21" x14ac:dyDescent="0.2">
      <c r="A204" s="295" t="s">
        <v>254</v>
      </c>
      <c r="B204" s="255" t="s">
        <v>90</v>
      </c>
      <c r="C204" s="320" t="s">
        <v>91</v>
      </c>
      <c r="D204" s="289" t="s">
        <v>91</v>
      </c>
      <c r="E204" s="248" t="s">
        <v>92</v>
      </c>
      <c r="F204" s="256">
        <v>2419609.17</v>
      </c>
      <c r="G204" s="258">
        <v>0</v>
      </c>
      <c r="H204" s="258">
        <v>0</v>
      </c>
      <c r="I204" s="258">
        <v>0</v>
      </c>
      <c r="J204" s="258">
        <v>0</v>
      </c>
      <c r="K204" s="296"/>
      <c r="L204" s="289" t="s">
        <v>180</v>
      </c>
      <c r="M204" s="296"/>
      <c r="N204" s="257"/>
      <c r="O204" s="279">
        <v>0</v>
      </c>
      <c r="P204" s="279"/>
      <c r="Q204" s="279"/>
      <c r="R204" s="279"/>
      <c r="S204" s="279"/>
      <c r="T204" s="279">
        <v>0</v>
      </c>
      <c r="U204" s="297"/>
    </row>
    <row r="205" spans="1:21" x14ac:dyDescent="0.2">
      <c r="A205" s="295" t="s">
        <v>254</v>
      </c>
      <c r="B205" s="255" t="s">
        <v>177</v>
      </c>
      <c r="C205" s="320" t="s">
        <v>81</v>
      </c>
      <c r="D205" s="289" t="s">
        <v>213</v>
      </c>
      <c r="E205" s="248" t="s">
        <v>214</v>
      </c>
      <c r="F205" s="256">
        <v>589318.31999999995</v>
      </c>
      <c r="G205" s="256">
        <v>487040.18</v>
      </c>
      <c r="H205" s="256">
        <v>379891.95</v>
      </c>
      <c r="I205" s="256">
        <v>282602.45</v>
      </c>
      <c r="J205" s="256">
        <v>214296.48</v>
      </c>
      <c r="K205" s="296"/>
      <c r="L205" s="289" t="s">
        <v>180</v>
      </c>
      <c r="M205" s="296"/>
      <c r="N205" s="257"/>
      <c r="O205" s="279">
        <v>0</v>
      </c>
      <c r="P205" s="279"/>
      <c r="Q205" s="279"/>
      <c r="R205" s="279"/>
      <c r="S205" s="279"/>
      <c r="T205" s="279">
        <v>0</v>
      </c>
      <c r="U205" s="297"/>
    </row>
    <row r="206" spans="1:21" x14ac:dyDescent="0.2">
      <c r="A206" s="295" t="s">
        <v>254</v>
      </c>
      <c r="B206" s="255" t="s">
        <v>87</v>
      </c>
      <c r="C206" s="320" t="s">
        <v>81</v>
      </c>
      <c r="D206" s="289" t="s">
        <v>255</v>
      </c>
      <c r="E206" s="248" t="s">
        <v>256</v>
      </c>
      <c r="F206" s="256">
        <v>1556000</v>
      </c>
      <c r="G206" s="258">
        <v>0</v>
      </c>
      <c r="H206" s="258">
        <v>0</v>
      </c>
      <c r="I206" s="258">
        <v>0</v>
      </c>
      <c r="J206" s="258">
        <v>0</v>
      </c>
      <c r="K206" s="296"/>
      <c r="L206" s="289" t="s">
        <v>180</v>
      </c>
      <c r="M206" s="296"/>
      <c r="N206" s="257"/>
      <c r="O206" s="279">
        <v>0</v>
      </c>
      <c r="P206" s="279"/>
      <c r="Q206" s="279"/>
      <c r="R206" s="279"/>
      <c r="S206" s="279"/>
      <c r="T206" s="279">
        <v>0</v>
      </c>
      <c r="U206" s="297"/>
    </row>
    <row r="207" spans="1:21" s="279" customFormat="1" x14ac:dyDescent="0.2">
      <c r="A207" s="295" t="s">
        <v>254</v>
      </c>
      <c r="B207" s="255" t="s">
        <v>30</v>
      </c>
      <c r="C207" s="320" t="s">
        <v>93</v>
      </c>
      <c r="D207" s="321" t="s">
        <v>48</v>
      </c>
      <c r="E207" s="248" t="s">
        <v>94</v>
      </c>
      <c r="F207" s="256">
        <v>3030113.23</v>
      </c>
      <c r="G207" s="258">
        <v>0</v>
      </c>
      <c r="H207" s="258">
        <v>0</v>
      </c>
      <c r="I207" s="258">
        <v>0</v>
      </c>
      <c r="J207" s="258">
        <v>0</v>
      </c>
      <c r="K207" s="296"/>
      <c r="L207" s="289" t="s">
        <v>180</v>
      </c>
      <c r="M207" s="296"/>
      <c r="N207" s="257"/>
      <c r="O207" s="279">
        <v>0</v>
      </c>
      <c r="T207" s="279">
        <v>0</v>
      </c>
      <c r="U207" s="297"/>
    </row>
    <row r="208" spans="1:21" x14ac:dyDescent="0.2">
      <c r="A208" s="295" t="s">
        <v>254</v>
      </c>
      <c r="B208" s="255" t="s">
        <v>73</v>
      </c>
      <c r="C208" s="320" t="s">
        <v>81</v>
      </c>
      <c r="D208" s="321" t="s">
        <v>251</v>
      </c>
      <c r="E208" s="248" t="s">
        <v>252</v>
      </c>
      <c r="F208" s="256">
        <v>1457281</v>
      </c>
      <c r="G208" s="258">
        <v>0</v>
      </c>
      <c r="H208" s="258">
        <v>0</v>
      </c>
      <c r="I208" s="258">
        <v>0</v>
      </c>
      <c r="J208" s="258">
        <v>0</v>
      </c>
      <c r="K208" s="296"/>
      <c r="L208" s="289" t="s">
        <v>180</v>
      </c>
      <c r="M208" s="296"/>
      <c r="N208" s="257"/>
      <c r="O208" s="279">
        <v>0</v>
      </c>
      <c r="P208" s="279"/>
      <c r="Q208" s="279"/>
      <c r="R208" s="279"/>
      <c r="S208" s="279"/>
      <c r="T208" s="279">
        <v>0</v>
      </c>
      <c r="U208" s="297"/>
    </row>
    <row r="209" spans="1:21" x14ac:dyDescent="0.2">
      <c r="A209" s="295" t="s">
        <v>254</v>
      </c>
      <c r="B209" s="255" t="s">
        <v>54</v>
      </c>
      <c r="C209" s="320" t="s">
        <v>55</v>
      </c>
      <c r="D209" s="289" t="s">
        <v>243</v>
      </c>
      <c r="E209" s="248" t="s">
        <v>244</v>
      </c>
      <c r="F209" s="256">
        <v>1461848.46</v>
      </c>
      <c r="G209" s="258">
        <v>0</v>
      </c>
      <c r="H209" s="258">
        <v>0</v>
      </c>
      <c r="I209" s="258">
        <v>0</v>
      </c>
      <c r="J209" s="258">
        <v>0</v>
      </c>
      <c r="K209" s="296"/>
      <c r="L209" s="289" t="s">
        <v>180</v>
      </c>
      <c r="M209" s="296"/>
      <c r="N209" s="257"/>
      <c r="O209" s="279">
        <v>0</v>
      </c>
      <c r="P209" s="279"/>
      <c r="Q209" s="279"/>
      <c r="R209" s="279"/>
      <c r="S209" s="279"/>
      <c r="T209" s="279">
        <v>0</v>
      </c>
      <c r="U209" s="297"/>
    </row>
    <row r="210" spans="1:21" x14ac:dyDescent="0.2">
      <c r="A210" s="295" t="s">
        <v>254</v>
      </c>
      <c r="B210" s="255" t="s">
        <v>70</v>
      </c>
      <c r="C210" s="320" t="s">
        <v>95</v>
      </c>
      <c r="D210" s="321" t="s">
        <v>96</v>
      </c>
      <c r="E210" s="248" t="s">
        <v>97</v>
      </c>
      <c r="F210" s="256">
        <v>2408198</v>
      </c>
      <c r="G210" s="258">
        <v>0</v>
      </c>
      <c r="H210" s="258">
        <v>0</v>
      </c>
      <c r="I210" s="258">
        <v>0</v>
      </c>
      <c r="J210" s="258">
        <v>0</v>
      </c>
      <c r="K210" s="296"/>
      <c r="L210" s="289" t="s">
        <v>180</v>
      </c>
      <c r="M210" s="296"/>
      <c r="N210" s="257"/>
      <c r="O210" s="279">
        <v>0</v>
      </c>
      <c r="P210" s="279"/>
      <c r="Q210" s="279"/>
      <c r="R210" s="279"/>
      <c r="S210" s="279"/>
      <c r="T210" s="279">
        <v>0</v>
      </c>
      <c r="U210" s="297"/>
    </row>
    <row r="211" spans="1:21" x14ac:dyDescent="0.2">
      <c r="A211" s="295" t="s">
        <v>254</v>
      </c>
      <c r="B211" s="255" t="s">
        <v>177</v>
      </c>
      <c r="C211" s="320" t="s">
        <v>81</v>
      </c>
      <c r="D211" s="289" t="s">
        <v>215</v>
      </c>
      <c r="E211" s="248" t="s">
        <v>216</v>
      </c>
      <c r="F211" s="256">
        <v>589318.31999999995</v>
      </c>
      <c r="G211" s="256">
        <v>487040.18</v>
      </c>
      <c r="H211" s="256">
        <v>379891.95</v>
      </c>
      <c r="I211" s="256">
        <v>282602.45</v>
      </c>
      <c r="J211" s="256">
        <v>214296.48</v>
      </c>
      <c r="K211" s="296"/>
      <c r="L211" s="289" t="s">
        <v>180</v>
      </c>
      <c r="M211" s="296"/>
      <c r="N211" s="257"/>
      <c r="O211" s="279">
        <v>0</v>
      </c>
      <c r="P211" s="279"/>
      <c r="Q211" s="279"/>
      <c r="R211" s="279"/>
      <c r="S211" s="279"/>
      <c r="T211" s="279">
        <v>0</v>
      </c>
      <c r="U211" s="297"/>
    </row>
    <row r="212" spans="1:21" x14ac:dyDescent="0.2">
      <c r="A212" s="295" t="s">
        <v>254</v>
      </c>
      <c r="B212" s="255" t="s">
        <v>70</v>
      </c>
      <c r="C212" s="320" t="s">
        <v>104</v>
      </c>
      <c r="D212" s="321" t="s">
        <v>105</v>
      </c>
      <c r="E212" s="248" t="s">
        <v>106</v>
      </c>
      <c r="F212" s="256">
        <v>2332182.37</v>
      </c>
      <c r="G212" s="258">
        <v>0</v>
      </c>
      <c r="H212" s="258">
        <v>0</v>
      </c>
      <c r="I212" s="258">
        <v>0</v>
      </c>
      <c r="J212" s="258">
        <v>0</v>
      </c>
      <c r="K212" s="296"/>
      <c r="L212" s="289" t="s">
        <v>180</v>
      </c>
      <c r="M212" s="296"/>
      <c r="N212" s="257"/>
      <c r="O212" s="279">
        <v>0</v>
      </c>
      <c r="P212" s="279"/>
      <c r="Q212" s="279"/>
      <c r="R212" s="279"/>
      <c r="S212" s="279"/>
      <c r="T212" s="279">
        <v>0</v>
      </c>
      <c r="U212" s="297"/>
    </row>
    <row r="213" spans="1:21" x14ac:dyDescent="0.2">
      <c r="A213" s="295" t="s">
        <v>254</v>
      </c>
      <c r="B213" s="255" t="s">
        <v>70</v>
      </c>
      <c r="C213" s="320" t="s">
        <v>95</v>
      </c>
      <c r="D213" s="289" t="s">
        <v>117</v>
      </c>
      <c r="E213" s="248" t="s">
        <v>118</v>
      </c>
      <c r="F213" s="256">
        <v>2408405.62</v>
      </c>
      <c r="G213" s="258">
        <v>0</v>
      </c>
      <c r="H213" s="258">
        <v>0</v>
      </c>
      <c r="I213" s="258">
        <v>0</v>
      </c>
      <c r="J213" s="258">
        <v>0</v>
      </c>
      <c r="K213" s="296"/>
      <c r="L213" s="289" t="s">
        <v>180</v>
      </c>
      <c r="M213" s="296"/>
      <c r="N213" s="257"/>
      <c r="O213" s="279">
        <v>0</v>
      </c>
      <c r="P213" s="279"/>
      <c r="Q213" s="279"/>
      <c r="R213" s="279"/>
      <c r="S213" s="279"/>
      <c r="T213" s="279">
        <v>0</v>
      </c>
      <c r="U213" s="297"/>
    </row>
    <row r="214" spans="1:21" x14ac:dyDescent="0.2">
      <c r="A214" s="295" t="s">
        <v>254</v>
      </c>
      <c r="B214" s="255" t="s">
        <v>58</v>
      </c>
      <c r="C214" s="320" t="s">
        <v>59</v>
      </c>
      <c r="D214" s="321" t="s">
        <v>119</v>
      </c>
      <c r="E214" s="248" t="s">
        <v>120</v>
      </c>
      <c r="F214" s="256">
        <v>1540261.69</v>
      </c>
      <c r="G214" s="258">
        <v>0</v>
      </c>
      <c r="H214" s="258">
        <v>0</v>
      </c>
      <c r="I214" s="258">
        <v>0</v>
      </c>
      <c r="J214" s="258">
        <v>0</v>
      </c>
      <c r="K214" s="296"/>
      <c r="L214" s="289" t="s">
        <v>180</v>
      </c>
      <c r="M214" s="296"/>
      <c r="N214" s="257"/>
      <c r="O214" s="279">
        <v>0</v>
      </c>
      <c r="P214" s="279"/>
      <c r="Q214" s="279"/>
      <c r="R214" s="279"/>
      <c r="S214" s="279"/>
      <c r="T214" s="279">
        <v>414.71</v>
      </c>
      <c r="U214" s="297"/>
    </row>
    <row r="215" spans="1:21" x14ac:dyDescent="0.2">
      <c r="A215" s="295" t="s">
        <v>254</v>
      </c>
      <c r="B215" s="255" t="s">
        <v>38</v>
      </c>
      <c r="C215" s="320" t="s">
        <v>39</v>
      </c>
      <c r="D215" s="289" t="s">
        <v>128</v>
      </c>
      <c r="E215" s="248" t="s">
        <v>129</v>
      </c>
      <c r="F215" s="256">
        <v>1008170.87</v>
      </c>
      <c r="G215" s="258">
        <v>0</v>
      </c>
      <c r="H215" s="258">
        <v>0</v>
      </c>
      <c r="I215" s="258">
        <v>0</v>
      </c>
      <c r="J215" s="258">
        <v>0</v>
      </c>
      <c r="K215" s="296"/>
      <c r="L215" s="289" t="s">
        <v>180</v>
      </c>
      <c r="M215" s="296"/>
      <c r="N215" s="257"/>
      <c r="O215" s="279">
        <v>0</v>
      </c>
      <c r="P215" s="279"/>
      <c r="Q215" s="279"/>
      <c r="R215" s="279"/>
      <c r="S215" s="279"/>
      <c r="T215" s="279">
        <v>0</v>
      </c>
      <c r="U215" s="297"/>
    </row>
    <row r="216" spans="1:21" x14ac:dyDescent="0.2">
      <c r="A216" s="292" t="s">
        <v>254</v>
      </c>
      <c r="B216" s="252" t="s">
        <v>38</v>
      </c>
      <c r="C216" s="316" t="s">
        <v>39</v>
      </c>
      <c r="D216" s="317" t="s">
        <v>411</v>
      </c>
      <c r="E216" s="318" t="s">
        <v>771</v>
      </c>
      <c r="F216" s="254">
        <v>1387000</v>
      </c>
      <c r="G216" s="254">
        <v>0</v>
      </c>
      <c r="H216" s="254">
        <v>0</v>
      </c>
      <c r="I216" s="254">
        <v>0</v>
      </c>
      <c r="J216" s="254">
        <v>0</v>
      </c>
      <c r="K216" s="293"/>
      <c r="L216" s="289" t="s">
        <v>180</v>
      </c>
      <c r="M216" s="294"/>
      <c r="N216" s="253"/>
      <c r="O216" s="279">
        <v>0</v>
      </c>
      <c r="P216" s="279"/>
      <c r="Q216" s="279"/>
      <c r="R216" s="279"/>
      <c r="S216" s="279"/>
      <c r="T216" s="279">
        <v>0</v>
      </c>
      <c r="U216" s="291"/>
    </row>
    <row r="217" spans="1:21" x14ac:dyDescent="0.2">
      <c r="A217" s="295" t="s">
        <v>254</v>
      </c>
      <c r="B217" s="255" t="s">
        <v>42</v>
      </c>
      <c r="C217" s="320" t="s">
        <v>130</v>
      </c>
      <c r="D217" s="289" t="s">
        <v>130</v>
      </c>
      <c r="E217" s="248" t="s">
        <v>131</v>
      </c>
      <c r="F217" s="256">
        <v>3371769.26</v>
      </c>
      <c r="G217" s="258">
        <v>0</v>
      </c>
      <c r="H217" s="258">
        <v>0</v>
      </c>
      <c r="I217" s="258">
        <v>0</v>
      </c>
      <c r="J217" s="258">
        <v>0</v>
      </c>
      <c r="K217" s="296"/>
      <c r="L217" s="289" t="s">
        <v>180</v>
      </c>
      <c r="M217" s="296"/>
      <c r="N217" s="257"/>
      <c r="O217" s="279">
        <v>0</v>
      </c>
      <c r="P217" s="279"/>
      <c r="Q217" s="279"/>
      <c r="R217" s="279"/>
      <c r="S217" s="279"/>
      <c r="T217" s="279">
        <v>0</v>
      </c>
      <c r="U217" s="297"/>
    </row>
    <row r="218" spans="1:21" x14ac:dyDescent="0.2">
      <c r="A218" s="295" t="s">
        <v>254</v>
      </c>
      <c r="B218" s="255" t="s">
        <v>30</v>
      </c>
      <c r="C218" s="320" t="s">
        <v>45</v>
      </c>
      <c r="D218" s="321" t="s">
        <v>132</v>
      </c>
      <c r="E218" s="248" t="s">
        <v>133</v>
      </c>
      <c r="F218" s="256">
        <v>5063254.51</v>
      </c>
      <c r="G218" s="258">
        <v>0</v>
      </c>
      <c r="H218" s="258">
        <v>0</v>
      </c>
      <c r="I218" s="258">
        <v>0</v>
      </c>
      <c r="J218" s="258">
        <v>0</v>
      </c>
      <c r="K218" s="296"/>
      <c r="L218" s="289" t="s">
        <v>180</v>
      </c>
      <c r="M218" s="296"/>
      <c r="N218" s="257"/>
      <c r="O218" s="279">
        <v>0</v>
      </c>
      <c r="P218" s="279"/>
      <c r="Q218" s="279"/>
      <c r="R218" s="279"/>
      <c r="S218" s="279"/>
      <c r="T218" s="279">
        <v>0</v>
      </c>
      <c r="U218" s="297"/>
    </row>
    <row r="219" spans="1:21" x14ac:dyDescent="0.2">
      <c r="A219" s="295" t="s">
        <v>254</v>
      </c>
      <c r="B219" s="255" t="s">
        <v>90</v>
      </c>
      <c r="C219" s="320" t="s">
        <v>91</v>
      </c>
      <c r="D219" s="289" t="s">
        <v>239</v>
      </c>
      <c r="E219" s="248" t="s">
        <v>240</v>
      </c>
      <c r="F219" s="256">
        <v>2419609.17</v>
      </c>
      <c r="G219" s="258">
        <v>0</v>
      </c>
      <c r="H219" s="258">
        <v>0</v>
      </c>
      <c r="I219" s="258">
        <v>0</v>
      </c>
      <c r="J219" s="258">
        <v>0</v>
      </c>
      <c r="K219" s="296"/>
      <c r="L219" s="289" t="s">
        <v>180</v>
      </c>
      <c r="M219" s="296"/>
      <c r="N219" s="257"/>
      <c r="O219" s="279">
        <v>0</v>
      </c>
      <c r="P219" s="279"/>
      <c r="Q219" s="279"/>
      <c r="R219" s="279"/>
      <c r="S219" s="279"/>
      <c r="T219" s="279">
        <v>0</v>
      </c>
      <c r="U219" s="297"/>
    </row>
    <row r="220" spans="1:21" x14ac:dyDescent="0.2">
      <c r="A220" s="305" t="s">
        <v>254</v>
      </c>
      <c r="B220" s="260" t="s">
        <v>90</v>
      </c>
      <c r="C220" s="322" t="s">
        <v>138</v>
      </c>
      <c r="D220" s="323" t="s">
        <v>139</v>
      </c>
      <c r="E220" s="248" t="s">
        <v>140</v>
      </c>
      <c r="F220" s="267">
        <v>2269000</v>
      </c>
      <c r="G220" s="268">
        <v>0</v>
      </c>
      <c r="H220" s="268">
        <v>0</v>
      </c>
      <c r="I220" s="268">
        <v>0</v>
      </c>
      <c r="J220" s="268">
        <v>0</v>
      </c>
      <c r="K220" s="306"/>
      <c r="L220" s="307" t="s">
        <v>180</v>
      </c>
      <c r="M220" s="306"/>
      <c r="N220" s="269"/>
      <c r="O220" s="279">
        <v>0</v>
      </c>
      <c r="P220" s="279"/>
      <c r="Q220" s="279"/>
      <c r="R220" s="279"/>
      <c r="S220" s="279"/>
      <c r="T220" s="279">
        <v>0</v>
      </c>
      <c r="U220" s="308"/>
    </row>
    <row r="221" spans="1:21" x14ac:dyDescent="0.2">
      <c r="A221" s="305" t="s">
        <v>254</v>
      </c>
      <c r="B221" s="260" t="s">
        <v>42</v>
      </c>
      <c r="C221" s="322" t="s">
        <v>143</v>
      </c>
      <c r="D221" s="307" t="s">
        <v>144</v>
      </c>
      <c r="E221" s="248" t="s">
        <v>145</v>
      </c>
      <c r="F221" s="267">
        <v>2671653.04</v>
      </c>
      <c r="G221" s="268">
        <v>0</v>
      </c>
      <c r="H221" s="268">
        <v>0</v>
      </c>
      <c r="I221" s="268">
        <v>0</v>
      </c>
      <c r="J221" s="268">
        <v>0</v>
      </c>
      <c r="K221" s="306"/>
      <c r="L221" s="307" t="s">
        <v>180</v>
      </c>
      <c r="M221" s="306"/>
      <c r="N221" s="269"/>
      <c r="O221" s="279">
        <v>0</v>
      </c>
      <c r="P221" s="279"/>
      <c r="Q221" s="279"/>
      <c r="R221" s="279"/>
      <c r="S221" s="279"/>
      <c r="T221" s="279">
        <v>0</v>
      </c>
      <c r="U221" s="308"/>
    </row>
    <row r="222" spans="1:21" x14ac:dyDescent="0.2">
      <c r="A222" s="309" t="s">
        <v>254</v>
      </c>
      <c r="B222" s="272" t="s">
        <v>177</v>
      </c>
      <c r="C222" s="324" t="s">
        <v>81</v>
      </c>
      <c r="D222" s="327" t="s">
        <v>639</v>
      </c>
      <c r="E222" s="318" t="s">
        <v>699</v>
      </c>
      <c r="F222" s="261">
        <v>0</v>
      </c>
      <c r="G222" s="261">
        <v>0</v>
      </c>
      <c r="H222" s="261">
        <v>0</v>
      </c>
      <c r="I222" s="261">
        <v>0</v>
      </c>
      <c r="J222" s="261">
        <v>0</v>
      </c>
      <c r="K222" s="302"/>
      <c r="L222" s="307" t="s">
        <v>180</v>
      </c>
      <c r="M222" s="303"/>
      <c r="N222" s="262"/>
      <c r="O222" s="279">
        <v>0</v>
      </c>
      <c r="P222" s="279"/>
      <c r="Q222" s="279"/>
      <c r="R222" s="279"/>
      <c r="S222" s="279"/>
      <c r="T222" s="279">
        <v>140.01</v>
      </c>
      <c r="U222" s="310"/>
    </row>
    <row r="223" spans="1:21" x14ac:dyDescent="0.2">
      <c r="A223" s="305" t="s">
        <v>254</v>
      </c>
      <c r="B223" s="260" t="s">
        <v>90</v>
      </c>
      <c r="C223" s="322" t="s">
        <v>91</v>
      </c>
      <c r="D223" s="323" t="s">
        <v>146</v>
      </c>
      <c r="E223" s="248" t="s">
        <v>147</v>
      </c>
      <c r="F223" s="267">
        <v>2925448.24</v>
      </c>
      <c r="G223" s="268">
        <v>0</v>
      </c>
      <c r="H223" s="268">
        <v>0</v>
      </c>
      <c r="I223" s="268">
        <v>0</v>
      </c>
      <c r="J223" s="268">
        <v>0</v>
      </c>
      <c r="K223" s="306"/>
      <c r="L223" s="307" t="s">
        <v>180</v>
      </c>
      <c r="M223" s="306"/>
      <c r="N223" s="269"/>
      <c r="O223" s="279">
        <v>0</v>
      </c>
      <c r="P223" s="279"/>
      <c r="Q223" s="279"/>
      <c r="R223" s="279"/>
      <c r="S223" s="279"/>
      <c r="T223" s="279">
        <v>0</v>
      </c>
      <c r="U223" s="308"/>
    </row>
    <row r="224" spans="1:21" x14ac:dyDescent="0.2">
      <c r="A224" s="305" t="s">
        <v>254</v>
      </c>
      <c r="B224" s="260" t="s">
        <v>42</v>
      </c>
      <c r="C224" s="322" t="s">
        <v>148</v>
      </c>
      <c r="D224" s="307" t="s">
        <v>149</v>
      </c>
      <c r="E224" s="248" t="s">
        <v>150</v>
      </c>
      <c r="F224" s="267">
        <v>3511793.89</v>
      </c>
      <c r="G224" s="268">
        <v>0</v>
      </c>
      <c r="H224" s="268">
        <v>0</v>
      </c>
      <c r="I224" s="268">
        <v>0</v>
      </c>
      <c r="J224" s="268">
        <v>0</v>
      </c>
      <c r="K224" s="306"/>
      <c r="L224" s="307" t="s">
        <v>180</v>
      </c>
      <c r="M224" s="306"/>
      <c r="N224" s="269"/>
      <c r="O224" s="279">
        <v>0</v>
      </c>
      <c r="P224" s="279"/>
      <c r="Q224" s="279"/>
      <c r="R224" s="279"/>
      <c r="S224" s="279"/>
      <c r="T224" s="279">
        <v>0</v>
      </c>
      <c r="U224" s="308"/>
    </row>
    <row r="225" spans="1:21" x14ac:dyDescent="0.2">
      <c r="A225" s="305" t="s">
        <v>254</v>
      </c>
      <c r="B225" s="260" t="s">
        <v>38</v>
      </c>
      <c r="C225" s="322" t="s">
        <v>39</v>
      </c>
      <c r="D225" s="307" t="s">
        <v>39</v>
      </c>
      <c r="E225" s="248" t="s">
        <v>151</v>
      </c>
      <c r="F225" s="267">
        <v>1461848.46</v>
      </c>
      <c r="G225" s="268">
        <v>0</v>
      </c>
      <c r="H225" s="268">
        <v>0</v>
      </c>
      <c r="I225" s="268">
        <v>0</v>
      </c>
      <c r="J225" s="268">
        <v>0</v>
      </c>
      <c r="K225" s="306"/>
      <c r="L225" s="307" t="s">
        <v>180</v>
      </c>
      <c r="M225" s="306"/>
      <c r="N225" s="269"/>
      <c r="O225" s="279">
        <v>0</v>
      </c>
      <c r="P225" s="279"/>
      <c r="Q225" s="279"/>
      <c r="R225" s="279"/>
      <c r="S225" s="279"/>
      <c r="T225" s="279">
        <v>0</v>
      </c>
      <c r="U225" s="308"/>
    </row>
    <row r="226" spans="1:21" x14ac:dyDescent="0.2">
      <c r="A226" s="305" t="s">
        <v>254</v>
      </c>
      <c r="B226" s="260" t="s">
        <v>90</v>
      </c>
      <c r="C226" s="322" t="s">
        <v>135</v>
      </c>
      <c r="D226" s="323" t="s">
        <v>241</v>
      </c>
      <c r="E226" s="248" t="s">
        <v>242</v>
      </c>
      <c r="F226" s="267">
        <v>2987361.19</v>
      </c>
      <c r="G226" s="268">
        <v>0</v>
      </c>
      <c r="H226" s="268">
        <v>0</v>
      </c>
      <c r="I226" s="268">
        <v>0</v>
      </c>
      <c r="J226" s="268">
        <v>0</v>
      </c>
      <c r="K226" s="306"/>
      <c r="L226" s="307" t="s">
        <v>180</v>
      </c>
      <c r="M226" s="306"/>
      <c r="N226" s="269"/>
      <c r="O226" s="279">
        <v>0</v>
      </c>
      <c r="P226" s="279"/>
      <c r="Q226" s="279"/>
      <c r="R226" s="279"/>
      <c r="S226" s="279"/>
      <c r="T226" s="279">
        <v>0</v>
      </c>
      <c r="U226" s="308"/>
    </row>
    <row r="227" spans="1:21" x14ac:dyDescent="0.2">
      <c r="A227" s="305" t="s">
        <v>254</v>
      </c>
      <c r="B227" s="260" t="s">
        <v>73</v>
      </c>
      <c r="C227" s="322" t="s">
        <v>74</v>
      </c>
      <c r="D227" s="323" t="s">
        <v>152</v>
      </c>
      <c r="E227" s="248" t="s">
        <v>153</v>
      </c>
      <c r="F227" s="267">
        <v>1837440</v>
      </c>
      <c r="G227" s="268">
        <v>0</v>
      </c>
      <c r="H227" s="268">
        <v>0</v>
      </c>
      <c r="I227" s="268">
        <v>0</v>
      </c>
      <c r="J227" s="268">
        <v>0</v>
      </c>
      <c r="K227" s="306"/>
      <c r="L227" s="307" t="s">
        <v>180</v>
      </c>
      <c r="M227" s="306"/>
      <c r="N227" s="269"/>
      <c r="O227" s="279">
        <v>0</v>
      </c>
      <c r="P227" s="279"/>
      <c r="Q227" s="279"/>
      <c r="R227" s="279"/>
      <c r="S227" s="279"/>
      <c r="T227" s="279">
        <v>0</v>
      </c>
      <c r="U227" s="308"/>
    </row>
    <row r="228" spans="1:21" x14ac:dyDescent="0.2">
      <c r="A228" s="305" t="s">
        <v>254</v>
      </c>
      <c r="B228" s="260" t="s">
        <v>73</v>
      </c>
      <c r="C228" s="322" t="s">
        <v>81</v>
      </c>
      <c r="D228" s="323" t="s">
        <v>158</v>
      </c>
      <c r="E228" s="248" t="s">
        <v>159</v>
      </c>
      <c r="F228" s="267">
        <v>1116654.05</v>
      </c>
      <c r="G228" s="268">
        <v>0</v>
      </c>
      <c r="H228" s="268">
        <v>0</v>
      </c>
      <c r="I228" s="268">
        <v>0</v>
      </c>
      <c r="J228" s="268">
        <v>0</v>
      </c>
      <c r="K228" s="306"/>
      <c r="L228" s="307" t="s">
        <v>180</v>
      </c>
      <c r="M228" s="306"/>
      <c r="N228" s="269"/>
      <c r="O228" s="279">
        <v>0</v>
      </c>
      <c r="P228" s="279"/>
      <c r="Q228" s="279"/>
      <c r="R228" s="279"/>
      <c r="S228" s="279"/>
      <c r="T228" s="279">
        <v>0</v>
      </c>
      <c r="U228" s="308"/>
    </row>
    <row r="229" spans="1:21" x14ac:dyDescent="0.2">
      <c r="A229" s="305" t="s">
        <v>254</v>
      </c>
      <c r="B229" s="260" t="s">
        <v>34</v>
      </c>
      <c r="C229" s="322" t="s">
        <v>51</v>
      </c>
      <c r="D229" s="307" t="s">
        <v>160</v>
      </c>
      <c r="E229" s="248" t="s">
        <v>161</v>
      </c>
      <c r="F229" s="267">
        <v>5223000</v>
      </c>
      <c r="G229" s="268">
        <v>0</v>
      </c>
      <c r="H229" s="268">
        <v>0</v>
      </c>
      <c r="I229" s="268">
        <v>0</v>
      </c>
      <c r="J229" s="268">
        <v>0</v>
      </c>
      <c r="K229" s="306"/>
      <c r="L229" s="307" t="s">
        <v>180</v>
      </c>
      <c r="M229" s="306"/>
      <c r="N229" s="269"/>
      <c r="O229" s="279">
        <v>0</v>
      </c>
      <c r="P229" s="279"/>
      <c r="Q229" s="279"/>
      <c r="R229" s="279"/>
      <c r="S229" s="279"/>
      <c r="T229" s="279">
        <v>0</v>
      </c>
      <c r="U229" s="308"/>
    </row>
    <row r="230" spans="1:21" x14ac:dyDescent="0.2">
      <c r="A230" s="305" t="s">
        <v>254</v>
      </c>
      <c r="B230" s="260" t="s">
        <v>58</v>
      </c>
      <c r="C230" s="322" t="s">
        <v>59</v>
      </c>
      <c r="D230" s="323" t="s">
        <v>168</v>
      </c>
      <c r="E230" s="248" t="s">
        <v>169</v>
      </c>
      <c r="F230" s="267">
        <v>1439445.99</v>
      </c>
      <c r="G230" s="268">
        <v>0</v>
      </c>
      <c r="H230" s="268">
        <v>0</v>
      </c>
      <c r="I230" s="268">
        <v>0</v>
      </c>
      <c r="J230" s="268">
        <v>0</v>
      </c>
      <c r="K230" s="306"/>
      <c r="L230" s="307" t="s">
        <v>180</v>
      </c>
      <c r="M230" s="306"/>
      <c r="N230" s="269"/>
      <c r="O230" s="279">
        <v>0</v>
      </c>
      <c r="P230" s="279"/>
      <c r="Q230" s="279"/>
      <c r="R230" s="279"/>
      <c r="S230" s="279"/>
      <c r="T230" s="279">
        <v>414.71</v>
      </c>
      <c r="U230" s="308"/>
    </row>
    <row r="231" spans="1:21" x14ac:dyDescent="0.2">
      <c r="A231" s="305" t="s">
        <v>254</v>
      </c>
      <c r="B231" s="260" t="s">
        <v>177</v>
      </c>
      <c r="C231" s="322" t="s">
        <v>81</v>
      </c>
      <c r="D231" s="323" t="s">
        <v>217</v>
      </c>
      <c r="E231" s="248" t="s">
        <v>218</v>
      </c>
      <c r="F231" s="267">
        <v>589318.31999999995</v>
      </c>
      <c r="G231" s="267">
        <v>487040.18</v>
      </c>
      <c r="H231" s="267">
        <v>379891.95</v>
      </c>
      <c r="I231" s="267">
        <v>282602.45</v>
      </c>
      <c r="J231" s="267">
        <v>214296.48</v>
      </c>
      <c r="K231" s="306"/>
      <c r="L231" s="307" t="s">
        <v>180</v>
      </c>
      <c r="M231" s="306"/>
      <c r="N231" s="269"/>
      <c r="O231" s="279">
        <v>0</v>
      </c>
      <c r="P231" s="279"/>
      <c r="Q231" s="279"/>
      <c r="R231" s="279"/>
      <c r="S231" s="279"/>
      <c r="T231" s="279">
        <v>0</v>
      </c>
      <c r="U231" s="308"/>
    </row>
    <row r="232" spans="1:21" x14ac:dyDescent="0.2">
      <c r="A232" s="305" t="s">
        <v>254</v>
      </c>
      <c r="B232" s="260" t="s">
        <v>177</v>
      </c>
      <c r="C232" s="322" t="s">
        <v>81</v>
      </c>
      <c r="D232" s="323" t="s">
        <v>219</v>
      </c>
      <c r="E232" s="248" t="s">
        <v>220</v>
      </c>
      <c r="F232" s="267">
        <v>535743.19999999995</v>
      </c>
      <c r="G232" s="267">
        <v>438335.16</v>
      </c>
      <c r="H232" s="267">
        <v>340927.12</v>
      </c>
      <c r="I232" s="267">
        <v>253261.3</v>
      </c>
      <c r="J232" s="267">
        <v>194816.07</v>
      </c>
      <c r="K232" s="306"/>
      <c r="L232" s="307" t="s">
        <v>180</v>
      </c>
      <c r="M232" s="306"/>
      <c r="N232" s="269"/>
      <c r="O232" s="279">
        <v>0</v>
      </c>
      <c r="P232" s="279"/>
      <c r="Q232" s="279"/>
      <c r="R232" s="279"/>
      <c r="S232" s="279"/>
      <c r="T232" s="279">
        <v>0</v>
      </c>
      <c r="U232" s="308"/>
    </row>
    <row r="233" spans="1:21" x14ac:dyDescent="0.2">
      <c r="A233" s="305" t="s">
        <v>254</v>
      </c>
      <c r="B233" s="260" t="s">
        <v>177</v>
      </c>
      <c r="C233" s="322" t="s">
        <v>81</v>
      </c>
      <c r="D233" s="323" t="s">
        <v>178</v>
      </c>
      <c r="E233" s="248" t="s">
        <v>179</v>
      </c>
      <c r="F233" s="267">
        <v>535743.19999999995</v>
      </c>
      <c r="G233" s="267">
        <v>438335.16</v>
      </c>
      <c r="H233" s="267">
        <v>340927.12</v>
      </c>
      <c r="I233" s="267">
        <v>253261.3</v>
      </c>
      <c r="J233" s="267">
        <v>194816.07</v>
      </c>
      <c r="K233" s="306"/>
      <c r="L233" s="307" t="s">
        <v>180</v>
      </c>
      <c r="M233" s="306"/>
      <c r="N233" s="269"/>
      <c r="O233" s="279">
        <v>0</v>
      </c>
      <c r="P233" s="279"/>
      <c r="Q233" s="279"/>
      <c r="R233" s="279"/>
      <c r="S233" s="279"/>
      <c r="T233" s="279">
        <v>0</v>
      </c>
      <c r="U233" s="308"/>
    </row>
    <row r="234" spans="1:21" x14ac:dyDescent="0.2">
      <c r="A234" s="305" t="s">
        <v>254</v>
      </c>
      <c r="B234" s="260" t="s">
        <v>177</v>
      </c>
      <c r="C234" s="322" t="s">
        <v>81</v>
      </c>
      <c r="D234" s="307" t="s">
        <v>221</v>
      </c>
      <c r="E234" s="248" t="s">
        <v>222</v>
      </c>
      <c r="F234" s="267">
        <v>535743.19999999995</v>
      </c>
      <c r="G234" s="267">
        <v>438335.16</v>
      </c>
      <c r="H234" s="267">
        <v>340927.12</v>
      </c>
      <c r="I234" s="267">
        <v>253261.3</v>
      </c>
      <c r="J234" s="267">
        <v>194816.07</v>
      </c>
      <c r="K234" s="306"/>
      <c r="L234" s="307" t="s">
        <v>180</v>
      </c>
      <c r="M234" s="306"/>
      <c r="N234" s="269"/>
      <c r="O234" s="279">
        <v>0</v>
      </c>
      <c r="P234" s="279"/>
      <c r="Q234" s="279"/>
      <c r="R234" s="279"/>
      <c r="S234" s="279"/>
      <c r="T234" s="279">
        <v>0</v>
      </c>
      <c r="U234" s="308"/>
    </row>
    <row r="235" spans="1:21" x14ac:dyDescent="0.2">
      <c r="A235" s="292" t="s">
        <v>259</v>
      </c>
      <c r="B235" s="252" t="s">
        <v>177</v>
      </c>
      <c r="C235" s="316" t="s">
        <v>81</v>
      </c>
      <c r="D235" s="317" t="s">
        <v>830</v>
      </c>
      <c r="E235" s="248" t="s">
        <v>786</v>
      </c>
      <c r="F235" s="249">
        <v>609618.9</v>
      </c>
      <c r="G235" s="250">
        <v>396080.44</v>
      </c>
      <c r="H235" s="250">
        <v>346570.55</v>
      </c>
      <c r="I235" s="250">
        <v>316864.7</v>
      </c>
      <c r="J235" s="249">
        <v>232482.3</v>
      </c>
      <c r="K235" s="293"/>
      <c r="L235" s="307" t="s">
        <v>180</v>
      </c>
      <c r="M235" s="294"/>
      <c r="N235" s="253"/>
      <c r="O235" s="279">
        <v>0</v>
      </c>
      <c r="P235" s="279"/>
      <c r="Q235" s="279"/>
      <c r="R235" s="279"/>
      <c r="S235" s="279"/>
      <c r="T235" s="279">
        <v>0</v>
      </c>
      <c r="U235" s="291"/>
    </row>
    <row r="236" spans="1:21" x14ac:dyDescent="0.2">
      <c r="A236" s="309" t="s">
        <v>259</v>
      </c>
      <c r="B236" s="272" t="s">
        <v>177</v>
      </c>
      <c r="C236" s="324" t="s">
        <v>81</v>
      </c>
      <c r="D236" s="327" t="s">
        <v>830</v>
      </c>
      <c r="E236" s="248" t="s">
        <v>788</v>
      </c>
      <c r="F236" s="270">
        <v>609618.9</v>
      </c>
      <c r="G236" s="271">
        <v>396080.44</v>
      </c>
      <c r="H236" s="271">
        <v>346570.55</v>
      </c>
      <c r="I236" s="271">
        <v>316864.7</v>
      </c>
      <c r="J236" s="270">
        <v>232482.3</v>
      </c>
      <c r="K236" s="302"/>
      <c r="L236" s="307" t="s">
        <v>180</v>
      </c>
      <c r="M236" s="303"/>
      <c r="N236" s="262"/>
      <c r="O236" s="279">
        <v>0</v>
      </c>
      <c r="P236" s="279"/>
      <c r="Q236" s="279"/>
      <c r="R236" s="279"/>
      <c r="S236" s="279"/>
      <c r="T236" s="279">
        <v>0</v>
      </c>
      <c r="U236" s="310"/>
    </row>
    <row r="237" spans="1:21" x14ac:dyDescent="0.2">
      <c r="A237" s="305" t="s">
        <v>259</v>
      </c>
      <c r="B237" s="260" t="s">
        <v>177</v>
      </c>
      <c r="C237" s="322" t="s">
        <v>81</v>
      </c>
      <c r="D237" s="323" t="s">
        <v>211</v>
      </c>
      <c r="E237" s="248" t="s">
        <v>212</v>
      </c>
      <c r="F237" s="270">
        <v>863627.27</v>
      </c>
      <c r="G237" s="271">
        <v>548913.68000000005</v>
      </c>
      <c r="H237" s="271">
        <v>512148.76</v>
      </c>
      <c r="I237" s="271">
        <v>463586.06</v>
      </c>
      <c r="J237" s="270">
        <v>387469.79</v>
      </c>
      <c r="K237" s="306"/>
      <c r="L237" s="307" t="s">
        <v>180</v>
      </c>
      <c r="M237" s="306"/>
      <c r="N237" s="269"/>
      <c r="O237" s="279">
        <v>0</v>
      </c>
      <c r="P237" s="279"/>
      <c r="Q237" s="279"/>
      <c r="R237" s="279"/>
      <c r="S237" s="279"/>
      <c r="T237" s="279">
        <v>0</v>
      </c>
      <c r="U237" s="308"/>
    </row>
    <row r="238" spans="1:21" x14ac:dyDescent="0.2">
      <c r="A238" s="311" t="s">
        <v>259</v>
      </c>
      <c r="B238" s="273" t="s">
        <v>177</v>
      </c>
      <c r="C238" s="328" t="s">
        <v>81</v>
      </c>
      <c r="D238" s="329" t="s">
        <v>182</v>
      </c>
      <c r="E238" s="277" t="s">
        <v>183</v>
      </c>
      <c r="F238" s="274">
        <v>609618.9</v>
      </c>
      <c r="G238" s="275">
        <v>396080.44</v>
      </c>
      <c r="H238" s="275">
        <v>346570.55</v>
      </c>
      <c r="I238" s="275">
        <v>316864.7</v>
      </c>
      <c r="J238" s="274">
        <v>232482.3</v>
      </c>
      <c r="K238" s="306"/>
      <c r="L238" s="307" t="s">
        <v>180</v>
      </c>
      <c r="M238" s="303"/>
      <c r="N238" s="262"/>
      <c r="O238" s="279">
        <v>0</v>
      </c>
      <c r="P238" s="279"/>
      <c r="Q238" s="279"/>
      <c r="R238" s="279"/>
      <c r="S238" s="279"/>
      <c r="T238" s="279">
        <v>0</v>
      </c>
      <c r="U238" s="310"/>
    </row>
    <row r="239" spans="1:21" x14ac:dyDescent="0.2">
      <c r="A239" s="305" t="s">
        <v>259</v>
      </c>
      <c r="B239" s="260" t="s">
        <v>177</v>
      </c>
      <c r="C239" s="322" t="s">
        <v>81</v>
      </c>
      <c r="D239" s="307" t="s">
        <v>213</v>
      </c>
      <c r="E239" s="276" t="s">
        <v>214</v>
      </c>
      <c r="F239" s="270">
        <v>863627.27</v>
      </c>
      <c r="G239" s="271">
        <v>548913.68000000005</v>
      </c>
      <c r="H239" s="271">
        <v>512148.76</v>
      </c>
      <c r="I239" s="271">
        <v>463586.06</v>
      </c>
      <c r="J239" s="270">
        <v>387469.79</v>
      </c>
      <c r="K239" s="306"/>
      <c r="L239" s="307" t="s">
        <v>180</v>
      </c>
      <c r="M239" s="303"/>
      <c r="N239" s="262"/>
      <c r="O239" s="279">
        <v>0</v>
      </c>
      <c r="P239" s="279"/>
      <c r="Q239" s="279"/>
      <c r="R239" s="279"/>
      <c r="S239" s="279"/>
      <c r="T239" s="279">
        <v>0</v>
      </c>
      <c r="U239" s="310"/>
    </row>
    <row r="240" spans="1:21" x14ac:dyDescent="0.2">
      <c r="A240" s="305" t="s">
        <v>259</v>
      </c>
      <c r="B240" s="260" t="s">
        <v>177</v>
      </c>
      <c r="C240" s="322" t="s">
        <v>81</v>
      </c>
      <c r="D240" s="307" t="s">
        <v>215</v>
      </c>
      <c r="E240" s="276" t="s">
        <v>216</v>
      </c>
      <c r="F240" s="270">
        <v>863627.27</v>
      </c>
      <c r="G240" s="271">
        <v>548913.68000000005</v>
      </c>
      <c r="H240" s="271">
        <v>512148.76</v>
      </c>
      <c r="I240" s="271">
        <v>463586.06</v>
      </c>
      <c r="J240" s="270">
        <v>387469.79</v>
      </c>
      <c r="K240" s="306"/>
      <c r="L240" s="307" t="s">
        <v>180</v>
      </c>
      <c r="M240" s="303"/>
      <c r="N240" s="262"/>
      <c r="O240" s="279">
        <v>0</v>
      </c>
      <c r="P240" s="279"/>
      <c r="Q240" s="279"/>
      <c r="R240" s="279"/>
      <c r="S240" s="279"/>
      <c r="T240" s="279">
        <v>0</v>
      </c>
      <c r="U240" s="310"/>
    </row>
    <row r="241" spans="1:21" x14ac:dyDescent="0.2">
      <c r="A241" s="295" t="s">
        <v>259</v>
      </c>
      <c r="B241" s="255" t="s">
        <v>177</v>
      </c>
      <c r="C241" s="320" t="s">
        <v>81</v>
      </c>
      <c r="D241" s="289" t="s">
        <v>217</v>
      </c>
      <c r="E241" s="276" t="s">
        <v>218</v>
      </c>
      <c r="F241" s="270">
        <v>863627.27</v>
      </c>
      <c r="G241" s="271">
        <v>548913.68000000005</v>
      </c>
      <c r="H241" s="271">
        <v>512148.76</v>
      </c>
      <c r="I241" s="271">
        <v>463586.06</v>
      </c>
      <c r="J241" s="270">
        <v>387469.79</v>
      </c>
      <c r="K241" s="296"/>
      <c r="L241" s="289" t="s">
        <v>180</v>
      </c>
      <c r="M241" s="296"/>
      <c r="N241" s="257"/>
      <c r="O241" s="279">
        <v>0</v>
      </c>
      <c r="P241" s="279"/>
      <c r="Q241" s="279"/>
      <c r="R241" s="279"/>
      <c r="S241" s="279"/>
      <c r="T241" s="279">
        <v>0</v>
      </c>
      <c r="U241" s="297"/>
    </row>
    <row r="242" spans="1:21" x14ac:dyDescent="0.2">
      <c r="A242" s="304" t="s">
        <v>259</v>
      </c>
      <c r="B242" s="264" t="s">
        <v>177</v>
      </c>
      <c r="C242" s="325" t="s">
        <v>81</v>
      </c>
      <c r="D242" s="326" t="s">
        <v>219</v>
      </c>
      <c r="E242" s="277" t="s">
        <v>220</v>
      </c>
      <c r="F242" s="274">
        <v>700029.48</v>
      </c>
      <c r="G242" s="275">
        <v>445591.09</v>
      </c>
      <c r="H242" s="274">
        <v>415884.85</v>
      </c>
      <c r="I242" s="275">
        <v>376273.59</v>
      </c>
      <c r="J242" s="274">
        <v>249702.61</v>
      </c>
      <c r="K242" s="296"/>
      <c r="L242" s="289" t="s">
        <v>180</v>
      </c>
      <c r="M242" s="294"/>
      <c r="N242" s="253"/>
      <c r="O242" s="279">
        <v>0</v>
      </c>
      <c r="P242" s="279"/>
      <c r="Q242" s="279"/>
      <c r="R242" s="279"/>
      <c r="S242" s="279"/>
      <c r="T242" s="279">
        <v>0</v>
      </c>
      <c r="U242" s="291"/>
    </row>
    <row r="243" spans="1:21" x14ac:dyDescent="0.2">
      <c r="A243" s="304" t="s">
        <v>259</v>
      </c>
      <c r="B243" s="264" t="s">
        <v>177</v>
      </c>
      <c r="C243" s="325" t="s">
        <v>81</v>
      </c>
      <c r="D243" s="326" t="s">
        <v>178</v>
      </c>
      <c r="E243" s="277" t="s">
        <v>179</v>
      </c>
      <c r="F243" s="265">
        <v>706142.53</v>
      </c>
      <c r="G243" s="266">
        <v>475296.01</v>
      </c>
      <c r="H243" s="266">
        <v>435688.59</v>
      </c>
      <c r="I243" s="266">
        <v>396080.44</v>
      </c>
      <c r="J243" s="265">
        <v>266923.65000000002</v>
      </c>
      <c r="K243" s="296"/>
      <c r="L243" s="289" t="s">
        <v>180</v>
      </c>
      <c r="M243" s="294"/>
      <c r="N243" s="253"/>
      <c r="O243" s="279">
        <v>0</v>
      </c>
      <c r="P243" s="279"/>
      <c r="Q243" s="279"/>
      <c r="R243" s="279"/>
      <c r="S243" s="279"/>
      <c r="T243" s="279">
        <v>0</v>
      </c>
      <c r="U243" s="291"/>
    </row>
    <row r="244" spans="1:21" x14ac:dyDescent="0.2">
      <c r="A244" s="311" t="s">
        <v>259</v>
      </c>
      <c r="B244" s="273" t="s">
        <v>177</v>
      </c>
      <c r="C244" s="328" t="s">
        <v>81</v>
      </c>
      <c r="D244" s="329" t="s">
        <v>221</v>
      </c>
      <c r="E244" s="277" t="s">
        <v>222</v>
      </c>
      <c r="F244" s="274">
        <v>606175.05000000005</v>
      </c>
      <c r="G244" s="275">
        <v>376273.59</v>
      </c>
      <c r="H244" s="275">
        <v>327196.65999999997</v>
      </c>
      <c r="I244" s="275">
        <v>277256.02</v>
      </c>
      <c r="J244" s="274">
        <v>215260.59</v>
      </c>
      <c r="K244" s="306"/>
      <c r="L244" s="307" t="s">
        <v>180</v>
      </c>
      <c r="M244" s="303"/>
      <c r="N244" s="262"/>
      <c r="O244" s="279">
        <v>0</v>
      </c>
      <c r="P244" s="279"/>
      <c r="Q244" s="279"/>
      <c r="R244" s="279"/>
      <c r="S244" s="279"/>
      <c r="T244" s="279">
        <v>0</v>
      </c>
      <c r="U244" s="310"/>
    </row>
    <row r="245" spans="1:21" x14ac:dyDescent="0.2">
      <c r="A245" s="292" t="s">
        <v>260</v>
      </c>
      <c r="B245" s="252" t="s">
        <v>177</v>
      </c>
      <c r="C245" s="316" t="s">
        <v>81</v>
      </c>
      <c r="D245" s="317" t="s">
        <v>219</v>
      </c>
      <c r="E245" s="276" t="s">
        <v>179</v>
      </c>
      <c r="F245" s="254">
        <v>582302</v>
      </c>
      <c r="G245" s="254">
        <v>308644</v>
      </c>
      <c r="H245" s="254">
        <v>308644</v>
      </c>
      <c r="I245" s="254">
        <v>0</v>
      </c>
      <c r="J245" s="254">
        <v>0</v>
      </c>
      <c r="K245" s="293"/>
      <c r="L245" s="289" t="s">
        <v>180</v>
      </c>
      <c r="M245" s="294"/>
      <c r="N245" s="253"/>
      <c r="O245" s="279">
        <v>0</v>
      </c>
      <c r="P245" s="279"/>
      <c r="Q245" s="279"/>
      <c r="R245" s="279"/>
      <c r="S245" s="279"/>
      <c r="T245" s="279">
        <v>0</v>
      </c>
      <c r="U245" s="291"/>
    </row>
    <row r="246" spans="1:21" x14ac:dyDescent="0.2">
      <c r="A246" s="305" t="s">
        <v>260</v>
      </c>
      <c r="B246" s="260" t="s">
        <v>177</v>
      </c>
      <c r="C246" s="322" t="s">
        <v>81</v>
      </c>
      <c r="D246" s="307" t="s">
        <v>178</v>
      </c>
      <c r="E246" s="276" t="s">
        <v>220</v>
      </c>
      <c r="F246" s="267">
        <v>582302</v>
      </c>
      <c r="G246" s="267">
        <v>308644</v>
      </c>
      <c r="H246" s="254">
        <v>308644</v>
      </c>
      <c r="I246" s="268">
        <v>0</v>
      </c>
      <c r="J246" s="268">
        <v>0</v>
      </c>
      <c r="K246" s="306"/>
      <c r="L246" s="307" t="s">
        <v>180</v>
      </c>
      <c r="M246" s="306"/>
      <c r="N246" s="269"/>
      <c r="O246" s="279">
        <v>0</v>
      </c>
      <c r="P246" s="279"/>
      <c r="Q246" s="279"/>
      <c r="R246" s="279"/>
      <c r="S246" s="279"/>
      <c r="T246" s="279">
        <v>0</v>
      </c>
      <c r="U246" s="308"/>
    </row>
    <row r="247" spans="1:21" x14ac:dyDescent="0.2">
      <c r="A247" s="309" t="s">
        <v>207</v>
      </c>
      <c r="B247" s="272" t="s">
        <v>177</v>
      </c>
      <c r="C247" s="324" t="s">
        <v>81</v>
      </c>
      <c r="D247" s="327" t="s">
        <v>639</v>
      </c>
      <c r="E247" s="335" t="s">
        <v>699</v>
      </c>
      <c r="F247" s="261"/>
      <c r="G247" s="261"/>
      <c r="H247" s="261"/>
      <c r="I247" s="261"/>
      <c r="J247" s="261"/>
      <c r="K247" s="302"/>
      <c r="L247" s="307" t="s">
        <v>180</v>
      </c>
      <c r="M247" s="303"/>
      <c r="N247" s="262"/>
      <c r="O247" s="279"/>
      <c r="P247" s="279"/>
      <c r="Q247" s="279"/>
      <c r="R247" s="279"/>
      <c r="S247" s="279"/>
      <c r="T247" s="279"/>
      <c r="U247" s="310"/>
    </row>
    <row r="248" spans="1:21" x14ac:dyDescent="0.2">
      <c r="A248" s="309" t="s">
        <v>29</v>
      </c>
      <c r="B248" s="272" t="s">
        <v>58</v>
      </c>
      <c r="C248" s="324" t="s">
        <v>59</v>
      </c>
      <c r="D248" s="327" t="s">
        <v>223</v>
      </c>
      <c r="E248" s="335" t="s">
        <v>224</v>
      </c>
      <c r="F248" s="261"/>
      <c r="G248" s="261"/>
      <c r="H248" s="261"/>
      <c r="I248" s="261"/>
      <c r="J248" s="261"/>
      <c r="K248" s="302"/>
      <c r="L248" s="289" t="s">
        <v>33</v>
      </c>
      <c r="M248" s="303"/>
      <c r="N248" s="262"/>
      <c r="O248" s="279">
        <v>161965.99</v>
      </c>
      <c r="P248" s="279"/>
      <c r="Q248" s="279"/>
      <c r="R248" s="279"/>
      <c r="S248" s="279"/>
      <c r="T248" s="279">
        <v>78.67</v>
      </c>
      <c r="U248" s="3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438150</xdr:colOff>
                    <xdr:row>2</xdr:row>
                    <xdr:rowOff>38100</xdr:rowOff>
                  </from>
                  <to>
                    <xdr:col>2</xdr:col>
                    <xdr:colOff>819150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>
    <tabColor theme="4" tint="0.59999389629810485"/>
  </sheetPr>
  <dimension ref="A1:AF243"/>
  <sheetViews>
    <sheetView showGridLines="0" zoomScaleNormal="100" workbookViewId="0">
      <pane xSplit="4" ySplit="1" topLeftCell="E2" activePane="bottomRight" state="frozen"/>
      <selection activeCell="F193" sqref="F193"/>
      <selection pane="topRight" activeCell="F193" sqref="F193"/>
      <selection pane="bottomLeft" activeCell="F193" sqref="F193"/>
      <selection pane="bottomRight" activeCell="A2" sqref="A2"/>
    </sheetView>
  </sheetViews>
  <sheetFormatPr baseColWidth="10" defaultColWidth="11.42578125" defaultRowHeight="12.75" x14ac:dyDescent="0.2"/>
  <cols>
    <col min="1" max="1" width="22.85546875" style="154" bestFit="1" customWidth="1"/>
    <col min="2" max="2" width="10.42578125" style="154" bestFit="1" customWidth="1"/>
    <col min="3" max="3" width="17.85546875" style="154" bestFit="1" customWidth="1"/>
    <col min="4" max="4" width="23.85546875" style="154" bestFit="1" customWidth="1"/>
    <col min="5" max="5" width="21.5703125" style="154" bestFit="1" customWidth="1"/>
    <col min="6" max="6" width="13.5703125" style="154" bestFit="1" customWidth="1"/>
    <col min="7" max="7" width="14.7109375" style="154" bestFit="1" customWidth="1"/>
    <col min="8" max="8" width="17.28515625" style="154" bestFit="1" customWidth="1"/>
    <col min="9" max="9" width="13" style="154" bestFit="1" customWidth="1"/>
    <col min="10" max="10" width="15.42578125" style="154" bestFit="1" customWidth="1"/>
    <col min="11" max="11" width="17.7109375" style="154" bestFit="1" customWidth="1"/>
    <col min="12" max="12" width="22.5703125" style="154" bestFit="1" customWidth="1"/>
    <col min="13" max="13" width="19.5703125" style="154" bestFit="1" customWidth="1"/>
    <col min="14" max="14" width="25.28515625" style="154" bestFit="1" customWidth="1"/>
    <col min="15" max="15" width="12.42578125" style="154" bestFit="1" customWidth="1"/>
    <col min="16" max="16" width="15.42578125" style="154" bestFit="1" customWidth="1"/>
    <col min="17" max="19" width="7.42578125" style="154" bestFit="1" customWidth="1"/>
    <col min="20" max="20" width="9.7109375" style="154" bestFit="1" customWidth="1"/>
    <col min="21" max="21" width="18.7109375" style="154" bestFit="1" customWidth="1"/>
    <col min="22" max="22" width="11.42578125" style="154"/>
    <col min="23" max="24" width="13.140625" style="154" bestFit="1" customWidth="1"/>
    <col min="25" max="25" width="14" style="154" bestFit="1" customWidth="1"/>
    <col min="26" max="16384" width="11.42578125" style="154"/>
  </cols>
  <sheetData>
    <row r="1" spans="1:32" x14ac:dyDescent="0.2">
      <c r="A1" s="139"/>
      <c r="B1" s="140"/>
      <c r="C1" s="140"/>
      <c r="D1" s="141"/>
      <c r="E1" s="142"/>
      <c r="F1" s="143"/>
      <c r="G1" s="144"/>
      <c r="H1" s="145" t="s">
        <v>7</v>
      </c>
      <c r="I1" s="144"/>
      <c r="J1" s="146"/>
      <c r="K1" s="147"/>
      <c r="L1" s="141"/>
      <c r="M1" s="148"/>
      <c r="N1" s="149"/>
      <c r="O1" s="150"/>
      <c r="P1" s="151" t="s">
        <v>0</v>
      </c>
      <c r="Q1" s="151"/>
      <c r="R1" s="151"/>
      <c r="S1" s="152"/>
      <c r="T1" s="152"/>
      <c r="U1" s="153"/>
    </row>
    <row r="2" spans="1:32" ht="33.75" customHeight="1" thickBot="1" x14ac:dyDescent="0.25">
      <c r="A2" s="155" t="s">
        <v>8</v>
      </c>
      <c r="B2" s="156" t="s">
        <v>9</v>
      </c>
      <c r="C2" s="156" t="s">
        <v>10</v>
      </c>
      <c r="D2" s="157" t="s">
        <v>11</v>
      </c>
      <c r="E2" s="158" t="s">
        <v>12</v>
      </c>
      <c r="F2" s="155" t="s">
        <v>13</v>
      </c>
      <c r="G2" s="156" t="s">
        <v>14</v>
      </c>
      <c r="H2" s="156" t="s">
        <v>15</v>
      </c>
      <c r="I2" s="156" t="s">
        <v>16</v>
      </c>
      <c r="J2" s="157" t="s">
        <v>17</v>
      </c>
      <c r="K2" s="155" t="s">
        <v>18</v>
      </c>
      <c r="L2" s="159" t="s">
        <v>19</v>
      </c>
      <c r="M2" s="160" t="s">
        <v>20</v>
      </c>
      <c r="N2" s="161" t="s">
        <v>21</v>
      </c>
      <c r="O2" s="160" t="s">
        <v>22</v>
      </c>
      <c r="P2" s="162" t="s">
        <v>23</v>
      </c>
      <c r="Q2" s="162" t="s">
        <v>24</v>
      </c>
      <c r="R2" s="162" t="s">
        <v>25</v>
      </c>
      <c r="S2" s="161" t="s">
        <v>26</v>
      </c>
      <c r="T2" s="163" t="s">
        <v>27</v>
      </c>
      <c r="U2" s="164" t="s">
        <v>28</v>
      </c>
    </row>
    <row r="3" spans="1:32" x14ac:dyDescent="0.2">
      <c r="A3" s="97" t="s">
        <v>29</v>
      </c>
      <c r="B3" s="99" t="s">
        <v>87</v>
      </c>
      <c r="C3" s="126" t="s">
        <v>81</v>
      </c>
      <c r="D3" s="211" t="s">
        <v>208</v>
      </c>
      <c r="E3" s="165" t="s">
        <v>209</v>
      </c>
      <c r="F3" s="166"/>
      <c r="G3" s="166"/>
      <c r="H3" s="167"/>
      <c r="I3" s="167"/>
      <c r="J3" s="167"/>
      <c r="K3" s="168" t="str">
        <f t="shared" ref="K3:K66" si="0">IF(B3&lt;&gt;"BUE",IF(F3=0,"Falta Tarifa","Tarifado"),IF(AND(F3&lt;&gt;0,G3&lt;&gt;0,H3&lt;&gt;0,I3&lt;&gt;0,J3&lt;&gt;0),"Tarifado","Falta Tarifa"))</f>
        <v>Falta Tarifa</v>
      </c>
      <c r="L3" s="132" t="s">
        <v>33</v>
      </c>
      <c r="M3" s="198"/>
      <c r="N3" s="192"/>
      <c r="O3" s="169">
        <v>64342.298072247962</v>
      </c>
      <c r="P3" s="169"/>
      <c r="Q3" s="169"/>
      <c r="R3" s="169"/>
      <c r="S3" s="169"/>
      <c r="T3" s="169">
        <v>29.39408053847659</v>
      </c>
      <c r="U3" s="176"/>
      <c r="AD3" s="171"/>
      <c r="AE3" s="171"/>
      <c r="AF3" s="171"/>
    </row>
    <row r="4" spans="1:32" x14ac:dyDescent="0.2">
      <c r="A4" s="3" t="s">
        <v>29</v>
      </c>
      <c r="B4" s="4" t="s">
        <v>87</v>
      </c>
      <c r="C4" s="127" t="s">
        <v>81</v>
      </c>
      <c r="D4" s="132" t="s">
        <v>88</v>
      </c>
      <c r="E4" s="165" t="s">
        <v>89</v>
      </c>
      <c r="F4" s="172"/>
      <c r="G4" s="173"/>
      <c r="H4" s="173"/>
      <c r="I4" s="173"/>
      <c r="J4" s="173"/>
      <c r="K4" s="174" t="str">
        <f t="shared" si="0"/>
        <v>Falta Tarifa</v>
      </c>
      <c r="L4" s="132" t="s">
        <v>33</v>
      </c>
      <c r="M4" s="174"/>
      <c r="N4" s="175"/>
      <c r="O4" s="169">
        <v>64342.298072247962</v>
      </c>
      <c r="P4" s="169"/>
      <c r="Q4" s="169"/>
      <c r="R4" s="169"/>
      <c r="S4" s="169"/>
      <c r="T4" s="169">
        <v>29.39408053847659</v>
      </c>
      <c r="U4" s="176"/>
    </row>
    <row r="5" spans="1:32" x14ac:dyDescent="0.2">
      <c r="A5" s="92" t="s">
        <v>29</v>
      </c>
      <c r="B5" s="93" t="s">
        <v>87</v>
      </c>
      <c r="C5" s="129" t="s">
        <v>81</v>
      </c>
      <c r="D5" s="130" t="s">
        <v>255</v>
      </c>
      <c r="E5" s="165" t="s">
        <v>256</v>
      </c>
      <c r="F5" s="166"/>
      <c r="G5" s="166"/>
      <c r="H5" s="167"/>
      <c r="I5" s="167"/>
      <c r="J5" s="167"/>
      <c r="K5" s="177" t="str">
        <f t="shared" si="0"/>
        <v>Falta Tarifa</v>
      </c>
      <c r="L5" s="132" t="s">
        <v>33</v>
      </c>
      <c r="M5" s="174"/>
      <c r="N5" s="175"/>
      <c r="O5" s="169">
        <v>64342.298072247962</v>
      </c>
      <c r="P5" s="169"/>
      <c r="Q5" s="169"/>
      <c r="R5" s="169"/>
      <c r="S5" s="169"/>
      <c r="T5" s="169">
        <v>29.39408053847659</v>
      </c>
      <c r="U5" s="176"/>
    </row>
    <row r="6" spans="1:32" x14ac:dyDescent="0.2">
      <c r="A6" s="3" t="s">
        <v>29</v>
      </c>
      <c r="B6" s="4" t="s">
        <v>30</v>
      </c>
      <c r="C6" s="127" t="s">
        <v>81</v>
      </c>
      <c r="D6" s="128" t="s">
        <v>31</v>
      </c>
      <c r="E6" s="165" t="s">
        <v>32</v>
      </c>
      <c r="F6" s="172"/>
      <c r="G6" s="173"/>
      <c r="H6" s="173"/>
      <c r="I6" s="173"/>
      <c r="J6" s="173"/>
      <c r="K6" s="174" t="str">
        <f t="shared" si="0"/>
        <v>Falta Tarifa</v>
      </c>
      <c r="L6" s="132" t="s">
        <v>33</v>
      </c>
      <c r="M6" s="174"/>
      <c r="N6" s="175"/>
      <c r="O6" s="169">
        <v>70210.992700332645</v>
      </c>
      <c r="T6" s="169">
        <v>38.747312601986593</v>
      </c>
      <c r="U6" s="176"/>
    </row>
    <row r="7" spans="1:32" x14ac:dyDescent="0.2">
      <c r="A7" s="3" t="s">
        <v>29</v>
      </c>
      <c r="B7" s="4" t="s">
        <v>30</v>
      </c>
      <c r="C7" s="127" t="s">
        <v>45</v>
      </c>
      <c r="D7" s="132" t="s">
        <v>46</v>
      </c>
      <c r="E7" s="165" t="s">
        <v>47</v>
      </c>
      <c r="F7" s="172"/>
      <c r="G7" s="173"/>
      <c r="H7" s="173"/>
      <c r="I7" s="173"/>
      <c r="J7" s="173"/>
      <c r="K7" s="174" t="str">
        <f t="shared" si="0"/>
        <v>Falta Tarifa</v>
      </c>
      <c r="L7" s="132" t="s">
        <v>33</v>
      </c>
      <c r="M7" s="174"/>
      <c r="N7" s="175"/>
      <c r="O7" s="169">
        <v>72470.574472886161</v>
      </c>
      <c r="P7" s="169"/>
      <c r="Q7" s="169"/>
      <c r="R7" s="169"/>
      <c r="S7" s="169"/>
      <c r="T7" s="169">
        <v>80.522860525429067</v>
      </c>
      <c r="U7" s="176"/>
    </row>
    <row r="8" spans="1:32" x14ac:dyDescent="0.2">
      <c r="A8" s="3" t="s">
        <v>29</v>
      </c>
      <c r="B8" s="4" t="s">
        <v>30</v>
      </c>
      <c r="C8" s="127" t="s">
        <v>48</v>
      </c>
      <c r="D8" s="128" t="s">
        <v>49</v>
      </c>
      <c r="E8" s="165" t="s">
        <v>50</v>
      </c>
      <c r="F8" s="172"/>
      <c r="G8" s="173"/>
      <c r="H8" s="173"/>
      <c r="I8" s="173"/>
      <c r="J8" s="173"/>
      <c r="K8" s="174" t="str">
        <f t="shared" si="0"/>
        <v>Falta Tarifa</v>
      </c>
      <c r="L8" s="132" t="s">
        <v>33</v>
      </c>
      <c r="M8" s="174"/>
      <c r="N8" s="175"/>
      <c r="O8" s="169">
        <v>121278.31216058637</v>
      </c>
      <c r="P8" s="169"/>
      <c r="Q8" s="169"/>
      <c r="R8" s="169"/>
      <c r="S8" s="169"/>
      <c r="T8" s="169">
        <v>134.75368017842931</v>
      </c>
      <c r="U8" s="176"/>
    </row>
    <row r="9" spans="1:32" x14ac:dyDescent="0.2">
      <c r="A9" s="3" t="s">
        <v>29</v>
      </c>
      <c r="B9" s="4" t="s">
        <v>30</v>
      </c>
      <c r="C9" s="127" t="s">
        <v>48</v>
      </c>
      <c r="D9" s="128" t="s">
        <v>63</v>
      </c>
      <c r="E9" s="165" t="s">
        <v>50</v>
      </c>
      <c r="F9" s="172"/>
      <c r="G9" s="173"/>
      <c r="H9" s="173"/>
      <c r="I9" s="173"/>
      <c r="J9" s="173"/>
      <c r="K9" s="174" t="str">
        <f t="shared" si="0"/>
        <v>Falta Tarifa</v>
      </c>
      <c r="L9" s="132" t="s">
        <v>33</v>
      </c>
      <c r="M9" s="174"/>
      <c r="N9" s="175"/>
      <c r="O9" s="169">
        <v>133402.73721519925</v>
      </c>
      <c r="P9" s="169"/>
      <c r="Q9" s="169"/>
      <c r="R9" s="169"/>
      <c r="S9" s="169"/>
      <c r="T9" s="169">
        <v>148.22526357244357</v>
      </c>
      <c r="U9" s="176"/>
    </row>
    <row r="10" spans="1:32" x14ac:dyDescent="0.2">
      <c r="A10" s="3" t="s">
        <v>29</v>
      </c>
      <c r="B10" s="4" t="s">
        <v>30</v>
      </c>
      <c r="C10" s="127" t="s">
        <v>45</v>
      </c>
      <c r="D10" s="128" t="s">
        <v>64</v>
      </c>
      <c r="E10" s="165" t="s">
        <v>65</v>
      </c>
      <c r="F10" s="172"/>
      <c r="G10" s="173"/>
      <c r="H10" s="173"/>
      <c r="I10" s="173"/>
      <c r="J10" s="173"/>
      <c r="K10" s="174" t="str">
        <f t="shared" si="0"/>
        <v>Falta Tarifa</v>
      </c>
      <c r="L10" s="132" t="s">
        <v>33</v>
      </c>
      <c r="M10" s="174"/>
      <c r="N10" s="175"/>
      <c r="O10" s="169">
        <v>171196.1265341597</v>
      </c>
      <c r="P10" s="169"/>
      <c r="Q10" s="169"/>
      <c r="R10" s="169"/>
      <c r="S10" s="169"/>
      <c r="T10" s="169">
        <v>190.21791837128848</v>
      </c>
      <c r="U10" s="176"/>
    </row>
    <row r="11" spans="1:32" x14ac:dyDescent="0.2">
      <c r="A11" s="3" t="s">
        <v>29</v>
      </c>
      <c r="B11" s="4" t="s">
        <v>30</v>
      </c>
      <c r="C11" s="127" t="s">
        <v>45</v>
      </c>
      <c r="D11" s="132" t="s">
        <v>77</v>
      </c>
      <c r="E11" s="165" t="s">
        <v>78</v>
      </c>
      <c r="F11" s="180"/>
      <c r="G11" s="180"/>
      <c r="H11" s="180"/>
      <c r="I11" s="180"/>
      <c r="J11" s="180"/>
      <c r="K11" s="174" t="str">
        <f t="shared" si="0"/>
        <v>Falta Tarifa</v>
      </c>
      <c r="L11" s="132" t="s">
        <v>33</v>
      </c>
      <c r="M11" s="174"/>
      <c r="N11" s="175"/>
      <c r="O11" s="169">
        <v>72470.574472886161</v>
      </c>
      <c r="P11" s="169"/>
      <c r="Q11" s="169"/>
      <c r="R11" s="169"/>
      <c r="S11" s="169"/>
      <c r="T11" s="169">
        <v>80.522860525429067</v>
      </c>
      <c r="U11" s="176"/>
    </row>
    <row r="12" spans="1:32" x14ac:dyDescent="0.2">
      <c r="A12" s="3" t="s">
        <v>29</v>
      </c>
      <c r="B12" s="4" t="s">
        <v>30</v>
      </c>
      <c r="C12" s="127" t="s">
        <v>48</v>
      </c>
      <c r="D12" s="128" t="s">
        <v>84</v>
      </c>
      <c r="E12" s="165" t="s">
        <v>50</v>
      </c>
      <c r="F12" s="172"/>
      <c r="G12" s="173"/>
      <c r="H12" s="173"/>
      <c r="I12" s="173"/>
      <c r="J12" s="173"/>
      <c r="K12" s="174" t="str">
        <f t="shared" si="0"/>
        <v>Falta Tarifa</v>
      </c>
      <c r="L12" s="132" t="s">
        <v>33</v>
      </c>
      <c r="M12" s="174"/>
      <c r="N12" s="175"/>
      <c r="O12" s="169">
        <v>133402.73721519925</v>
      </c>
      <c r="P12" s="169"/>
      <c r="Q12" s="169"/>
      <c r="R12" s="169"/>
      <c r="S12" s="169"/>
      <c r="T12" s="169">
        <v>148.22526357244357</v>
      </c>
      <c r="U12" s="176"/>
    </row>
    <row r="13" spans="1:32" x14ac:dyDescent="0.2">
      <c r="A13" s="3" t="s">
        <v>29</v>
      </c>
      <c r="B13" s="4" t="s">
        <v>30</v>
      </c>
      <c r="C13" s="127" t="s">
        <v>93</v>
      </c>
      <c r="D13" s="132" t="s">
        <v>48</v>
      </c>
      <c r="E13" s="165" t="s">
        <v>94</v>
      </c>
      <c r="F13" s="172"/>
      <c r="G13" s="173"/>
      <c r="H13" s="173"/>
      <c r="I13" s="173"/>
      <c r="J13" s="173"/>
      <c r="K13" s="174" t="str">
        <f t="shared" si="0"/>
        <v>Falta Tarifa</v>
      </c>
      <c r="L13" s="132" t="s">
        <v>33</v>
      </c>
      <c r="M13" s="174"/>
      <c r="N13" s="175"/>
      <c r="O13" s="169">
        <v>86144.879327782328</v>
      </c>
      <c r="P13" s="169"/>
      <c r="Q13" s="169"/>
      <c r="R13" s="169"/>
      <c r="S13" s="169"/>
      <c r="T13" s="169">
        <v>64.141944414484456</v>
      </c>
      <c r="U13" s="176"/>
    </row>
    <row r="14" spans="1:32" x14ac:dyDescent="0.2">
      <c r="A14" s="3" t="s">
        <v>29</v>
      </c>
      <c r="B14" s="4" t="s">
        <v>30</v>
      </c>
      <c r="C14" s="127" t="s">
        <v>45</v>
      </c>
      <c r="D14" s="128" t="s">
        <v>132</v>
      </c>
      <c r="E14" s="165" t="s">
        <v>133</v>
      </c>
      <c r="F14" s="172"/>
      <c r="G14" s="173"/>
      <c r="H14" s="173"/>
      <c r="I14" s="173"/>
      <c r="J14" s="173"/>
      <c r="K14" s="174" t="str">
        <f t="shared" si="0"/>
        <v>Falta Tarifa</v>
      </c>
      <c r="L14" s="132" t="s">
        <v>33</v>
      </c>
      <c r="M14" s="174"/>
      <c r="N14" s="175"/>
      <c r="O14" s="169">
        <v>133402.73721519925</v>
      </c>
      <c r="P14" s="169"/>
      <c r="Q14" s="169"/>
      <c r="R14" s="169"/>
      <c r="S14" s="169"/>
      <c r="T14" s="169">
        <v>148.22526357244357</v>
      </c>
      <c r="U14" s="176"/>
    </row>
    <row r="15" spans="1:32" x14ac:dyDescent="0.2">
      <c r="A15" s="3" t="s">
        <v>29</v>
      </c>
      <c r="B15" s="7" t="s">
        <v>30</v>
      </c>
      <c r="C15" s="210" t="s">
        <v>48</v>
      </c>
      <c r="D15" s="138" t="s">
        <v>141</v>
      </c>
      <c r="E15" s="165" t="s">
        <v>142</v>
      </c>
      <c r="F15" s="172"/>
      <c r="G15" s="172"/>
      <c r="H15" s="173"/>
      <c r="I15" s="173"/>
      <c r="J15" s="173"/>
      <c r="K15" s="174" t="str">
        <f t="shared" si="0"/>
        <v>Falta Tarifa</v>
      </c>
      <c r="L15" s="132" t="s">
        <v>33</v>
      </c>
      <c r="M15" s="174"/>
      <c r="N15" s="175"/>
      <c r="O15" s="169">
        <v>133402.73721519925</v>
      </c>
      <c r="P15" s="169"/>
      <c r="Q15" s="169"/>
      <c r="R15" s="169"/>
      <c r="S15" s="169"/>
      <c r="T15" s="169">
        <v>148.22526357244357</v>
      </c>
      <c r="U15" s="176"/>
    </row>
    <row r="16" spans="1:32" x14ac:dyDescent="0.2">
      <c r="A16" s="3" t="s">
        <v>29</v>
      </c>
      <c r="B16" s="4" t="s">
        <v>30</v>
      </c>
      <c r="C16" s="135" t="s">
        <v>45</v>
      </c>
      <c r="D16" s="132" t="s">
        <v>166</v>
      </c>
      <c r="E16" s="165" t="s">
        <v>167</v>
      </c>
      <c r="F16" s="172"/>
      <c r="G16" s="172"/>
      <c r="H16" s="173"/>
      <c r="I16" s="173"/>
      <c r="J16" s="173"/>
      <c r="K16" s="174" t="str">
        <f t="shared" si="0"/>
        <v>Falta Tarifa</v>
      </c>
      <c r="L16" s="132" t="s">
        <v>33</v>
      </c>
      <c r="M16" s="174"/>
      <c r="N16" s="175"/>
      <c r="O16" s="169">
        <v>89294.561740966819</v>
      </c>
      <c r="P16" s="169"/>
      <c r="Q16" s="169"/>
      <c r="R16" s="169"/>
      <c r="S16" s="169"/>
      <c r="T16" s="169">
        <v>99.216179712185379</v>
      </c>
      <c r="U16" s="176"/>
    </row>
    <row r="17" spans="1:25" x14ac:dyDescent="0.2">
      <c r="A17" s="3" t="s">
        <v>29</v>
      </c>
      <c r="B17" s="4" t="s">
        <v>30</v>
      </c>
      <c r="C17" s="135" t="s">
        <v>45</v>
      </c>
      <c r="D17" s="128" t="s">
        <v>172</v>
      </c>
      <c r="E17" s="165" t="s">
        <v>173</v>
      </c>
      <c r="F17" s="180"/>
      <c r="G17" s="172"/>
      <c r="H17" s="173"/>
      <c r="I17" s="173"/>
      <c r="J17" s="173"/>
      <c r="K17" s="174" t="str">
        <f t="shared" si="0"/>
        <v>Falta Tarifa</v>
      </c>
      <c r="L17" s="132" t="s">
        <v>33</v>
      </c>
      <c r="M17" s="174"/>
      <c r="N17" s="175"/>
      <c r="O17" s="169">
        <v>72470.574472886161</v>
      </c>
      <c r="P17" s="169"/>
      <c r="Q17" s="169"/>
      <c r="R17" s="169"/>
      <c r="S17" s="169"/>
      <c r="T17" s="169">
        <v>80.522860525429067</v>
      </c>
      <c r="U17" s="176"/>
    </row>
    <row r="18" spans="1:25" x14ac:dyDescent="0.2">
      <c r="A18" s="3" t="s">
        <v>29</v>
      </c>
      <c r="B18" s="4" t="s">
        <v>30</v>
      </c>
      <c r="C18" s="210" t="s">
        <v>48</v>
      </c>
      <c r="D18" s="128" t="s">
        <v>174</v>
      </c>
      <c r="E18" s="165" t="s">
        <v>175</v>
      </c>
      <c r="F18" s="173"/>
      <c r="G18" s="172"/>
      <c r="H18" s="173"/>
      <c r="I18" s="173"/>
      <c r="J18" s="173"/>
      <c r="K18" s="174" t="str">
        <f t="shared" si="0"/>
        <v>Falta Tarifa</v>
      </c>
      <c r="L18" s="132" t="s">
        <v>33</v>
      </c>
      <c r="M18" s="174"/>
      <c r="N18" s="175"/>
      <c r="O18" s="169">
        <v>133402.73721519925</v>
      </c>
      <c r="P18" s="169"/>
      <c r="Q18" s="169"/>
      <c r="R18" s="169"/>
      <c r="S18" s="169"/>
      <c r="T18" s="169">
        <v>148.22526357244357</v>
      </c>
      <c r="U18" s="176"/>
    </row>
    <row r="19" spans="1:25" x14ac:dyDescent="0.2">
      <c r="A19" s="92" t="s">
        <v>29</v>
      </c>
      <c r="B19" s="93" t="s">
        <v>177</v>
      </c>
      <c r="C19" s="129" t="s">
        <v>81</v>
      </c>
      <c r="D19" s="130" t="s">
        <v>615</v>
      </c>
      <c r="E19" s="165" t="s">
        <v>687</v>
      </c>
      <c r="F19" s="166"/>
      <c r="G19" s="166"/>
      <c r="H19" s="167"/>
      <c r="I19" s="167"/>
      <c r="J19" s="167"/>
      <c r="K19" s="177" t="str">
        <f t="shared" si="0"/>
        <v>Falta Tarifa</v>
      </c>
      <c r="L19" s="132" t="s">
        <v>33</v>
      </c>
      <c r="M19" s="178"/>
      <c r="N19" s="179"/>
      <c r="O19" s="169">
        <v>70210.992700332645</v>
      </c>
      <c r="T19" s="169">
        <v>38.747312601986593</v>
      </c>
      <c r="U19" s="170"/>
    </row>
    <row r="20" spans="1:25" x14ac:dyDescent="0.2">
      <c r="A20" s="92" t="s">
        <v>29</v>
      </c>
      <c r="B20" s="93" t="s">
        <v>177</v>
      </c>
      <c r="C20" s="129" t="s">
        <v>81</v>
      </c>
      <c r="D20" s="130" t="s">
        <v>639</v>
      </c>
      <c r="E20" s="165" t="s">
        <v>699</v>
      </c>
      <c r="F20" s="166"/>
      <c r="G20" s="166"/>
      <c r="H20" s="167"/>
      <c r="I20" s="167"/>
      <c r="J20" s="167"/>
      <c r="K20" s="177" t="str">
        <f t="shared" si="0"/>
        <v>Falta Tarifa</v>
      </c>
      <c r="L20" s="132" t="s">
        <v>33</v>
      </c>
      <c r="M20" s="174"/>
      <c r="N20" s="175"/>
      <c r="O20" s="169">
        <v>59731.18</v>
      </c>
      <c r="P20" s="169"/>
      <c r="Q20" s="169"/>
      <c r="R20" s="169"/>
      <c r="S20" s="169"/>
      <c r="T20" s="169">
        <v>22.05</v>
      </c>
      <c r="U20" s="176"/>
    </row>
    <row r="21" spans="1:25" x14ac:dyDescent="0.2">
      <c r="A21" s="92" t="s">
        <v>29</v>
      </c>
      <c r="B21" s="93" t="s">
        <v>177</v>
      </c>
      <c r="C21" s="129" t="s">
        <v>81</v>
      </c>
      <c r="D21" s="130" t="s">
        <v>219</v>
      </c>
      <c r="E21" s="165" t="s">
        <v>220</v>
      </c>
      <c r="F21" s="166"/>
      <c r="G21" s="166"/>
      <c r="H21" s="167"/>
      <c r="I21" s="167"/>
      <c r="J21" s="167"/>
      <c r="K21" s="177" t="str">
        <f t="shared" si="0"/>
        <v>Falta Tarifa</v>
      </c>
      <c r="L21" s="132" t="s">
        <v>33</v>
      </c>
      <c r="M21" s="178"/>
      <c r="N21" s="179"/>
      <c r="O21" s="169">
        <v>64761.49054568258</v>
      </c>
      <c r="P21" s="169"/>
      <c r="Q21" s="169"/>
      <c r="R21" s="169"/>
      <c r="S21" s="169"/>
      <c r="T21" s="169">
        <v>30.062168543013009</v>
      </c>
      <c r="U21" s="170"/>
      <c r="Y21" s="181"/>
    </row>
    <row r="22" spans="1:25" x14ac:dyDescent="0.2">
      <c r="A22" s="92" t="s">
        <v>29</v>
      </c>
      <c r="B22" s="93" t="s">
        <v>58</v>
      </c>
      <c r="C22" s="129" t="s">
        <v>59</v>
      </c>
      <c r="D22" s="130" t="s">
        <v>542</v>
      </c>
      <c r="E22" s="165" t="s">
        <v>701</v>
      </c>
      <c r="F22" s="166"/>
      <c r="G22" s="166"/>
      <c r="H22" s="167"/>
      <c r="I22" s="167"/>
      <c r="J22" s="167"/>
      <c r="K22" s="177" t="str">
        <f t="shared" si="0"/>
        <v>Falta Tarifa</v>
      </c>
      <c r="L22" s="132" t="s">
        <v>33</v>
      </c>
      <c r="M22" s="178"/>
      <c r="N22" s="179"/>
      <c r="O22" s="169">
        <v>69163.011516746119</v>
      </c>
      <c r="P22" s="169"/>
      <c r="Q22" s="169"/>
      <c r="R22" s="169"/>
      <c r="S22" s="169"/>
      <c r="T22" s="169">
        <v>37.077092590645506</v>
      </c>
      <c r="U22" s="170"/>
    </row>
    <row r="23" spans="1:25" ht="0.6" customHeight="1" x14ac:dyDescent="0.2">
      <c r="A23" s="92" t="s">
        <v>29</v>
      </c>
      <c r="B23" s="93" t="s">
        <v>58</v>
      </c>
      <c r="C23" s="129" t="s">
        <v>59</v>
      </c>
      <c r="D23" s="131" t="s">
        <v>229</v>
      </c>
      <c r="E23" s="165" t="s">
        <v>230</v>
      </c>
      <c r="F23" s="214"/>
      <c r="G23" s="214"/>
      <c r="H23" s="217"/>
      <c r="I23" s="217"/>
      <c r="J23" s="217"/>
      <c r="K23" s="202" t="str">
        <f t="shared" si="0"/>
        <v>Falta Tarifa</v>
      </c>
      <c r="L23" s="132" t="s">
        <v>33</v>
      </c>
      <c r="M23" s="203"/>
      <c r="N23" s="204"/>
      <c r="O23" s="169">
        <v>69163.011516746119</v>
      </c>
      <c r="P23" s="169"/>
      <c r="Q23" s="169"/>
      <c r="R23" s="169"/>
      <c r="S23" s="169"/>
      <c r="T23" s="169">
        <v>37.077092590645506</v>
      </c>
      <c r="U23" s="170"/>
    </row>
    <row r="24" spans="1:25" x14ac:dyDescent="0.2">
      <c r="A24" s="92" t="s">
        <v>29</v>
      </c>
      <c r="B24" s="93" t="s">
        <v>58</v>
      </c>
      <c r="C24" s="129" t="s">
        <v>59</v>
      </c>
      <c r="D24" s="213" t="s">
        <v>225</v>
      </c>
      <c r="E24" s="165" t="s">
        <v>226</v>
      </c>
      <c r="F24" s="166"/>
      <c r="G24" s="166"/>
      <c r="H24" s="167"/>
      <c r="I24" s="167"/>
      <c r="J24" s="167"/>
      <c r="K24" s="177" t="str">
        <f t="shared" si="0"/>
        <v>Falta Tarifa</v>
      </c>
      <c r="L24" s="132" t="s">
        <v>33</v>
      </c>
      <c r="M24" s="178"/>
      <c r="N24" s="179"/>
      <c r="O24" s="169">
        <v>69163.011516746119</v>
      </c>
      <c r="P24" s="169"/>
      <c r="Q24" s="169"/>
      <c r="R24" s="169"/>
      <c r="S24" s="169"/>
      <c r="T24" s="169">
        <v>37.077092590645506</v>
      </c>
      <c r="U24" s="170"/>
    </row>
    <row r="25" spans="1:25" x14ac:dyDescent="0.2">
      <c r="A25" s="3" t="s">
        <v>29</v>
      </c>
      <c r="B25" s="4" t="s">
        <v>58</v>
      </c>
      <c r="C25" s="127" t="s">
        <v>59</v>
      </c>
      <c r="D25" s="128" t="s">
        <v>59</v>
      </c>
      <c r="E25" s="165" t="s">
        <v>60</v>
      </c>
      <c r="F25" s="215"/>
      <c r="G25" s="216"/>
      <c r="H25" s="216"/>
      <c r="I25" s="216"/>
      <c r="J25" s="216"/>
      <c r="K25" s="198" t="str">
        <f t="shared" si="0"/>
        <v>Falta Tarifa</v>
      </c>
      <c r="L25" s="132" t="s">
        <v>33</v>
      </c>
      <c r="M25" s="198"/>
      <c r="N25" s="192"/>
      <c r="O25" s="169">
        <v>69163.011516746119</v>
      </c>
      <c r="P25" s="169"/>
      <c r="Q25" s="169"/>
      <c r="R25" s="169"/>
      <c r="S25" s="169"/>
      <c r="T25" s="169">
        <v>37.077092590645506</v>
      </c>
      <c r="U25" s="176"/>
    </row>
    <row r="26" spans="1:25" x14ac:dyDescent="0.2">
      <c r="A26" s="3" t="s">
        <v>29</v>
      </c>
      <c r="B26" s="4" t="s">
        <v>58</v>
      </c>
      <c r="C26" s="127" t="s">
        <v>85</v>
      </c>
      <c r="D26" s="128" t="s">
        <v>85</v>
      </c>
      <c r="E26" s="165" t="s">
        <v>86</v>
      </c>
      <c r="F26" s="172"/>
      <c r="G26" s="173"/>
      <c r="H26" s="173"/>
      <c r="I26" s="173"/>
      <c r="J26" s="173"/>
      <c r="K26" s="174" t="str">
        <f t="shared" si="0"/>
        <v>Falta Tarifa</v>
      </c>
      <c r="L26" s="132" t="s">
        <v>33</v>
      </c>
      <c r="M26" s="174"/>
      <c r="N26" s="175"/>
      <c r="O26" s="169">
        <v>84683.943740955496</v>
      </c>
      <c r="P26" s="169"/>
      <c r="Q26" s="169"/>
      <c r="R26" s="169"/>
      <c r="S26" s="169"/>
      <c r="T26" s="169">
        <v>61.813578322979218</v>
      </c>
      <c r="U26" s="176"/>
    </row>
    <row r="27" spans="1:25" x14ac:dyDescent="0.2">
      <c r="A27" s="3" t="s">
        <v>29</v>
      </c>
      <c r="B27" s="4" t="s">
        <v>58</v>
      </c>
      <c r="C27" s="127" t="s">
        <v>59</v>
      </c>
      <c r="D27" s="132" t="s">
        <v>119</v>
      </c>
      <c r="E27" s="165" t="s">
        <v>120</v>
      </c>
      <c r="F27" s="172"/>
      <c r="G27" s="173"/>
      <c r="H27" s="173"/>
      <c r="I27" s="173"/>
      <c r="J27" s="173"/>
      <c r="K27" s="174" t="str">
        <f t="shared" si="0"/>
        <v>Falta Tarifa</v>
      </c>
      <c r="L27" s="132" t="s">
        <v>33</v>
      </c>
      <c r="M27" s="174"/>
      <c r="N27" s="175"/>
      <c r="O27" s="169">
        <v>66647.856676138399</v>
      </c>
      <c r="P27" s="169"/>
      <c r="Q27" s="169"/>
      <c r="R27" s="169"/>
      <c r="S27" s="169"/>
      <c r="T27" s="169">
        <v>33.068564563426946</v>
      </c>
      <c r="U27" s="176"/>
    </row>
    <row r="28" spans="1:25" x14ac:dyDescent="0.2">
      <c r="A28" s="92" t="s">
        <v>29</v>
      </c>
      <c r="B28" s="93" t="s">
        <v>58</v>
      </c>
      <c r="C28" s="129" t="s">
        <v>59</v>
      </c>
      <c r="D28" s="131" t="s">
        <v>227</v>
      </c>
      <c r="E28" s="165" t="s">
        <v>228</v>
      </c>
      <c r="F28" s="166"/>
      <c r="G28" s="166"/>
      <c r="H28" s="167"/>
      <c r="I28" s="167"/>
      <c r="J28" s="167"/>
      <c r="K28" s="177" t="str">
        <f t="shared" si="0"/>
        <v>Falta Tarifa</v>
      </c>
      <c r="L28" s="132" t="s">
        <v>33</v>
      </c>
      <c r="M28" s="178"/>
      <c r="N28" s="179"/>
      <c r="O28" s="169">
        <v>66019.067965986455</v>
      </c>
      <c r="P28" s="169"/>
      <c r="Q28" s="169"/>
      <c r="R28" s="169"/>
      <c r="S28" s="169"/>
      <c r="T28" s="169">
        <v>32.066432556622303</v>
      </c>
      <c r="U28" s="170"/>
    </row>
    <row r="29" spans="1:25" x14ac:dyDescent="0.2">
      <c r="A29" s="92" t="s">
        <v>29</v>
      </c>
      <c r="B29" s="93" t="s">
        <v>58</v>
      </c>
      <c r="C29" s="129" t="s">
        <v>59</v>
      </c>
      <c r="D29" s="130" t="s">
        <v>828</v>
      </c>
      <c r="E29" s="165" t="s">
        <v>712</v>
      </c>
      <c r="F29" s="166"/>
      <c r="G29" s="166"/>
      <c r="H29" s="167"/>
      <c r="I29" s="167"/>
      <c r="J29" s="167"/>
      <c r="K29" s="177" t="str">
        <f t="shared" si="0"/>
        <v>Falta Tarifa</v>
      </c>
      <c r="L29" s="132" t="s">
        <v>33</v>
      </c>
      <c r="M29" s="178"/>
      <c r="N29" s="179"/>
      <c r="O29" s="169">
        <v>66019.067965986455</v>
      </c>
      <c r="P29" s="169"/>
      <c r="Q29" s="169"/>
      <c r="R29" s="169"/>
      <c r="S29" s="169"/>
      <c r="T29" s="169">
        <v>32.066432556622303</v>
      </c>
      <c r="U29" s="170"/>
    </row>
    <row r="30" spans="1:25" x14ac:dyDescent="0.2">
      <c r="A30" s="3" t="s">
        <v>29</v>
      </c>
      <c r="B30" s="4" t="s">
        <v>58</v>
      </c>
      <c r="C30" s="127" t="s">
        <v>59</v>
      </c>
      <c r="D30" s="132" t="s">
        <v>563</v>
      </c>
      <c r="E30" s="165" t="s">
        <v>134</v>
      </c>
      <c r="F30" s="172"/>
      <c r="G30" s="173"/>
      <c r="H30" s="173"/>
      <c r="I30" s="173"/>
      <c r="J30" s="173"/>
      <c r="K30" s="174" t="str">
        <f t="shared" si="0"/>
        <v>Falta Tarifa</v>
      </c>
      <c r="L30" s="132" t="s">
        <v>33</v>
      </c>
      <c r="M30" s="174"/>
      <c r="N30" s="175"/>
      <c r="O30" s="169">
        <v>66019.067965986455</v>
      </c>
      <c r="P30" s="169"/>
      <c r="Q30" s="169"/>
      <c r="R30" s="169"/>
      <c r="S30" s="169"/>
      <c r="T30" s="169">
        <v>32.066432556622303</v>
      </c>
      <c r="U30" s="176"/>
    </row>
    <row r="31" spans="1:25" x14ac:dyDescent="0.2">
      <c r="A31" s="3" t="s">
        <v>29</v>
      </c>
      <c r="B31" s="4" t="s">
        <v>58</v>
      </c>
      <c r="C31" s="127" t="s">
        <v>59</v>
      </c>
      <c r="D31" s="132" t="s">
        <v>168</v>
      </c>
      <c r="E31" s="165" t="s">
        <v>169</v>
      </c>
      <c r="F31" s="172"/>
      <c r="G31" s="173"/>
      <c r="H31" s="173"/>
      <c r="I31" s="173"/>
      <c r="J31" s="173"/>
      <c r="K31" s="174" t="str">
        <f t="shared" si="0"/>
        <v>Falta Tarifa</v>
      </c>
      <c r="L31" s="132" t="s">
        <v>33</v>
      </c>
      <c r="M31" s="174"/>
      <c r="N31" s="175"/>
      <c r="O31" s="169">
        <v>64971.086782399885</v>
      </c>
      <c r="P31" s="169"/>
      <c r="Q31" s="169"/>
      <c r="R31" s="169"/>
      <c r="S31" s="169"/>
      <c r="T31" s="169">
        <v>30.396212545281227</v>
      </c>
      <c r="U31" s="176"/>
    </row>
    <row r="32" spans="1:25" x14ac:dyDescent="0.2">
      <c r="A32" s="92" t="s">
        <v>29</v>
      </c>
      <c r="B32" s="93" t="s">
        <v>90</v>
      </c>
      <c r="C32" s="129" t="s">
        <v>91</v>
      </c>
      <c r="D32" s="130" t="s">
        <v>231</v>
      </c>
      <c r="E32" s="165" t="s">
        <v>232</v>
      </c>
      <c r="F32" s="166"/>
      <c r="G32" s="166"/>
      <c r="H32" s="167"/>
      <c r="I32" s="167"/>
      <c r="J32" s="167"/>
      <c r="K32" s="177" t="str">
        <f t="shared" si="0"/>
        <v>Falta Tarifa</v>
      </c>
      <c r="L32" s="132" t="s">
        <v>33</v>
      </c>
      <c r="M32" s="178"/>
      <c r="N32" s="179"/>
      <c r="O32" s="169">
        <v>80057.647716003892</v>
      </c>
      <c r="P32" s="169"/>
      <c r="Q32" s="169"/>
      <c r="R32" s="169"/>
      <c r="S32" s="169"/>
      <c r="T32" s="169">
        <v>54.440419033212549</v>
      </c>
      <c r="U32" s="170"/>
    </row>
    <row r="33" spans="1:21" x14ac:dyDescent="0.2">
      <c r="A33" s="92" t="s">
        <v>29</v>
      </c>
      <c r="B33" s="93" t="s">
        <v>90</v>
      </c>
      <c r="C33" s="129" t="s">
        <v>91</v>
      </c>
      <c r="D33" s="130" t="s">
        <v>233</v>
      </c>
      <c r="E33" s="165" t="s">
        <v>234</v>
      </c>
      <c r="F33" s="166"/>
      <c r="G33" s="166"/>
      <c r="H33" s="167"/>
      <c r="I33" s="167"/>
      <c r="J33" s="167"/>
      <c r="K33" s="177" t="str">
        <f t="shared" si="0"/>
        <v>Falta Tarifa</v>
      </c>
      <c r="L33" s="132" t="s">
        <v>33</v>
      </c>
      <c r="M33" s="178"/>
      <c r="N33" s="179"/>
      <c r="O33" s="169">
        <v>80057.647716003892</v>
      </c>
      <c r="P33" s="169"/>
      <c r="Q33" s="169"/>
      <c r="R33" s="169"/>
      <c r="S33" s="169"/>
      <c r="T33" s="169">
        <v>54.440419033212549</v>
      </c>
      <c r="U33" s="170"/>
    </row>
    <row r="34" spans="1:21" x14ac:dyDescent="0.2">
      <c r="A34" s="92" t="s">
        <v>29</v>
      </c>
      <c r="B34" s="93" t="s">
        <v>90</v>
      </c>
      <c r="C34" s="129" t="s">
        <v>91</v>
      </c>
      <c r="D34" s="131" t="s">
        <v>235</v>
      </c>
      <c r="E34" s="165" t="s">
        <v>236</v>
      </c>
      <c r="F34" s="166"/>
      <c r="G34" s="166"/>
      <c r="H34" s="167"/>
      <c r="I34" s="167"/>
      <c r="J34" s="167"/>
      <c r="K34" s="177" t="str">
        <f t="shared" si="0"/>
        <v>Falta Tarifa</v>
      </c>
      <c r="L34" s="132" t="s">
        <v>33</v>
      </c>
      <c r="M34" s="178"/>
      <c r="N34" s="179"/>
      <c r="O34" s="169">
        <v>80057.647716003892</v>
      </c>
      <c r="P34" s="169"/>
      <c r="Q34" s="169"/>
      <c r="R34" s="169"/>
      <c r="S34" s="169"/>
      <c r="T34" s="169">
        <v>54.440419033212549</v>
      </c>
      <c r="U34" s="170"/>
    </row>
    <row r="35" spans="1:21" x14ac:dyDescent="0.2">
      <c r="A35" s="3" t="s">
        <v>29</v>
      </c>
      <c r="B35" s="4" t="s">
        <v>90</v>
      </c>
      <c r="C35" s="127" t="s">
        <v>91</v>
      </c>
      <c r="D35" s="132" t="s">
        <v>91</v>
      </c>
      <c r="E35" s="165" t="s">
        <v>92</v>
      </c>
      <c r="F35" s="172"/>
      <c r="G35" s="173"/>
      <c r="H35" s="173"/>
      <c r="I35" s="173"/>
      <c r="J35" s="173"/>
      <c r="K35" s="174" t="str">
        <f t="shared" si="0"/>
        <v>Falta Tarifa</v>
      </c>
      <c r="L35" s="132" t="s">
        <v>33</v>
      </c>
      <c r="M35" s="174"/>
      <c r="N35" s="175"/>
      <c r="O35" s="169">
        <v>80057.647716003892</v>
      </c>
      <c r="P35" s="169"/>
      <c r="Q35" s="169"/>
      <c r="R35" s="169"/>
      <c r="S35" s="169"/>
      <c r="T35" s="169">
        <v>54.440419033212549</v>
      </c>
      <c r="U35" s="176"/>
    </row>
    <row r="36" spans="1:21" x14ac:dyDescent="0.2">
      <c r="A36" s="92" t="s">
        <v>29</v>
      </c>
      <c r="B36" s="93" t="s">
        <v>90</v>
      </c>
      <c r="C36" s="129" t="s">
        <v>91</v>
      </c>
      <c r="D36" s="130" t="s">
        <v>239</v>
      </c>
      <c r="E36" s="165" t="s">
        <v>240</v>
      </c>
      <c r="F36" s="166"/>
      <c r="G36" s="166"/>
      <c r="H36" s="167"/>
      <c r="I36" s="167"/>
      <c r="J36" s="167"/>
      <c r="K36" s="177" t="str">
        <f t="shared" si="0"/>
        <v>Falta Tarifa</v>
      </c>
      <c r="L36" s="132" t="s">
        <v>33</v>
      </c>
      <c r="M36" s="178"/>
      <c r="N36" s="179"/>
      <c r="O36" s="169">
        <v>80057.647716003892</v>
      </c>
      <c r="P36" s="169"/>
      <c r="Q36" s="169"/>
      <c r="R36" s="169"/>
      <c r="S36" s="169"/>
      <c r="T36" s="169">
        <v>54.440419033212549</v>
      </c>
      <c r="U36" s="170"/>
    </row>
    <row r="37" spans="1:21" x14ac:dyDescent="0.2">
      <c r="A37" s="3" t="s">
        <v>29</v>
      </c>
      <c r="B37" s="4" t="s">
        <v>90</v>
      </c>
      <c r="C37" s="127" t="s">
        <v>135</v>
      </c>
      <c r="D37" s="128" t="s">
        <v>136</v>
      </c>
      <c r="E37" s="165" t="s">
        <v>137</v>
      </c>
      <c r="F37" s="172"/>
      <c r="G37" s="173"/>
      <c r="H37" s="173"/>
      <c r="I37" s="173"/>
      <c r="J37" s="173"/>
      <c r="K37" s="174" t="str">
        <f t="shared" si="0"/>
        <v>Falta Tarifa</v>
      </c>
      <c r="L37" s="132" t="s">
        <v>33</v>
      </c>
      <c r="M37" s="174"/>
      <c r="N37" s="175"/>
      <c r="O37" s="169">
        <v>82492.540360715226</v>
      </c>
      <c r="P37" s="169"/>
      <c r="Q37" s="169"/>
      <c r="R37" s="169"/>
      <c r="S37" s="169"/>
      <c r="T37" s="169">
        <v>58.321029185721308</v>
      </c>
      <c r="U37" s="176"/>
    </row>
    <row r="38" spans="1:21" x14ac:dyDescent="0.2">
      <c r="A38" s="3" t="s">
        <v>29</v>
      </c>
      <c r="B38" s="4" t="s">
        <v>90</v>
      </c>
      <c r="C38" s="127" t="s">
        <v>138</v>
      </c>
      <c r="D38" s="128" t="s">
        <v>139</v>
      </c>
      <c r="E38" s="165" t="s">
        <v>140</v>
      </c>
      <c r="F38" s="172"/>
      <c r="G38" s="173"/>
      <c r="H38" s="173"/>
      <c r="I38" s="173"/>
      <c r="J38" s="173"/>
      <c r="K38" s="174" t="str">
        <f t="shared" si="0"/>
        <v>Falta Tarifa</v>
      </c>
      <c r="L38" s="132" t="s">
        <v>33</v>
      </c>
      <c r="M38" s="174"/>
      <c r="N38" s="175"/>
      <c r="O38" s="169">
        <v>74164.81404502035</v>
      </c>
      <c r="P38" s="169"/>
      <c r="Q38" s="169"/>
      <c r="R38" s="169"/>
      <c r="S38" s="169"/>
      <c r="T38" s="169">
        <v>45.048715370082569</v>
      </c>
      <c r="U38" s="176"/>
    </row>
    <row r="39" spans="1:21" x14ac:dyDescent="0.2">
      <c r="A39" s="3" t="s">
        <v>29</v>
      </c>
      <c r="B39" s="4" t="s">
        <v>90</v>
      </c>
      <c r="C39" s="127" t="s">
        <v>91</v>
      </c>
      <c r="D39" s="128" t="s">
        <v>146</v>
      </c>
      <c r="E39" s="165" t="s">
        <v>147</v>
      </c>
      <c r="F39" s="172"/>
      <c r="G39" s="173"/>
      <c r="H39" s="173"/>
      <c r="I39" s="173"/>
      <c r="J39" s="173"/>
      <c r="K39" s="174" t="str">
        <f t="shared" si="0"/>
        <v>Falta Tarifa</v>
      </c>
      <c r="L39" s="132" t="s">
        <v>33</v>
      </c>
      <c r="M39" s="174"/>
      <c r="N39" s="175"/>
      <c r="O39" s="169">
        <v>82492.540360715226</v>
      </c>
      <c r="P39" s="169"/>
      <c r="Q39" s="169"/>
      <c r="R39" s="169"/>
      <c r="S39" s="169"/>
      <c r="T39" s="169">
        <v>58.321029185721308</v>
      </c>
      <c r="U39" s="176"/>
    </row>
    <row r="40" spans="1:21" x14ac:dyDescent="0.2">
      <c r="A40" s="3" t="s">
        <v>29</v>
      </c>
      <c r="B40" s="4" t="s">
        <v>90</v>
      </c>
      <c r="C40" s="127" t="s">
        <v>138</v>
      </c>
      <c r="D40" s="132" t="s">
        <v>170</v>
      </c>
      <c r="E40" s="165" t="s">
        <v>171</v>
      </c>
      <c r="F40" s="172"/>
      <c r="G40" s="173"/>
      <c r="H40" s="173"/>
      <c r="I40" s="173"/>
      <c r="J40" s="173"/>
      <c r="K40" s="174" t="str">
        <f t="shared" si="0"/>
        <v>Falta Tarifa</v>
      </c>
      <c r="L40" s="132" t="s">
        <v>33</v>
      </c>
      <c r="M40" s="174"/>
      <c r="N40" s="175"/>
      <c r="O40" s="169">
        <v>73775.239013367172</v>
      </c>
      <c r="P40" s="169"/>
      <c r="Q40" s="169"/>
      <c r="R40" s="169"/>
      <c r="S40" s="169"/>
      <c r="T40" s="169">
        <v>44.427830163385302</v>
      </c>
      <c r="U40" s="176"/>
    </row>
    <row r="41" spans="1:21" x14ac:dyDescent="0.2">
      <c r="A41" s="3" t="s">
        <v>29</v>
      </c>
      <c r="B41" s="4" t="s">
        <v>54</v>
      </c>
      <c r="C41" s="127" t="s">
        <v>55</v>
      </c>
      <c r="D41" s="132" t="s">
        <v>56</v>
      </c>
      <c r="E41" s="165" t="s">
        <v>57</v>
      </c>
      <c r="F41" s="172"/>
      <c r="G41" s="173"/>
      <c r="H41" s="173"/>
      <c r="I41" s="173"/>
      <c r="J41" s="173"/>
      <c r="K41" s="174" t="str">
        <f t="shared" si="0"/>
        <v>Falta Tarifa</v>
      </c>
      <c r="L41" s="132" t="s">
        <v>33</v>
      </c>
      <c r="M41" s="174"/>
      <c r="N41" s="175"/>
      <c r="O41" s="169">
        <v>63923.105598813338</v>
      </c>
      <c r="P41" s="169"/>
      <c r="Q41" s="169"/>
      <c r="R41" s="169"/>
      <c r="S41" s="169"/>
      <c r="T41" s="169">
        <v>28.725992533940161</v>
      </c>
      <c r="U41" s="176"/>
    </row>
    <row r="42" spans="1:21" x14ac:dyDescent="0.2">
      <c r="A42" s="3" t="s">
        <v>29</v>
      </c>
      <c r="B42" s="4" t="s">
        <v>54</v>
      </c>
      <c r="C42" s="127" t="s">
        <v>55</v>
      </c>
      <c r="D42" s="132" t="s">
        <v>79</v>
      </c>
      <c r="E42" s="165" t="s">
        <v>80</v>
      </c>
      <c r="F42" s="172"/>
      <c r="G42" s="173"/>
      <c r="H42" s="173"/>
      <c r="I42" s="173"/>
      <c r="J42" s="173"/>
      <c r="K42" s="174" t="str">
        <f t="shared" si="0"/>
        <v>Falta Tarifa</v>
      </c>
      <c r="L42" s="132" t="s">
        <v>33</v>
      </c>
      <c r="M42" s="174"/>
      <c r="N42" s="175"/>
      <c r="O42" s="169">
        <v>58892.795917597861</v>
      </c>
      <c r="P42" s="169"/>
      <c r="Q42" s="169"/>
      <c r="R42" s="169"/>
      <c r="S42" s="169"/>
      <c r="T42" s="169">
        <v>20.708936479503027</v>
      </c>
      <c r="U42" s="176"/>
    </row>
    <row r="43" spans="1:21" x14ac:dyDescent="0.2">
      <c r="A43" s="3" t="s">
        <v>29</v>
      </c>
      <c r="B43" s="4" t="s">
        <v>70</v>
      </c>
      <c r="C43" s="127" t="s">
        <v>71</v>
      </c>
      <c r="D43" s="128" t="s">
        <v>71</v>
      </c>
      <c r="E43" s="165" t="s">
        <v>72</v>
      </c>
      <c r="F43" s="172"/>
      <c r="G43" s="173"/>
      <c r="H43" s="173"/>
      <c r="I43" s="173"/>
      <c r="J43" s="173"/>
      <c r="K43" s="174" t="str">
        <f t="shared" si="0"/>
        <v>Falta Tarifa</v>
      </c>
      <c r="L43" s="132" t="s">
        <v>33</v>
      </c>
      <c r="M43" s="174"/>
      <c r="N43" s="175"/>
      <c r="O43" s="169">
        <v>82979.518889657542</v>
      </c>
      <c r="P43" s="169"/>
      <c r="Q43" s="169"/>
      <c r="R43" s="169"/>
      <c r="S43" s="169"/>
      <c r="T43" s="169">
        <v>59.097151216223082</v>
      </c>
      <c r="U43" s="176"/>
    </row>
    <row r="44" spans="1:21" x14ac:dyDescent="0.2">
      <c r="A44" s="3" t="s">
        <v>29</v>
      </c>
      <c r="B44" s="4" t="s">
        <v>70</v>
      </c>
      <c r="C44" s="127" t="s">
        <v>95</v>
      </c>
      <c r="D44" s="132" t="s">
        <v>96</v>
      </c>
      <c r="E44" s="165" t="s">
        <v>97</v>
      </c>
      <c r="F44" s="172"/>
      <c r="G44" s="173"/>
      <c r="H44" s="173"/>
      <c r="I44" s="173"/>
      <c r="J44" s="173"/>
      <c r="K44" s="174" t="str">
        <f t="shared" si="0"/>
        <v>Falta Tarifa</v>
      </c>
      <c r="L44" s="132" t="s">
        <v>33</v>
      </c>
      <c r="M44" s="174"/>
      <c r="N44" s="175"/>
      <c r="O44" s="169">
        <v>78840.201393648153</v>
      </c>
      <c r="P44" s="169"/>
      <c r="Q44" s="169"/>
      <c r="R44" s="169"/>
      <c r="S44" s="169"/>
      <c r="T44" s="169">
        <v>52.500113956958145</v>
      </c>
      <c r="U44" s="176"/>
    </row>
    <row r="45" spans="1:21" x14ac:dyDescent="0.2">
      <c r="A45" s="3" t="s">
        <v>29</v>
      </c>
      <c r="B45" s="4" t="s">
        <v>70</v>
      </c>
      <c r="C45" s="127" t="s">
        <v>104</v>
      </c>
      <c r="D45" s="128" t="s">
        <v>105</v>
      </c>
      <c r="E45" s="165" t="s">
        <v>106</v>
      </c>
      <c r="F45" s="172"/>
      <c r="G45" s="173"/>
      <c r="H45" s="173"/>
      <c r="I45" s="173"/>
      <c r="J45" s="173"/>
      <c r="K45" s="174" t="str">
        <f t="shared" si="0"/>
        <v>Falta Tarifa</v>
      </c>
      <c r="L45" s="132" t="s">
        <v>33</v>
      </c>
      <c r="M45" s="174"/>
      <c r="N45" s="175"/>
      <c r="O45" s="169">
        <v>78840.201393648153</v>
      </c>
      <c r="P45" s="169"/>
      <c r="Q45" s="169"/>
      <c r="R45" s="169"/>
      <c r="S45" s="169"/>
      <c r="T45" s="169">
        <v>52.500113956958145</v>
      </c>
      <c r="U45" s="176"/>
    </row>
    <row r="46" spans="1:21" x14ac:dyDescent="0.2">
      <c r="A46" s="3" t="s">
        <v>29</v>
      </c>
      <c r="B46" s="4" t="s">
        <v>70</v>
      </c>
      <c r="C46" s="127" t="s">
        <v>95</v>
      </c>
      <c r="D46" s="132" t="s">
        <v>117</v>
      </c>
      <c r="E46" s="165" t="s">
        <v>118</v>
      </c>
      <c r="F46" s="172"/>
      <c r="G46" s="173"/>
      <c r="H46" s="173"/>
      <c r="I46" s="173"/>
      <c r="J46" s="173"/>
      <c r="K46" s="174" t="str">
        <f t="shared" si="0"/>
        <v>Falta Tarifa</v>
      </c>
      <c r="L46" s="132" t="s">
        <v>33</v>
      </c>
      <c r="M46" s="174"/>
      <c r="N46" s="175"/>
      <c r="O46" s="169">
        <v>78840.201393648153</v>
      </c>
      <c r="P46" s="169"/>
      <c r="Q46" s="169"/>
      <c r="R46" s="169"/>
      <c r="S46" s="169"/>
      <c r="T46" s="169">
        <v>52.500113956958145</v>
      </c>
      <c r="U46" s="176"/>
    </row>
    <row r="47" spans="1:21" x14ac:dyDescent="0.2">
      <c r="A47" s="3" t="s">
        <v>29</v>
      </c>
      <c r="B47" s="4" t="s">
        <v>42</v>
      </c>
      <c r="C47" s="127" t="s">
        <v>43</v>
      </c>
      <c r="D47" s="132" t="s">
        <v>43</v>
      </c>
      <c r="E47" s="165" t="s">
        <v>44</v>
      </c>
      <c r="F47" s="172"/>
      <c r="G47" s="173"/>
      <c r="H47" s="173"/>
      <c r="I47" s="173"/>
      <c r="J47" s="173"/>
      <c r="K47" s="174" t="str">
        <f t="shared" si="0"/>
        <v>Falta Tarifa</v>
      </c>
      <c r="L47" s="132" t="s">
        <v>33</v>
      </c>
      <c r="M47" s="174"/>
      <c r="N47" s="175"/>
      <c r="O47" s="169">
        <v>81883.817199537414</v>
      </c>
      <c r="P47" s="169"/>
      <c r="Q47" s="169"/>
      <c r="R47" s="169"/>
      <c r="S47" s="169"/>
      <c r="T47" s="169">
        <v>57.350876647594113</v>
      </c>
      <c r="U47" s="176"/>
    </row>
    <row r="48" spans="1:21" x14ac:dyDescent="0.2">
      <c r="A48" s="3" t="s">
        <v>29</v>
      </c>
      <c r="B48" s="4" t="s">
        <v>42</v>
      </c>
      <c r="C48" s="127" t="s">
        <v>130</v>
      </c>
      <c r="D48" s="128" t="s">
        <v>455</v>
      </c>
      <c r="E48" s="165" t="s">
        <v>755</v>
      </c>
      <c r="F48" s="180"/>
      <c r="G48" s="172"/>
      <c r="H48" s="173"/>
      <c r="I48" s="173"/>
      <c r="J48" s="173"/>
      <c r="K48" s="174" t="str">
        <f t="shared" si="0"/>
        <v>Falta Tarifa</v>
      </c>
      <c r="L48" s="132" t="s">
        <v>33</v>
      </c>
      <c r="M48" s="174"/>
      <c r="N48" s="175"/>
      <c r="O48" s="169">
        <v>91014.664617205053</v>
      </c>
      <c r="P48" s="169"/>
      <c r="Q48" s="169"/>
      <c r="R48" s="169"/>
      <c r="S48" s="169"/>
      <c r="T48" s="169">
        <v>71.903164719501987</v>
      </c>
      <c r="U48" s="186"/>
    </row>
    <row r="49" spans="1:21" x14ac:dyDescent="0.2">
      <c r="A49" s="3" t="s">
        <v>29</v>
      </c>
      <c r="B49" s="4" t="s">
        <v>42</v>
      </c>
      <c r="C49" s="127" t="s">
        <v>130</v>
      </c>
      <c r="D49" s="132" t="s">
        <v>130</v>
      </c>
      <c r="E49" s="165" t="s">
        <v>131</v>
      </c>
      <c r="F49" s="172"/>
      <c r="G49" s="173"/>
      <c r="H49" s="173"/>
      <c r="I49" s="173"/>
      <c r="J49" s="173"/>
      <c r="K49" s="174" t="str">
        <f t="shared" si="0"/>
        <v>Falta Tarifa</v>
      </c>
      <c r="L49" s="132" t="s">
        <v>33</v>
      </c>
      <c r="M49" s="174"/>
      <c r="N49" s="175"/>
      <c r="O49" s="169">
        <v>91014.664617205053</v>
      </c>
      <c r="P49" s="169"/>
      <c r="Q49" s="169"/>
      <c r="R49" s="169"/>
      <c r="S49" s="169"/>
      <c r="T49" s="169">
        <v>71.903164719501987</v>
      </c>
      <c r="U49" s="176"/>
    </row>
    <row r="50" spans="1:21" x14ac:dyDescent="0.2">
      <c r="A50" s="3" t="s">
        <v>29</v>
      </c>
      <c r="B50" s="4" t="s">
        <v>42</v>
      </c>
      <c r="C50" s="127" t="s">
        <v>143</v>
      </c>
      <c r="D50" s="132" t="s">
        <v>144</v>
      </c>
      <c r="E50" s="165" t="s">
        <v>145</v>
      </c>
      <c r="F50" s="172"/>
      <c r="G50" s="173"/>
      <c r="H50" s="173"/>
      <c r="I50" s="173"/>
      <c r="J50" s="173"/>
      <c r="K50" s="174" t="str">
        <f t="shared" si="0"/>
        <v>Falta Tarifa</v>
      </c>
      <c r="L50" s="132" t="s">
        <v>33</v>
      </c>
      <c r="M50" s="174"/>
      <c r="N50" s="175"/>
      <c r="O50" s="169">
        <v>83709.986683070951</v>
      </c>
      <c r="P50" s="169"/>
      <c r="Q50" s="169"/>
      <c r="R50" s="169"/>
      <c r="S50" s="169"/>
      <c r="T50" s="169">
        <v>60.261334261975698</v>
      </c>
      <c r="U50" s="176"/>
    </row>
    <row r="51" spans="1:21" x14ac:dyDescent="0.2">
      <c r="A51" s="3" t="s">
        <v>29</v>
      </c>
      <c r="B51" s="4" t="s">
        <v>42</v>
      </c>
      <c r="C51" s="127" t="s">
        <v>148</v>
      </c>
      <c r="D51" s="128" t="s">
        <v>149</v>
      </c>
      <c r="E51" s="165" t="s">
        <v>150</v>
      </c>
      <c r="F51" s="172"/>
      <c r="G51" s="173"/>
      <c r="H51" s="173"/>
      <c r="I51" s="173"/>
      <c r="J51" s="173"/>
      <c r="K51" s="174" t="str">
        <f t="shared" si="0"/>
        <v>Falta Tarifa</v>
      </c>
      <c r="L51" s="132" t="s">
        <v>33</v>
      </c>
      <c r="M51" s="174"/>
      <c r="N51" s="175"/>
      <c r="O51" s="169">
        <v>92840.834100738604</v>
      </c>
      <c r="P51" s="169"/>
      <c r="Q51" s="169"/>
      <c r="R51" s="169"/>
      <c r="S51" s="169"/>
      <c r="T51" s="169">
        <v>74.813622333883586</v>
      </c>
      <c r="U51" s="176"/>
    </row>
    <row r="52" spans="1:21" x14ac:dyDescent="0.2">
      <c r="A52" s="3" t="s">
        <v>29</v>
      </c>
      <c r="B52" s="4" t="s">
        <v>42</v>
      </c>
      <c r="C52" s="127" t="s">
        <v>154</v>
      </c>
      <c r="D52" s="132" t="s">
        <v>154</v>
      </c>
      <c r="E52" s="165" t="s">
        <v>155</v>
      </c>
      <c r="F52" s="172"/>
      <c r="G52" s="173"/>
      <c r="H52" s="173"/>
      <c r="I52" s="173"/>
      <c r="J52" s="173"/>
      <c r="K52" s="174" t="str">
        <f t="shared" si="0"/>
        <v>Falta Tarifa</v>
      </c>
      <c r="L52" s="132" t="s">
        <v>33</v>
      </c>
      <c r="M52" s="174"/>
      <c r="N52" s="175"/>
      <c r="O52" s="169">
        <v>79570.66918706159</v>
      </c>
      <c r="P52" s="169"/>
      <c r="Q52" s="169"/>
      <c r="R52" s="169"/>
      <c r="S52" s="169"/>
      <c r="T52" s="169">
        <v>53.664297002710796</v>
      </c>
      <c r="U52" s="176"/>
    </row>
    <row r="53" spans="1:21" x14ac:dyDescent="0.2">
      <c r="A53" s="92" t="s">
        <v>29</v>
      </c>
      <c r="B53" s="93" t="s">
        <v>73</v>
      </c>
      <c r="C53" s="129" t="s">
        <v>81</v>
      </c>
      <c r="D53" s="130" t="s">
        <v>247</v>
      </c>
      <c r="E53" s="165" t="s">
        <v>248</v>
      </c>
      <c r="F53" s="166"/>
      <c r="G53" s="166"/>
      <c r="H53" s="167"/>
      <c r="I53" s="167"/>
      <c r="J53" s="167"/>
      <c r="K53" s="177" t="str">
        <f t="shared" si="0"/>
        <v>Falta Tarifa</v>
      </c>
      <c r="L53" s="132" t="s">
        <v>33</v>
      </c>
      <c r="M53" s="178"/>
      <c r="N53" s="179"/>
      <c r="O53" s="169">
        <v>60150.373337901772</v>
      </c>
      <c r="P53" s="169"/>
      <c r="Q53" s="169"/>
      <c r="R53" s="169"/>
      <c r="S53" s="169"/>
      <c r="T53" s="169">
        <v>22.713200493112307</v>
      </c>
      <c r="U53" s="170"/>
    </row>
    <row r="54" spans="1:21" x14ac:dyDescent="0.2">
      <c r="A54" s="92" t="s">
        <v>29</v>
      </c>
      <c r="B54" s="93" t="s">
        <v>73</v>
      </c>
      <c r="C54" s="129" t="s">
        <v>81</v>
      </c>
      <c r="D54" s="130" t="s">
        <v>247</v>
      </c>
      <c r="E54" s="165" t="s">
        <v>248</v>
      </c>
      <c r="F54" s="166"/>
      <c r="G54" s="166"/>
      <c r="H54" s="167"/>
      <c r="I54" s="167"/>
      <c r="J54" s="167"/>
      <c r="K54" s="177" t="str">
        <f t="shared" si="0"/>
        <v>Falta Tarifa</v>
      </c>
      <c r="L54" s="132" t="s">
        <v>33</v>
      </c>
      <c r="M54" s="178"/>
      <c r="N54" s="179"/>
      <c r="O54" s="169">
        <v>60150.373337901772</v>
      </c>
      <c r="P54" s="169"/>
      <c r="Q54" s="169"/>
      <c r="R54" s="169"/>
      <c r="S54" s="169"/>
      <c r="T54" s="169">
        <v>22.713200493112307</v>
      </c>
      <c r="U54" s="170"/>
    </row>
    <row r="55" spans="1:21" x14ac:dyDescent="0.2">
      <c r="A55" s="3" t="s">
        <v>29</v>
      </c>
      <c r="B55" s="4" t="s">
        <v>73</v>
      </c>
      <c r="C55" s="127" t="s">
        <v>74</v>
      </c>
      <c r="D55" s="132" t="s">
        <v>75</v>
      </c>
      <c r="E55" s="165" t="s">
        <v>76</v>
      </c>
      <c r="F55" s="172"/>
      <c r="G55" s="173"/>
      <c r="H55" s="173"/>
      <c r="I55" s="173"/>
      <c r="J55" s="173"/>
      <c r="K55" s="174" t="str">
        <f t="shared" si="0"/>
        <v>Falta Tarifa</v>
      </c>
      <c r="L55" s="132" t="s">
        <v>33</v>
      </c>
      <c r="M55" s="174"/>
      <c r="N55" s="175"/>
      <c r="O55" s="169">
        <v>70630.185173767299</v>
      </c>
      <c r="P55" s="169"/>
      <c r="Q55" s="169"/>
      <c r="R55" s="169"/>
      <c r="S55" s="169"/>
      <c r="T55" s="169">
        <v>39.415400606523008</v>
      </c>
      <c r="U55" s="176"/>
    </row>
    <row r="56" spans="1:21" x14ac:dyDescent="0.2">
      <c r="A56" s="3" t="s">
        <v>29</v>
      </c>
      <c r="B56" s="4" t="s">
        <v>73</v>
      </c>
      <c r="C56" s="127" t="s">
        <v>81</v>
      </c>
      <c r="D56" s="128" t="s">
        <v>82</v>
      </c>
      <c r="E56" s="165" t="s">
        <v>83</v>
      </c>
      <c r="F56" s="172"/>
      <c r="G56" s="173"/>
      <c r="H56" s="173"/>
      <c r="I56" s="173"/>
      <c r="J56" s="173"/>
      <c r="K56" s="174" t="str">
        <f t="shared" si="0"/>
        <v>Falta Tarifa</v>
      </c>
      <c r="L56" s="132" t="s">
        <v>33</v>
      </c>
      <c r="M56" s="174"/>
      <c r="N56" s="175"/>
      <c r="O56" s="169">
        <v>60150.373337901772</v>
      </c>
      <c r="P56" s="169"/>
      <c r="Q56" s="169"/>
      <c r="R56" s="169"/>
      <c r="S56" s="169"/>
      <c r="T56" s="169">
        <v>22.713200493112307</v>
      </c>
      <c r="U56" s="176"/>
    </row>
    <row r="57" spans="1:21" x14ac:dyDescent="0.2">
      <c r="A57" s="92" t="s">
        <v>29</v>
      </c>
      <c r="B57" s="93" t="s">
        <v>73</v>
      </c>
      <c r="C57" s="129" t="s">
        <v>81</v>
      </c>
      <c r="D57" s="131" t="s">
        <v>251</v>
      </c>
      <c r="E57" s="165" t="s">
        <v>252</v>
      </c>
      <c r="F57" s="166"/>
      <c r="G57" s="166"/>
      <c r="H57" s="167"/>
      <c r="I57" s="167"/>
      <c r="J57" s="167"/>
      <c r="K57" s="177" t="str">
        <f t="shared" si="0"/>
        <v>Falta Tarifa</v>
      </c>
      <c r="L57" s="132" t="s">
        <v>33</v>
      </c>
      <c r="M57" s="178"/>
      <c r="N57" s="179"/>
      <c r="O57" s="169">
        <v>64342.298072247962</v>
      </c>
      <c r="P57" s="169"/>
      <c r="Q57" s="169"/>
      <c r="R57" s="169"/>
      <c r="S57" s="169"/>
      <c r="T57" s="169">
        <v>29.39408053847659</v>
      </c>
      <c r="U57" s="170"/>
    </row>
    <row r="58" spans="1:21" x14ac:dyDescent="0.2">
      <c r="A58" s="3" t="s">
        <v>29</v>
      </c>
      <c r="B58" s="4" t="s">
        <v>73</v>
      </c>
      <c r="C58" s="127" t="s">
        <v>81</v>
      </c>
      <c r="D58" s="128" t="s">
        <v>98</v>
      </c>
      <c r="E58" s="165" t="s">
        <v>99</v>
      </c>
      <c r="F58" s="172"/>
      <c r="G58" s="173"/>
      <c r="H58" s="173"/>
      <c r="I58" s="173"/>
      <c r="J58" s="173"/>
      <c r="K58" s="174" t="str">
        <f t="shared" si="0"/>
        <v>Falta Tarifa</v>
      </c>
      <c r="L58" s="132" t="s">
        <v>33</v>
      </c>
      <c r="M58" s="174"/>
      <c r="N58" s="175"/>
      <c r="O58" s="169">
        <v>63503.913125378735</v>
      </c>
      <c r="P58" s="169"/>
      <c r="Q58" s="169"/>
      <c r="R58" s="169"/>
      <c r="S58" s="169"/>
      <c r="T58" s="169">
        <v>28.057904529403732</v>
      </c>
      <c r="U58" s="176"/>
    </row>
    <row r="59" spans="1:21" x14ac:dyDescent="0.2">
      <c r="A59" s="3" t="s">
        <v>29</v>
      </c>
      <c r="B59" s="4" t="s">
        <v>73</v>
      </c>
      <c r="C59" s="127" t="s">
        <v>74</v>
      </c>
      <c r="D59" s="128" t="s">
        <v>152</v>
      </c>
      <c r="E59" s="165" t="s">
        <v>153</v>
      </c>
      <c r="F59" s="172"/>
      <c r="G59" s="173"/>
      <c r="H59" s="173"/>
      <c r="I59" s="173"/>
      <c r="J59" s="173"/>
      <c r="K59" s="174" t="str">
        <f t="shared" si="0"/>
        <v>Falta Tarifa</v>
      </c>
      <c r="L59" s="132" t="s">
        <v>33</v>
      </c>
      <c r="M59" s="174"/>
      <c r="N59" s="175"/>
      <c r="O59" s="169">
        <v>68534.222806594189</v>
      </c>
      <c r="P59" s="169"/>
      <c r="Q59" s="169"/>
      <c r="R59" s="169"/>
      <c r="S59" s="169"/>
      <c r="T59" s="169">
        <v>36.074960583840863</v>
      </c>
      <c r="U59" s="176"/>
    </row>
    <row r="60" spans="1:21" x14ac:dyDescent="0.2">
      <c r="A60" s="3" t="s">
        <v>29</v>
      </c>
      <c r="B60" s="4" t="s">
        <v>73</v>
      </c>
      <c r="C60" s="127" t="s">
        <v>81</v>
      </c>
      <c r="D60" s="128" t="s">
        <v>158</v>
      </c>
      <c r="E60" s="165" t="s">
        <v>159</v>
      </c>
      <c r="F60" s="172"/>
      <c r="G60" s="173"/>
      <c r="H60" s="173"/>
      <c r="I60" s="173"/>
      <c r="J60" s="173"/>
      <c r="K60" s="174" t="str">
        <f t="shared" si="0"/>
        <v>Falta Tarifa</v>
      </c>
      <c r="L60" s="132" t="s">
        <v>33</v>
      </c>
      <c r="M60" s="174"/>
      <c r="N60" s="175"/>
      <c r="O60" s="169">
        <v>64761.49054568258</v>
      </c>
      <c r="P60" s="169"/>
      <c r="Q60" s="169"/>
      <c r="R60" s="169"/>
      <c r="S60" s="169"/>
      <c r="T60" s="169">
        <v>30.062168543013009</v>
      </c>
      <c r="U60" s="176"/>
    </row>
    <row r="61" spans="1:21" x14ac:dyDescent="0.2">
      <c r="A61" s="3" t="s">
        <v>29</v>
      </c>
      <c r="B61" s="4" t="s">
        <v>34</v>
      </c>
      <c r="C61" s="127" t="s">
        <v>35</v>
      </c>
      <c r="D61" s="132" t="s">
        <v>36</v>
      </c>
      <c r="E61" s="165" t="s">
        <v>37</v>
      </c>
      <c r="F61" s="172"/>
      <c r="G61" s="173"/>
      <c r="H61" s="173"/>
      <c r="I61" s="173"/>
      <c r="J61" s="173"/>
      <c r="K61" s="174" t="str">
        <f t="shared" si="0"/>
        <v>Falta Tarifa</v>
      </c>
      <c r="L61" s="132" t="s">
        <v>33</v>
      </c>
      <c r="M61" s="174"/>
      <c r="N61" s="175"/>
      <c r="O61" s="169">
        <v>172009.52943480352</v>
      </c>
      <c r="P61" s="169"/>
      <c r="Q61" s="169"/>
      <c r="R61" s="169"/>
      <c r="S61" s="169"/>
      <c r="T61" s="169">
        <v>191.12169937200389</v>
      </c>
      <c r="U61" s="176"/>
    </row>
    <row r="62" spans="1:21" x14ac:dyDescent="0.2">
      <c r="A62" s="3" t="s">
        <v>29</v>
      </c>
      <c r="B62" s="4" t="s">
        <v>34</v>
      </c>
      <c r="C62" s="127" t="s">
        <v>51</v>
      </c>
      <c r="D62" s="128" t="s">
        <v>52</v>
      </c>
      <c r="E62" s="165" t="s">
        <v>53</v>
      </c>
      <c r="F62" s="172"/>
      <c r="G62" s="173"/>
      <c r="H62" s="173"/>
      <c r="I62" s="173"/>
      <c r="J62" s="173"/>
      <c r="K62" s="174" t="str">
        <f t="shared" si="0"/>
        <v>Falta Tarifa</v>
      </c>
      <c r="L62" s="132" t="s">
        <v>33</v>
      </c>
      <c r="M62" s="174"/>
      <c r="N62" s="175"/>
      <c r="O62" s="169">
        <v>133402.73721519925</v>
      </c>
      <c r="P62" s="169"/>
      <c r="Q62" s="169"/>
      <c r="R62" s="169"/>
      <c r="S62" s="169"/>
      <c r="T62" s="169">
        <v>148.22526357244357</v>
      </c>
      <c r="U62" s="176"/>
    </row>
    <row r="63" spans="1:21" x14ac:dyDescent="0.2">
      <c r="A63" s="3" t="s">
        <v>29</v>
      </c>
      <c r="B63" s="4" t="s">
        <v>34</v>
      </c>
      <c r="C63" s="127" t="s">
        <v>35</v>
      </c>
      <c r="D63" s="128" t="s">
        <v>61</v>
      </c>
      <c r="E63" s="165" t="s">
        <v>62</v>
      </c>
      <c r="F63" s="172"/>
      <c r="G63" s="173"/>
      <c r="H63" s="173"/>
      <c r="I63" s="173"/>
      <c r="J63" s="173"/>
      <c r="K63" s="174" t="str">
        <f t="shared" si="0"/>
        <v>Falta Tarifa</v>
      </c>
      <c r="L63" s="132" t="s">
        <v>33</v>
      </c>
      <c r="M63" s="174"/>
      <c r="N63" s="175"/>
      <c r="O63" s="169">
        <v>209613.15444068937</v>
      </c>
      <c r="P63" s="169"/>
      <c r="Q63" s="169"/>
      <c r="R63" s="169"/>
      <c r="S63" s="169"/>
      <c r="T63" s="169">
        <v>232.90350493409932</v>
      </c>
      <c r="U63" s="176"/>
    </row>
    <row r="64" spans="1:21" x14ac:dyDescent="0.2">
      <c r="A64" s="3" t="s">
        <v>29</v>
      </c>
      <c r="B64" s="4" t="s">
        <v>34</v>
      </c>
      <c r="C64" s="127" t="s">
        <v>35</v>
      </c>
      <c r="D64" s="128" t="s">
        <v>66</v>
      </c>
      <c r="E64" s="165" t="s">
        <v>67</v>
      </c>
      <c r="F64" s="172"/>
      <c r="G64" s="173"/>
      <c r="H64" s="173"/>
      <c r="I64" s="173"/>
      <c r="J64" s="173"/>
      <c r="K64" s="174" t="str">
        <f t="shared" si="0"/>
        <v>Falta Tarifa</v>
      </c>
      <c r="L64" s="132" t="s">
        <v>33</v>
      </c>
      <c r="M64" s="174"/>
      <c r="N64" s="175"/>
      <c r="O64" s="169">
        <v>298617.96274629526</v>
      </c>
      <c r="P64" s="169"/>
      <c r="Q64" s="169"/>
      <c r="R64" s="169"/>
      <c r="S64" s="169"/>
      <c r="T64" s="169">
        <v>331.79773638477235</v>
      </c>
      <c r="U64" s="176"/>
    </row>
    <row r="65" spans="1:21" x14ac:dyDescent="0.2">
      <c r="A65" s="3" t="s">
        <v>29</v>
      </c>
      <c r="B65" s="4" t="s">
        <v>34</v>
      </c>
      <c r="C65" s="127" t="s">
        <v>51</v>
      </c>
      <c r="D65" s="128" t="s">
        <v>68</v>
      </c>
      <c r="E65" s="165" t="s">
        <v>69</v>
      </c>
      <c r="F65" s="172"/>
      <c r="G65" s="173"/>
      <c r="H65" s="173"/>
      <c r="I65" s="173"/>
      <c r="J65" s="173"/>
      <c r="K65" s="174" t="str">
        <f t="shared" si="0"/>
        <v>Falta Tarifa</v>
      </c>
      <c r="L65" s="132" t="s">
        <v>33</v>
      </c>
      <c r="M65" s="174"/>
      <c r="N65" s="175"/>
      <c r="O65" s="187">
        <v>171196.1265341597</v>
      </c>
      <c r="P65" s="187"/>
      <c r="Q65" s="187"/>
      <c r="R65" s="187"/>
      <c r="S65" s="187"/>
      <c r="T65" s="188">
        <v>190.21791837128848</v>
      </c>
      <c r="U65" s="176"/>
    </row>
    <row r="66" spans="1:21" x14ac:dyDescent="0.2">
      <c r="A66" s="3" t="s">
        <v>29</v>
      </c>
      <c r="B66" s="4" t="s">
        <v>34</v>
      </c>
      <c r="C66" s="127" t="s">
        <v>35</v>
      </c>
      <c r="D66" s="128" t="s">
        <v>100</v>
      </c>
      <c r="E66" s="165" t="s">
        <v>101</v>
      </c>
      <c r="F66" s="172"/>
      <c r="G66" s="173"/>
      <c r="H66" s="173"/>
      <c r="I66" s="173"/>
      <c r="J66" s="173"/>
      <c r="K66" s="174" t="str">
        <f t="shared" si="0"/>
        <v>Falta Tarifa</v>
      </c>
      <c r="L66" s="132" t="s">
        <v>33</v>
      </c>
      <c r="M66" s="174"/>
      <c r="N66" s="175"/>
      <c r="O66" s="187">
        <v>209613.15444068937</v>
      </c>
      <c r="P66" s="187"/>
      <c r="Q66" s="187"/>
      <c r="R66" s="187"/>
      <c r="S66" s="187"/>
      <c r="T66" s="188">
        <v>232.90350493409932</v>
      </c>
      <c r="U66" s="176"/>
    </row>
    <row r="67" spans="1:21" x14ac:dyDescent="0.2">
      <c r="A67" s="3" t="s">
        <v>29</v>
      </c>
      <c r="B67" s="4" t="s">
        <v>34</v>
      </c>
      <c r="C67" s="127" t="s">
        <v>35</v>
      </c>
      <c r="D67" s="132" t="s">
        <v>102</v>
      </c>
      <c r="E67" s="165" t="s">
        <v>103</v>
      </c>
      <c r="F67" s="172"/>
      <c r="G67" s="173"/>
      <c r="H67" s="173"/>
      <c r="I67" s="173"/>
      <c r="J67" s="173"/>
      <c r="K67" s="174" t="str">
        <f t="shared" ref="K67:K130" si="1">IF(B67&lt;&gt;"BUE",IF(F67=0,"Falta Tarifa","Tarifado"),IF(AND(F67&lt;&gt;0,G67&lt;&gt;0,H67&lt;&gt;0,I67&lt;&gt;0,J67&lt;&gt;0),"Tarifado","Falta Tarifa"))</f>
        <v>Falta Tarifa</v>
      </c>
      <c r="L67" s="132" t="s">
        <v>33</v>
      </c>
      <c r="M67" s="174"/>
      <c r="N67" s="175"/>
      <c r="O67" s="187">
        <v>196166.61558042973</v>
      </c>
      <c r="P67" s="187"/>
      <c r="Q67" s="187"/>
      <c r="R67" s="187"/>
      <c r="S67" s="187"/>
      <c r="T67" s="187">
        <v>217.96290620047745</v>
      </c>
      <c r="U67" s="176"/>
    </row>
    <row r="68" spans="1:21" x14ac:dyDescent="0.2">
      <c r="A68" s="3" t="s">
        <v>29</v>
      </c>
      <c r="B68" s="4" t="s">
        <v>34</v>
      </c>
      <c r="C68" s="127" t="s">
        <v>35</v>
      </c>
      <c r="D68" s="132" t="s">
        <v>107</v>
      </c>
      <c r="E68" s="165" t="s">
        <v>108</v>
      </c>
      <c r="F68" s="180"/>
      <c r="G68" s="180"/>
      <c r="H68" s="180"/>
      <c r="I68" s="180"/>
      <c r="J68" s="180"/>
      <c r="K68" s="174" t="str">
        <f t="shared" si="1"/>
        <v>Falta Tarifa</v>
      </c>
      <c r="L68" s="132" t="s">
        <v>33</v>
      </c>
      <c r="M68" s="174"/>
      <c r="N68" s="175"/>
      <c r="O68" s="187">
        <v>209613.15444068937</v>
      </c>
      <c r="P68" s="187"/>
      <c r="Q68" s="187"/>
      <c r="R68" s="187"/>
      <c r="S68" s="187"/>
      <c r="T68" s="187">
        <v>232.90350493409932</v>
      </c>
      <c r="U68" s="176"/>
    </row>
    <row r="69" spans="1:21" x14ac:dyDescent="0.2">
      <c r="A69" s="3" t="s">
        <v>29</v>
      </c>
      <c r="B69" s="4" t="s">
        <v>34</v>
      </c>
      <c r="C69" s="6" t="s">
        <v>51</v>
      </c>
      <c r="D69" s="132" t="s">
        <v>109</v>
      </c>
      <c r="E69" s="165" t="s">
        <v>110</v>
      </c>
      <c r="F69" s="180"/>
      <c r="G69" s="180"/>
      <c r="H69" s="180"/>
      <c r="I69" s="180"/>
      <c r="J69" s="180"/>
      <c r="K69" s="174" t="str">
        <f t="shared" si="1"/>
        <v>Falta Tarifa</v>
      </c>
      <c r="L69" s="132" t="s">
        <v>33</v>
      </c>
      <c r="M69" s="174"/>
      <c r="N69" s="175"/>
      <c r="O69" s="187">
        <v>113541.63002565662</v>
      </c>
      <c r="P69" s="187"/>
      <c r="Q69" s="187"/>
      <c r="R69" s="187"/>
      <c r="S69" s="187"/>
      <c r="T69" s="187">
        <v>126.15736669517405</v>
      </c>
      <c r="U69" s="176"/>
    </row>
    <row r="70" spans="1:21" x14ac:dyDescent="0.2">
      <c r="A70" s="3" t="s">
        <v>29</v>
      </c>
      <c r="B70" s="4" t="s">
        <v>34</v>
      </c>
      <c r="C70" s="127" t="s">
        <v>35</v>
      </c>
      <c r="D70" s="128" t="s">
        <v>111</v>
      </c>
      <c r="E70" s="165" t="s">
        <v>112</v>
      </c>
      <c r="F70" s="180"/>
      <c r="G70" s="180"/>
      <c r="H70" s="180"/>
      <c r="I70" s="180"/>
      <c r="J70" s="180"/>
      <c r="K70" s="174" t="str">
        <f t="shared" si="1"/>
        <v>Falta Tarifa</v>
      </c>
      <c r="L70" s="132" t="s">
        <v>33</v>
      </c>
      <c r="M70" s="174"/>
      <c r="N70" s="175"/>
      <c r="O70" s="187">
        <v>209613.15444068937</v>
      </c>
      <c r="P70" s="187"/>
      <c r="Q70" s="187"/>
      <c r="R70" s="187"/>
      <c r="S70" s="187"/>
      <c r="T70" s="187">
        <v>232.90350493409932</v>
      </c>
      <c r="U70" s="176"/>
    </row>
    <row r="71" spans="1:21" x14ac:dyDescent="0.2">
      <c r="A71" s="3" t="s">
        <v>29</v>
      </c>
      <c r="B71" s="4" t="s">
        <v>34</v>
      </c>
      <c r="C71" s="6" t="s">
        <v>51</v>
      </c>
      <c r="D71" s="128" t="s">
        <v>113</v>
      </c>
      <c r="E71" s="165" t="s">
        <v>114</v>
      </c>
      <c r="F71" s="180"/>
      <c r="G71" s="180"/>
      <c r="H71" s="180"/>
      <c r="I71" s="180"/>
      <c r="J71" s="180"/>
      <c r="K71" s="174" t="str">
        <f t="shared" si="1"/>
        <v>Falta Tarifa</v>
      </c>
      <c r="L71" s="132" t="s">
        <v>33</v>
      </c>
      <c r="M71" s="174"/>
      <c r="N71" s="175"/>
      <c r="O71" s="187">
        <v>113541.63002565662</v>
      </c>
      <c r="P71" s="187"/>
      <c r="Q71" s="187"/>
      <c r="R71" s="187"/>
      <c r="S71" s="187"/>
      <c r="T71" s="187">
        <v>126.15736669517405</v>
      </c>
      <c r="U71" s="176"/>
    </row>
    <row r="72" spans="1:21" x14ac:dyDescent="0.2">
      <c r="A72" s="3" t="s">
        <v>29</v>
      </c>
      <c r="B72" s="4" t="s">
        <v>34</v>
      </c>
      <c r="C72" s="127" t="s">
        <v>35</v>
      </c>
      <c r="D72" s="132" t="s">
        <v>121</v>
      </c>
      <c r="E72" s="165" t="s">
        <v>122</v>
      </c>
      <c r="F72" s="180"/>
      <c r="G72" s="172"/>
      <c r="H72" s="173"/>
      <c r="I72" s="173"/>
      <c r="J72" s="173"/>
      <c r="K72" s="174" t="str">
        <f t="shared" si="1"/>
        <v>Falta Tarifa</v>
      </c>
      <c r="L72" s="132" t="s">
        <v>33</v>
      </c>
      <c r="M72" s="174"/>
      <c r="N72" s="175"/>
      <c r="O72" s="187">
        <v>222418.23646802065</v>
      </c>
      <c r="P72" s="187"/>
      <c r="Q72" s="187"/>
      <c r="R72" s="187"/>
      <c r="S72" s="187"/>
      <c r="T72" s="187">
        <v>247.13137385335628</v>
      </c>
      <c r="U72" s="176"/>
    </row>
    <row r="73" spans="1:21" x14ac:dyDescent="0.2">
      <c r="A73" s="3" t="s">
        <v>29</v>
      </c>
      <c r="B73" s="4" t="s">
        <v>34</v>
      </c>
      <c r="C73" s="127" t="s">
        <v>123</v>
      </c>
      <c r="D73" s="132" t="s">
        <v>124</v>
      </c>
      <c r="E73" s="165" t="s">
        <v>125</v>
      </c>
      <c r="F73" s="180"/>
      <c r="G73" s="172"/>
      <c r="H73" s="173"/>
      <c r="I73" s="173"/>
      <c r="J73" s="173"/>
      <c r="K73" s="174" t="str">
        <f t="shared" si="1"/>
        <v>Falta Tarifa</v>
      </c>
      <c r="L73" s="132" t="s">
        <v>33</v>
      </c>
      <c r="M73" s="174"/>
      <c r="N73" s="175"/>
      <c r="O73" s="187">
        <v>285909.99015617126</v>
      </c>
      <c r="P73" s="187"/>
      <c r="Q73" s="187"/>
      <c r="R73" s="187"/>
      <c r="S73" s="187"/>
      <c r="T73" s="187">
        <v>317.67776684019009</v>
      </c>
      <c r="U73" s="176"/>
    </row>
    <row r="74" spans="1:21" x14ac:dyDescent="0.2">
      <c r="A74" s="3" t="s">
        <v>29</v>
      </c>
      <c r="B74" s="4" t="s">
        <v>34</v>
      </c>
      <c r="C74" s="127" t="s">
        <v>35</v>
      </c>
      <c r="D74" s="128" t="s">
        <v>126</v>
      </c>
      <c r="E74" s="165" t="s">
        <v>127</v>
      </c>
      <c r="F74" s="180"/>
      <c r="G74" s="180"/>
      <c r="H74" s="180"/>
      <c r="I74" s="180"/>
      <c r="J74" s="180"/>
      <c r="K74" s="174" t="str">
        <f t="shared" si="1"/>
        <v>Falta Tarifa</v>
      </c>
      <c r="L74" s="132" t="s">
        <v>33</v>
      </c>
      <c r="M74" s="174"/>
      <c r="N74" s="175"/>
      <c r="O74" s="187">
        <v>298617.96274629526</v>
      </c>
      <c r="P74" s="187"/>
      <c r="Q74" s="187"/>
      <c r="R74" s="187"/>
      <c r="S74" s="187"/>
      <c r="T74" s="189">
        <v>331.79773638477235</v>
      </c>
      <c r="U74" s="176"/>
    </row>
    <row r="75" spans="1:21" x14ac:dyDescent="0.2">
      <c r="A75" s="3" t="s">
        <v>29</v>
      </c>
      <c r="B75" s="4" t="s">
        <v>34</v>
      </c>
      <c r="C75" s="6" t="s">
        <v>51</v>
      </c>
      <c r="D75" s="128" t="s">
        <v>156</v>
      </c>
      <c r="E75" s="165" t="s">
        <v>157</v>
      </c>
      <c r="F75" s="172"/>
      <c r="G75" s="172"/>
      <c r="H75" s="173"/>
      <c r="I75" s="173"/>
      <c r="J75" s="173"/>
      <c r="K75" s="174" t="str">
        <f t="shared" si="1"/>
        <v>Falta Tarifa</v>
      </c>
      <c r="L75" s="132" t="s">
        <v>33</v>
      </c>
      <c r="M75" s="174"/>
      <c r="N75" s="175"/>
      <c r="O75" s="187">
        <v>152707.91514953726</v>
      </c>
      <c r="P75" s="187"/>
      <c r="Q75" s="187"/>
      <c r="R75" s="187"/>
      <c r="S75" s="187"/>
      <c r="T75" s="189">
        <v>169.67546127726368</v>
      </c>
      <c r="U75" s="176"/>
    </row>
    <row r="76" spans="1:21" x14ac:dyDescent="0.2">
      <c r="A76" s="3" t="s">
        <v>29</v>
      </c>
      <c r="B76" s="4" t="s">
        <v>34</v>
      </c>
      <c r="C76" s="127" t="s">
        <v>51</v>
      </c>
      <c r="D76" s="132" t="s">
        <v>160</v>
      </c>
      <c r="E76" s="165" t="s">
        <v>161</v>
      </c>
      <c r="F76" s="172"/>
      <c r="G76" s="172"/>
      <c r="H76" s="173"/>
      <c r="I76" s="173"/>
      <c r="J76" s="173"/>
      <c r="K76" s="174" t="str">
        <f t="shared" si="1"/>
        <v>Falta Tarifa</v>
      </c>
      <c r="L76" s="132" t="s">
        <v>33</v>
      </c>
      <c r="M76" s="174"/>
      <c r="N76" s="175"/>
      <c r="O76" s="187">
        <v>113541.63002565662</v>
      </c>
      <c r="P76" s="187"/>
      <c r="Q76" s="187"/>
      <c r="R76" s="187"/>
      <c r="S76" s="187"/>
      <c r="T76" s="189">
        <v>126.15736669517405</v>
      </c>
      <c r="U76" s="176"/>
    </row>
    <row r="77" spans="1:21" x14ac:dyDescent="0.2">
      <c r="A77" s="3" t="s">
        <v>29</v>
      </c>
      <c r="B77" s="4" t="s">
        <v>34</v>
      </c>
      <c r="C77" s="127" t="s">
        <v>123</v>
      </c>
      <c r="D77" s="132" t="s">
        <v>162</v>
      </c>
      <c r="E77" s="165" t="s">
        <v>163</v>
      </c>
      <c r="F77" s="172"/>
      <c r="G77" s="172"/>
      <c r="H77" s="173"/>
      <c r="I77" s="173"/>
      <c r="J77" s="173"/>
      <c r="K77" s="174" t="str">
        <f t="shared" si="1"/>
        <v>Falta Tarifa</v>
      </c>
      <c r="L77" s="132" t="s">
        <v>33</v>
      </c>
      <c r="M77" s="174"/>
      <c r="N77" s="175"/>
      <c r="O77" s="187">
        <v>356193.16806295019</v>
      </c>
      <c r="P77" s="187"/>
      <c r="Q77" s="187"/>
      <c r="R77" s="187"/>
      <c r="S77" s="187"/>
      <c r="T77" s="189">
        <v>395.77018673661132</v>
      </c>
      <c r="U77" s="176"/>
    </row>
    <row r="78" spans="1:21" x14ac:dyDescent="0.2">
      <c r="A78" s="3" t="s">
        <v>29</v>
      </c>
      <c r="B78" s="4" t="s">
        <v>38</v>
      </c>
      <c r="C78" s="127" t="s">
        <v>39</v>
      </c>
      <c r="D78" s="128" t="s">
        <v>40</v>
      </c>
      <c r="E78" s="165" t="s">
        <v>41</v>
      </c>
      <c r="F78" s="172"/>
      <c r="G78" s="173"/>
      <c r="H78" s="173"/>
      <c r="I78" s="173"/>
      <c r="J78" s="173"/>
      <c r="K78" s="174" t="str">
        <f t="shared" si="1"/>
        <v>Falta Tarifa</v>
      </c>
      <c r="L78" s="132" t="s">
        <v>33</v>
      </c>
      <c r="M78" s="174"/>
      <c r="N78" s="175"/>
      <c r="O78" s="187">
        <v>60988.758284770993</v>
      </c>
      <c r="P78" s="187"/>
      <c r="Q78" s="187"/>
      <c r="R78" s="187"/>
      <c r="S78" s="187"/>
      <c r="T78" s="189">
        <v>24.049376502185162</v>
      </c>
      <c r="U78" s="176"/>
    </row>
    <row r="79" spans="1:21" x14ac:dyDescent="0.2">
      <c r="A79" s="92" t="s">
        <v>29</v>
      </c>
      <c r="B79" s="4" t="s">
        <v>38</v>
      </c>
      <c r="C79" s="127" t="s">
        <v>39</v>
      </c>
      <c r="D79" s="132" t="s">
        <v>257</v>
      </c>
      <c r="E79" s="165" t="s">
        <v>258</v>
      </c>
      <c r="F79" s="166"/>
      <c r="G79" s="166"/>
      <c r="H79" s="167"/>
      <c r="I79" s="167"/>
      <c r="J79" s="167"/>
      <c r="K79" s="177" t="str">
        <f t="shared" si="1"/>
        <v>Falta Tarifa</v>
      </c>
      <c r="L79" s="132" t="s">
        <v>33</v>
      </c>
      <c r="M79" s="178"/>
      <c r="N79" s="179"/>
      <c r="O79" s="187">
        <v>69791.800226898034</v>
      </c>
      <c r="P79" s="187"/>
      <c r="Q79" s="187"/>
      <c r="R79" s="187"/>
      <c r="S79" s="187"/>
      <c r="T79" s="189">
        <v>38.079224597450164</v>
      </c>
      <c r="U79" s="170"/>
    </row>
    <row r="80" spans="1:21" x14ac:dyDescent="0.2">
      <c r="A80" s="3" t="s">
        <v>29</v>
      </c>
      <c r="B80" s="4" t="s">
        <v>38</v>
      </c>
      <c r="C80" s="127" t="s">
        <v>39</v>
      </c>
      <c r="D80" s="128" t="s">
        <v>406</v>
      </c>
      <c r="E80" s="165" t="s">
        <v>116</v>
      </c>
      <c r="F80" s="172"/>
      <c r="G80" s="173"/>
      <c r="H80" s="173"/>
      <c r="I80" s="173"/>
      <c r="J80" s="173"/>
      <c r="K80" s="174" t="str">
        <f t="shared" si="1"/>
        <v>Falta Tarifa</v>
      </c>
      <c r="L80" s="132" t="s">
        <v>33</v>
      </c>
      <c r="M80" s="174"/>
      <c r="N80" s="175"/>
      <c r="O80" s="187">
        <v>69791.800226898034</v>
      </c>
      <c r="P80" s="187"/>
      <c r="Q80" s="187"/>
      <c r="R80" s="187"/>
      <c r="S80" s="187"/>
      <c r="T80" s="189">
        <v>38.079224597450164</v>
      </c>
      <c r="U80" s="176"/>
    </row>
    <row r="81" spans="1:21" x14ac:dyDescent="0.2">
      <c r="A81" s="3" t="s">
        <v>29</v>
      </c>
      <c r="B81" s="4" t="s">
        <v>38</v>
      </c>
      <c r="C81" s="127" t="s">
        <v>39</v>
      </c>
      <c r="D81" s="132" t="s">
        <v>128</v>
      </c>
      <c r="E81" s="165" t="s">
        <v>129</v>
      </c>
      <c r="F81" s="172"/>
      <c r="G81" s="173"/>
      <c r="H81" s="173"/>
      <c r="I81" s="173"/>
      <c r="J81" s="173"/>
      <c r="K81" s="174" t="str">
        <f t="shared" si="1"/>
        <v>Falta Tarifa</v>
      </c>
      <c r="L81" s="132" t="s">
        <v>33</v>
      </c>
      <c r="M81" s="174"/>
      <c r="N81" s="175"/>
      <c r="O81" s="187">
        <v>59731.180864467147</v>
      </c>
      <c r="P81" s="187"/>
      <c r="Q81" s="187"/>
      <c r="R81" s="187"/>
      <c r="S81" s="187"/>
      <c r="T81" s="187">
        <v>22.045112488575878</v>
      </c>
      <c r="U81" s="176"/>
    </row>
    <row r="82" spans="1:21" x14ac:dyDescent="0.2">
      <c r="A82" s="92" t="s">
        <v>29</v>
      </c>
      <c r="B82" s="93" t="s">
        <v>38</v>
      </c>
      <c r="C82" s="129" t="s">
        <v>39</v>
      </c>
      <c r="D82" s="130" t="s">
        <v>411</v>
      </c>
      <c r="E82" s="165" t="s">
        <v>771</v>
      </c>
      <c r="F82" s="166"/>
      <c r="G82" s="166"/>
      <c r="H82" s="167"/>
      <c r="I82" s="167"/>
      <c r="J82" s="167"/>
      <c r="K82" s="177" t="str">
        <f t="shared" si="1"/>
        <v>Falta Tarifa</v>
      </c>
      <c r="L82" s="132" t="s">
        <v>33</v>
      </c>
      <c r="M82" s="178"/>
      <c r="N82" s="179"/>
      <c r="O82" s="187">
        <v>59731.180864467147</v>
      </c>
      <c r="P82" s="187"/>
      <c r="Q82" s="187"/>
      <c r="R82" s="187"/>
      <c r="S82" s="187"/>
      <c r="T82" s="187">
        <v>22.045112488575878</v>
      </c>
      <c r="U82" s="196"/>
    </row>
    <row r="83" spans="1:21" x14ac:dyDescent="0.2">
      <c r="A83" s="3" t="s">
        <v>29</v>
      </c>
      <c r="B83" s="4" t="s">
        <v>38</v>
      </c>
      <c r="C83" s="127" t="s">
        <v>39</v>
      </c>
      <c r="D83" s="132" t="s">
        <v>39</v>
      </c>
      <c r="E83" s="165" t="s">
        <v>151</v>
      </c>
      <c r="F83" s="172"/>
      <c r="G83" s="173"/>
      <c r="H83" s="173"/>
      <c r="I83" s="173"/>
      <c r="J83" s="173"/>
      <c r="K83" s="174" t="str">
        <f t="shared" si="1"/>
        <v>Falta Tarifa</v>
      </c>
      <c r="L83" s="132" t="s">
        <v>33</v>
      </c>
      <c r="M83" s="174"/>
      <c r="N83" s="175"/>
      <c r="O83" s="187">
        <v>63923.105598813338</v>
      </c>
      <c r="P83" s="187"/>
      <c r="Q83" s="187"/>
      <c r="R83" s="187"/>
      <c r="S83" s="187"/>
      <c r="T83" s="187">
        <v>28.725992533940161</v>
      </c>
      <c r="U83" s="132"/>
    </row>
    <row r="84" spans="1:21" x14ac:dyDescent="0.2">
      <c r="A84" s="3" t="s">
        <v>29</v>
      </c>
      <c r="B84" s="4" t="s">
        <v>38</v>
      </c>
      <c r="C84" s="127" t="s">
        <v>39</v>
      </c>
      <c r="D84" s="132" t="s">
        <v>164</v>
      </c>
      <c r="E84" s="165" t="s">
        <v>165</v>
      </c>
      <c r="F84" s="172"/>
      <c r="G84" s="173"/>
      <c r="H84" s="173"/>
      <c r="I84" s="173"/>
      <c r="J84" s="173"/>
      <c r="K84" s="174" t="str">
        <f t="shared" si="1"/>
        <v>Falta Tarifa</v>
      </c>
      <c r="L84" s="132" t="s">
        <v>33</v>
      </c>
      <c r="M84" s="174"/>
      <c r="N84" s="175"/>
      <c r="O84" s="187">
        <v>60779.162048053688</v>
      </c>
      <c r="P84" s="187"/>
      <c r="Q84" s="187"/>
      <c r="R84" s="187"/>
      <c r="S84" s="187"/>
      <c r="T84" s="187">
        <v>23.715332499916947</v>
      </c>
      <c r="U84" s="132"/>
    </row>
    <row r="85" spans="1:21" x14ac:dyDescent="0.2">
      <c r="A85" s="3" t="s">
        <v>829</v>
      </c>
      <c r="B85" s="4" t="s">
        <v>177</v>
      </c>
      <c r="C85" s="127" t="s">
        <v>81</v>
      </c>
      <c r="D85" s="132" t="s">
        <v>178</v>
      </c>
      <c r="E85" s="165" t="s">
        <v>179</v>
      </c>
      <c r="F85" s="172">
        <v>420917.64</v>
      </c>
      <c r="G85" s="172">
        <v>408290.11080000002</v>
      </c>
      <c r="H85" s="173"/>
      <c r="I85" s="173"/>
      <c r="J85" s="173"/>
      <c r="K85" s="174" t="str">
        <f t="shared" si="1"/>
        <v>Falta Tarifa</v>
      </c>
      <c r="L85" s="132" t="s">
        <v>180</v>
      </c>
      <c r="M85" s="174"/>
      <c r="N85" s="175"/>
      <c r="O85" s="190"/>
      <c r="P85" s="190"/>
      <c r="Q85" s="190"/>
      <c r="R85" s="190"/>
      <c r="S85" s="190"/>
      <c r="T85" s="191"/>
      <c r="U85" s="132"/>
    </row>
    <row r="86" spans="1:21" x14ac:dyDescent="0.2">
      <c r="A86" s="3" t="s">
        <v>181</v>
      </c>
      <c r="B86" s="4" t="s">
        <v>177</v>
      </c>
      <c r="C86" s="127" t="s">
        <v>81</v>
      </c>
      <c r="D86" s="132" t="s">
        <v>182</v>
      </c>
      <c r="E86" s="165" t="s">
        <v>183</v>
      </c>
      <c r="F86" s="172"/>
      <c r="G86" s="172">
        <v>165784.44</v>
      </c>
      <c r="H86" s="173"/>
      <c r="I86" s="173"/>
      <c r="J86" s="173"/>
      <c r="K86" s="174" t="str">
        <f t="shared" si="1"/>
        <v>Falta Tarifa</v>
      </c>
      <c r="L86" s="132" t="s">
        <v>180</v>
      </c>
      <c r="M86" s="174"/>
      <c r="N86" s="175"/>
      <c r="O86" s="190"/>
      <c r="P86" s="190"/>
      <c r="Q86" s="190"/>
      <c r="R86" s="190"/>
      <c r="S86" s="190"/>
      <c r="T86" s="191"/>
      <c r="U86" s="132"/>
    </row>
    <row r="87" spans="1:21" x14ac:dyDescent="0.2">
      <c r="A87" s="3" t="s">
        <v>184</v>
      </c>
      <c r="B87" s="4" t="s">
        <v>30</v>
      </c>
      <c r="C87" s="210" t="s">
        <v>48</v>
      </c>
      <c r="D87" s="128" t="s">
        <v>185</v>
      </c>
      <c r="E87" s="165" t="s">
        <v>50</v>
      </c>
      <c r="F87" s="173"/>
      <c r="G87" s="173"/>
      <c r="H87" s="173"/>
      <c r="I87" s="173"/>
      <c r="J87" s="173"/>
      <c r="K87" s="174" t="str">
        <f t="shared" si="1"/>
        <v>Falta Tarifa</v>
      </c>
      <c r="L87" s="132" t="s">
        <v>33</v>
      </c>
      <c r="M87" s="175"/>
      <c r="N87" s="175"/>
      <c r="O87" s="175">
        <v>12442.001808426267</v>
      </c>
      <c r="P87" s="175"/>
      <c r="Q87" s="175"/>
      <c r="R87" s="175"/>
      <c r="S87" s="175"/>
      <c r="T87" s="175">
        <v>97.130045248391411</v>
      </c>
      <c r="U87" s="175"/>
    </row>
    <row r="88" spans="1:21" x14ac:dyDescent="0.2">
      <c r="A88" s="3" t="s">
        <v>184</v>
      </c>
      <c r="B88" s="4" t="s">
        <v>30</v>
      </c>
      <c r="C88" s="6" t="s">
        <v>48</v>
      </c>
      <c r="D88" s="128" t="s">
        <v>186</v>
      </c>
      <c r="E88" s="165" t="s">
        <v>187</v>
      </c>
      <c r="F88" s="173"/>
      <c r="G88" s="173"/>
      <c r="H88" s="173"/>
      <c r="I88" s="173"/>
      <c r="J88" s="173"/>
      <c r="K88" s="174" t="str">
        <f t="shared" si="1"/>
        <v>Falta Tarifa</v>
      </c>
      <c r="L88" s="132" t="s">
        <v>33</v>
      </c>
      <c r="M88" s="174"/>
      <c r="N88" s="175"/>
      <c r="O88" s="175">
        <v>12442.001808426267</v>
      </c>
      <c r="P88" s="175"/>
      <c r="Q88" s="175"/>
      <c r="R88" s="175"/>
      <c r="S88" s="175"/>
      <c r="T88" s="175">
        <v>82.242374530467416</v>
      </c>
      <c r="U88" s="132"/>
    </row>
    <row r="89" spans="1:21" x14ac:dyDescent="0.2">
      <c r="A89" s="3" t="s">
        <v>184</v>
      </c>
      <c r="B89" s="4" t="s">
        <v>30</v>
      </c>
      <c r="C89" s="127" t="s">
        <v>45</v>
      </c>
      <c r="D89" s="128" t="s">
        <v>46</v>
      </c>
      <c r="E89" s="165" t="s">
        <v>47</v>
      </c>
      <c r="F89" s="173"/>
      <c r="G89" s="173"/>
      <c r="H89" s="173"/>
      <c r="I89" s="173"/>
      <c r="J89" s="173"/>
      <c r="K89" s="174" t="str">
        <f t="shared" si="1"/>
        <v>Falta Tarifa</v>
      </c>
      <c r="L89" s="132" t="s">
        <v>33</v>
      </c>
      <c r="M89" s="175"/>
      <c r="N89" s="175"/>
      <c r="O89" s="175">
        <v>12442.001808426267</v>
      </c>
      <c r="P89" s="175"/>
      <c r="Q89" s="175"/>
      <c r="R89" s="175"/>
      <c r="S89" s="175"/>
      <c r="T89" s="175">
        <v>97.130045248391411</v>
      </c>
      <c r="U89" s="175"/>
    </row>
    <row r="90" spans="1:21" x14ac:dyDescent="0.2">
      <c r="A90" s="3" t="s">
        <v>184</v>
      </c>
      <c r="B90" s="4" t="s">
        <v>30</v>
      </c>
      <c r="C90" s="127" t="s">
        <v>48</v>
      </c>
      <c r="D90" s="128" t="s">
        <v>188</v>
      </c>
      <c r="E90" s="165" t="s">
        <v>50</v>
      </c>
      <c r="F90" s="173"/>
      <c r="G90" s="173"/>
      <c r="H90" s="173"/>
      <c r="I90" s="173"/>
      <c r="J90" s="173"/>
      <c r="K90" s="174" t="str">
        <f t="shared" si="1"/>
        <v>Falta Tarifa</v>
      </c>
      <c r="L90" s="132" t="s">
        <v>33</v>
      </c>
      <c r="M90" s="175"/>
      <c r="N90" s="175"/>
      <c r="O90" s="175">
        <v>25819.708343888931</v>
      </c>
      <c r="P90" s="175"/>
      <c r="Q90" s="175"/>
      <c r="R90" s="175"/>
      <c r="S90" s="175"/>
      <c r="T90" s="175">
        <v>143.41838337208708</v>
      </c>
      <c r="U90" s="175"/>
    </row>
    <row r="91" spans="1:21" x14ac:dyDescent="0.2">
      <c r="A91" s="3" t="s">
        <v>184</v>
      </c>
      <c r="B91" s="4" t="s">
        <v>30</v>
      </c>
      <c r="C91" s="127" t="s">
        <v>45</v>
      </c>
      <c r="D91" s="128" t="s">
        <v>189</v>
      </c>
      <c r="E91" s="165" t="s">
        <v>190</v>
      </c>
      <c r="F91" s="173">
        <v>2150011.4692319999</v>
      </c>
      <c r="G91" s="173"/>
      <c r="H91" s="173"/>
      <c r="I91" s="173"/>
      <c r="J91" s="173"/>
      <c r="K91" s="174" t="str">
        <f t="shared" si="1"/>
        <v>Tarifado</v>
      </c>
      <c r="L91" s="132" t="s">
        <v>33</v>
      </c>
      <c r="M91" s="175"/>
      <c r="N91" s="175"/>
      <c r="O91" s="175">
        <v>12442.001808426267</v>
      </c>
      <c r="P91" s="175"/>
      <c r="Q91" s="175"/>
      <c r="R91" s="175"/>
      <c r="S91" s="175"/>
      <c r="T91" s="175">
        <v>82.242374530467416</v>
      </c>
      <c r="U91" s="175"/>
    </row>
    <row r="92" spans="1:21" x14ac:dyDescent="0.2">
      <c r="A92" s="3" t="s">
        <v>184</v>
      </c>
      <c r="B92" s="4" t="s">
        <v>30</v>
      </c>
      <c r="C92" s="127" t="s">
        <v>48</v>
      </c>
      <c r="D92" s="128" t="s">
        <v>63</v>
      </c>
      <c r="E92" s="165" t="s">
        <v>50</v>
      </c>
      <c r="F92" s="173"/>
      <c r="G92" s="173"/>
      <c r="H92" s="173"/>
      <c r="I92" s="173"/>
      <c r="J92" s="173"/>
      <c r="K92" s="174" t="str">
        <f t="shared" si="1"/>
        <v>Falta Tarifa</v>
      </c>
      <c r="L92" s="132" t="s">
        <v>33</v>
      </c>
      <c r="M92" s="175"/>
      <c r="N92" s="175"/>
      <c r="O92" s="175">
        <v>12442.001808426267</v>
      </c>
      <c r="P92" s="175"/>
      <c r="Q92" s="175"/>
      <c r="R92" s="175"/>
      <c r="S92" s="175"/>
      <c r="T92" s="175">
        <v>82.242374530467416</v>
      </c>
      <c r="U92" s="192"/>
    </row>
    <row r="93" spans="1:21" x14ac:dyDescent="0.2">
      <c r="A93" s="3" t="s">
        <v>184</v>
      </c>
      <c r="B93" s="4" t="s">
        <v>30</v>
      </c>
      <c r="C93" s="127" t="s">
        <v>45</v>
      </c>
      <c r="D93" s="128" t="s">
        <v>64</v>
      </c>
      <c r="E93" s="165" t="s">
        <v>65</v>
      </c>
      <c r="F93" s="173"/>
      <c r="G93" s="173"/>
      <c r="H93" s="173"/>
      <c r="I93" s="173"/>
      <c r="J93" s="173"/>
      <c r="K93" s="174" t="str">
        <f t="shared" si="1"/>
        <v>Falta Tarifa</v>
      </c>
      <c r="L93" s="132" t="s">
        <v>33</v>
      </c>
      <c r="M93" s="175"/>
      <c r="N93" s="175"/>
      <c r="O93" s="175">
        <v>12442.001808426267</v>
      </c>
      <c r="P93" s="175"/>
      <c r="Q93" s="175"/>
      <c r="R93" s="175"/>
      <c r="S93" s="175"/>
      <c r="T93" s="175">
        <v>111.41740666317335</v>
      </c>
      <c r="U93" s="176"/>
    </row>
    <row r="94" spans="1:21" x14ac:dyDescent="0.2">
      <c r="A94" s="3" t="s">
        <v>184</v>
      </c>
      <c r="B94" s="4" t="s">
        <v>30</v>
      </c>
      <c r="C94" s="127" t="s">
        <v>45</v>
      </c>
      <c r="D94" s="128" t="s">
        <v>77</v>
      </c>
      <c r="E94" s="165" t="s">
        <v>78</v>
      </c>
      <c r="F94" s="173">
        <v>2150011.4692319999</v>
      </c>
      <c r="G94" s="173"/>
      <c r="H94" s="173"/>
      <c r="I94" s="173"/>
      <c r="J94" s="173"/>
      <c r="K94" s="174" t="str">
        <f t="shared" si="1"/>
        <v>Tarifado</v>
      </c>
      <c r="L94" s="132" t="s">
        <v>33</v>
      </c>
      <c r="M94" s="174"/>
      <c r="N94" s="175"/>
      <c r="O94" s="175">
        <v>12442.001808426267</v>
      </c>
      <c r="P94" s="175"/>
      <c r="Q94" s="175"/>
      <c r="R94" s="175"/>
      <c r="S94" s="175"/>
      <c r="T94" s="175">
        <v>82.242374530467416</v>
      </c>
      <c r="U94" s="176"/>
    </row>
    <row r="95" spans="1:21" x14ac:dyDescent="0.2">
      <c r="A95" s="3" t="s">
        <v>184</v>
      </c>
      <c r="B95" s="4" t="s">
        <v>30</v>
      </c>
      <c r="C95" s="127" t="s">
        <v>48</v>
      </c>
      <c r="D95" s="128" t="s">
        <v>84</v>
      </c>
      <c r="E95" s="165" t="s">
        <v>50</v>
      </c>
      <c r="F95" s="173"/>
      <c r="G95" s="173"/>
      <c r="H95" s="173"/>
      <c r="I95" s="173"/>
      <c r="J95" s="173"/>
      <c r="K95" s="174" t="str">
        <f t="shared" si="1"/>
        <v>Falta Tarifa</v>
      </c>
      <c r="L95" s="132" t="s">
        <v>33</v>
      </c>
      <c r="M95" s="175"/>
      <c r="N95" s="175"/>
      <c r="O95" s="175">
        <v>20082.973009005447</v>
      </c>
      <c r="P95" s="175"/>
      <c r="Q95" s="175"/>
      <c r="R95" s="175"/>
      <c r="S95" s="175"/>
      <c r="T95" s="175">
        <v>114.73470669766964</v>
      </c>
      <c r="U95" s="192"/>
    </row>
    <row r="96" spans="1:21" x14ac:dyDescent="0.2">
      <c r="A96" s="3" t="s">
        <v>184</v>
      </c>
      <c r="B96" s="4" t="s">
        <v>30</v>
      </c>
      <c r="C96" s="6" t="s">
        <v>48</v>
      </c>
      <c r="D96" s="128" t="s">
        <v>48</v>
      </c>
      <c r="E96" s="165" t="s">
        <v>94</v>
      </c>
      <c r="F96" s="173"/>
      <c r="G96" s="173"/>
      <c r="H96" s="173"/>
      <c r="I96" s="173"/>
      <c r="J96" s="173"/>
      <c r="K96" s="174" t="str">
        <f t="shared" si="1"/>
        <v>Falta Tarifa</v>
      </c>
      <c r="L96" s="132" t="s">
        <v>33</v>
      </c>
      <c r="M96" s="174"/>
      <c r="N96" s="175"/>
      <c r="O96" s="175">
        <v>12442.001808426267</v>
      </c>
      <c r="P96" s="175"/>
      <c r="Q96" s="175"/>
      <c r="R96" s="175"/>
      <c r="S96" s="175"/>
      <c r="T96" s="175">
        <v>82.242374530467416</v>
      </c>
      <c r="U96" s="176"/>
    </row>
    <row r="97" spans="1:21" x14ac:dyDescent="0.2">
      <c r="A97" s="3" t="s">
        <v>184</v>
      </c>
      <c r="B97" s="4" t="s">
        <v>30</v>
      </c>
      <c r="C97" s="127" t="s">
        <v>45</v>
      </c>
      <c r="D97" s="128" t="s">
        <v>132</v>
      </c>
      <c r="E97" s="165" t="s">
        <v>133</v>
      </c>
      <c r="F97" s="173">
        <v>2284387.186059</v>
      </c>
      <c r="G97" s="173"/>
      <c r="H97" s="173"/>
      <c r="I97" s="173"/>
      <c r="J97" s="173"/>
      <c r="K97" s="174" t="str">
        <f t="shared" si="1"/>
        <v>Tarifado</v>
      </c>
      <c r="L97" s="132" t="s">
        <v>33</v>
      </c>
      <c r="M97" s="174"/>
      <c r="N97" s="175"/>
      <c r="O97" s="175">
        <v>12442.001808426267</v>
      </c>
      <c r="P97" s="175"/>
      <c r="Q97" s="175"/>
      <c r="R97" s="175"/>
      <c r="S97" s="175"/>
      <c r="T97" s="175">
        <v>102.17264339478507</v>
      </c>
      <c r="U97" s="176"/>
    </row>
    <row r="98" spans="1:21" x14ac:dyDescent="0.2">
      <c r="A98" s="3" t="s">
        <v>184</v>
      </c>
      <c r="B98" s="4" t="s">
        <v>30</v>
      </c>
      <c r="C98" s="6" t="s">
        <v>48</v>
      </c>
      <c r="D98" s="128" t="s">
        <v>141</v>
      </c>
      <c r="E98" s="165" t="s">
        <v>142</v>
      </c>
      <c r="F98" s="173"/>
      <c r="G98" s="173"/>
      <c r="H98" s="173"/>
      <c r="I98" s="173"/>
      <c r="J98" s="173"/>
      <c r="K98" s="174" t="str">
        <f t="shared" si="1"/>
        <v>Falta Tarifa</v>
      </c>
      <c r="L98" s="132" t="s">
        <v>33</v>
      </c>
      <c r="M98" s="175"/>
      <c r="N98" s="175"/>
      <c r="O98" s="175">
        <v>12442.001808426267</v>
      </c>
      <c r="P98" s="175"/>
      <c r="Q98" s="175"/>
      <c r="R98" s="175"/>
      <c r="S98" s="175"/>
      <c r="T98" s="175">
        <v>102.17264339478507</v>
      </c>
      <c r="U98" s="176"/>
    </row>
    <row r="99" spans="1:21" x14ac:dyDescent="0.2">
      <c r="A99" s="3" t="s">
        <v>184</v>
      </c>
      <c r="B99" s="4" t="s">
        <v>30</v>
      </c>
      <c r="C99" s="127" t="s">
        <v>45</v>
      </c>
      <c r="D99" s="128" t="s">
        <v>166</v>
      </c>
      <c r="E99" s="165" t="s">
        <v>167</v>
      </c>
      <c r="F99" s="173"/>
      <c r="G99" s="173"/>
      <c r="H99" s="173"/>
      <c r="I99" s="173"/>
      <c r="J99" s="173"/>
      <c r="K99" s="174" t="str">
        <f t="shared" si="1"/>
        <v>Falta Tarifa</v>
      </c>
      <c r="L99" s="132" t="s">
        <v>33</v>
      </c>
      <c r="M99" s="174"/>
      <c r="N99" s="175"/>
      <c r="O99" s="175">
        <v>12442.001808426267</v>
      </c>
      <c r="P99" s="175"/>
      <c r="Q99" s="175"/>
      <c r="R99" s="175"/>
      <c r="S99" s="175"/>
      <c r="T99" s="175">
        <v>82.242374530467416</v>
      </c>
      <c r="U99" s="176"/>
    </row>
    <row r="100" spans="1:21" x14ac:dyDescent="0.2">
      <c r="A100" s="3" t="s">
        <v>184</v>
      </c>
      <c r="B100" s="4" t="s">
        <v>30</v>
      </c>
      <c r="C100" s="127" t="s">
        <v>45</v>
      </c>
      <c r="D100" s="128" t="s">
        <v>172</v>
      </c>
      <c r="E100" s="165" t="s">
        <v>173</v>
      </c>
      <c r="F100" s="173"/>
      <c r="G100" s="173"/>
      <c r="H100" s="173"/>
      <c r="I100" s="173"/>
      <c r="J100" s="173"/>
      <c r="K100" s="174" t="str">
        <f t="shared" si="1"/>
        <v>Falta Tarifa</v>
      </c>
      <c r="L100" s="132" t="s">
        <v>33</v>
      </c>
      <c r="M100" s="174"/>
      <c r="N100" s="175"/>
      <c r="O100" s="175">
        <v>12442.001808426267</v>
      </c>
      <c r="P100" s="175"/>
      <c r="Q100" s="175"/>
      <c r="R100" s="175"/>
      <c r="S100" s="175"/>
      <c r="T100" s="175">
        <v>82.242374530467416</v>
      </c>
      <c r="U100" s="176"/>
    </row>
    <row r="101" spans="1:21" x14ac:dyDescent="0.2">
      <c r="A101" s="3" t="s">
        <v>184</v>
      </c>
      <c r="B101" s="4" t="s">
        <v>30</v>
      </c>
      <c r="C101" s="6" t="s">
        <v>48</v>
      </c>
      <c r="D101" s="128" t="s">
        <v>174</v>
      </c>
      <c r="E101" s="165" t="s">
        <v>175</v>
      </c>
      <c r="F101" s="173"/>
      <c r="G101" s="173"/>
      <c r="H101" s="173"/>
      <c r="I101" s="173"/>
      <c r="J101" s="173"/>
      <c r="K101" s="174" t="str">
        <f t="shared" si="1"/>
        <v>Falta Tarifa</v>
      </c>
      <c r="L101" s="132" t="s">
        <v>33</v>
      </c>
      <c r="M101" s="175"/>
      <c r="N101" s="175"/>
      <c r="O101" s="175">
        <v>12442.001808426267</v>
      </c>
      <c r="P101" s="175"/>
      <c r="Q101" s="175"/>
      <c r="R101" s="175"/>
      <c r="S101" s="175"/>
      <c r="T101" s="175">
        <v>97.130045248391411</v>
      </c>
      <c r="U101" s="192"/>
    </row>
    <row r="102" spans="1:21" x14ac:dyDescent="0.2">
      <c r="A102" s="3" t="s">
        <v>184</v>
      </c>
      <c r="B102" s="4" t="s">
        <v>177</v>
      </c>
      <c r="C102" s="127" t="s">
        <v>81</v>
      </c>
      <c r="D102" s="128" t="s">
        <v>31</v>
      </c>
      <c r="E102" s="165" t="s">
        <v>32</v>
      </c>
      <c r="F102" s="173">
        <v>1478132.885097</v>
      </c>
      <c r="G102" s="173"/>
      <c r="H102" s="173"/>
      <c r="I102" s="173"/>
      <c r="J102" s="173"/>
      <c r="K102" s="174" t="str">
        <f t="shared" si="1"/>
        <v>Falta Tarifa</v>
      </c>
      <c r="L102" s="132" t="s">
        <v>33</v>
      </c>
      <c r="M102" s="174"/>
      <c r="N102" s="175"/>
      <c r="O102" s="175">
        <v>12442.001808426267</v>
      </c>
      <c r="P102" s="175"/>
      <c r="Q102" s="175"/>
      <c r="R102" s="175"/>
      <c r="S102" s="175"/>
      <c r="T102" s="175">
        <v>41.901589359318429</v>
      </c>
      <c r="U102" s="176"/>
    </row>
    <row r="103" spans="1:21" x14ac:dyDescent="0.2">
      <c r="A103" s="3" t="s">
        <v>184</v>
      </c>
      <c r="B103" s="4" t="s">
        <v>177</v>
      </c>
      <c r="C103" s="127" t="s">
        <v>81</v>
      </c>
      <c r="D103" s="212" t="s">
        <v>191</v>
      </c>
      <c r="E103" s="165" t="s">
        <v>192</v>
      </c>
      <c r="F103" s="173"/>
      <c r="G103" s="173"/>
      <c r="H103" s="173"/>
      <c r="I103" s="173"/>
      <c r="J103" s="173"/>
      <c r="K103" s="174" t="str">
        <f t="shared" si="1"/>
        <v>Falta Tarifa</v>
      </c>
      <c r="L103" s="132" t="s">
        <v>33</v>
      </c>
      <c r="M103" s="174"/>
      <c r="N103" s="175"/>
      <c r="O103" s="175">
        <v>12442.001808426267</v>
      </c>
      <c r="P103" s="175"/>
      <c r="Q103" s="175"/>
      <c r="R103" s="175"/>
      <c r="S103" s="175"/>
      <c r="T103" s="175">
        <v>82.242374530467416</v>
      </c>
      <c r="U103" s="176"/>
    </row>
    <row r="104" spans="1:21" x14ac:dyDescent="0.2">
      <c r="A104" s="3" t="s">
        <v>184</v>
      </c>
      <c r="B104" s="4" t="s">
        <v>177</v>
      </c>
      <c r="C104" s="127" t="s">
        <v>81</v>
      </c>
      <c r="D104" s="128" t="s">
        <v>197</v>
      </c>
      <c r="E104" s="165" t="s">
        <v>198</v>
      </c>
      <c r="F104" s="173"/>
      <c r="G104" s="173"/>
      <c r="H104" s="173"/>
      <c r="I104" s="173"/>
      <c r="J104" s="173"/>
      <c r="K104" s="174" t="str">
        <f t="shared" si="1"/>
        <v>Falta Tarifa</v>
      </c>
      <c r="L104" s="132" t="s">
        <v>33</v>
      </c>
      <c r="M104" s="174"/>
      <c r="N104" s="175"/>
      <c r="O104" s="175">
        <v>12442.001808426267</v>
      </c>
      <c r="P104" s="175"/>
      <c r="Q104" s="175"/>
      <c r="R104" s="175"/>
      <c r="S104" s="175"/>
      <c r="T104" s="175">
        <v>54.027837282788809</v>
      </c>
      <c r="U104" s="176"/>
    </row>
    <row r="105" spans="1:21" x14ac:dyDescent="0.2">
      <c r="A105" s="3" t="s">
        <v>184</v>
      </c>
      <c r="B105" s="4" t="s">
        <v>177</v>
      </c>
      <c r="C105" s="127" t="s">
        <v>81</v>
      </c>
      <c r="D105" s="132" t="s">
        <v>205</v>
      </c>
      <c r="E105" s="165" t="s">
        <v>206</v>
      </c>
      <c r="F105" s="173"/>
      <c r="G105" s="173"/>
      <c r="H105" s="173"/>
      <c r="I105" s="173"/>
      <c r="J105" s="173"/>
      <c r="K105" s="174" t="str">
        <f t="shared" si="1"/>
        <v>Falta Tarifa</v>
      </c>
      <c r="L105" s="132" t="s">
        <v>33</v>
      </c>
      <c r="M105" s="174"/>
      <c r="N105" s="175"/>
      <c r="O105" s="175">
        <v>12442.001808426267</v>
      </c>
      <c r="P105" s="175"/>
      <c r="Q105" s="175"/>
      <c r="R105" s="175"/>
      <c r="S105" s="175"/>
      <c r="T105" s="175">
        <v>82.242374530467416</v>
      </c>
      <c r="U105" s="176"/>
    </row>
    <row r="106" spans="1:21" x14ac:dyDescent="0.2">
      <c r="A106" s="3" t="s">
        <v>184</v>
      </c>
      <c r="B106" s="4" t="s">
        <v>90</v>
      </c>
      <c r="C106" s="127" t="s">
        <v>91</v>
      </c>
      <c r="D106" s="132" t="s">
        <v>91</v>
      </c>
      <c r="E106" s="165" t="s">
        <v>92</v>
      </c>
      <c r="F106" s="166"/>
      <c r="G106" s="166"/>
      <c r="H106" s="167"/>
      <c r="I106" s="167"/>
      <c r="J106" s="167"/>
      <c r="K106" s="177" t="str">
        <f t="shared" si="1"/>
        <v>Falta Tarifa</v>
      </c>
      <c r="L106" s="132" t="s">
        <v>33</v>
      </c>
      <c r="M106" s="175"/>
      <c r="N106" s="175"/>
      <c r="O106" s="175">
        <v>20082.961507519092</v>
      </c>
      <c r="P106" s="175"/>
      <c r="Q106" s="175"/>
      <c r="R106" s="175"/>
      <c r="S106" s="175"/>
      <c r="T106" s="175">
        <v>114.7299870268926</v>
      </c>
      <c r="U106" s="192"/>
    </row>
    <row r="107" spans="1:21" ht="15.6" customHeight="1" x14ac:dyDescent="0.2">
      <c r="A107" s="3" t="s">
        <v>184</v>
      </c>
      <c r="B107" s="4" t="s">
        <v>73</v>
      </c>
      <c r="C107" s="127" t="s">
        <v>74</v>
      </c>
      <c r="D107" s="132" t="s">
        <v>75</v>
      </c>
      <c r="E107" s="165" t="s">
        <v>76</v>
      </c>
      <c r="F107" s="166"/>
      <c r="G107" s="166"/>
      <c r="H107" s="167"/>
      <c r="I107" s="167"/>
      <c r="J107" s="167"/>
      <c r="K107" s="177" t="str">
        <f t="shared" si="1"/>
        <v>Falta Tarifa</v>
      </c>
      <c r="L107" s="132" t="s">
        <v>33</v>
      </c>
      <c r="M107" s="175"/>
      <c r="N107" s="175"/>
      <c r="O107" s="175">
        <v>20082.961507519092</v>
      </c>
      <c r="P107" s="175"/>
      <c r="Q107" s="175"/>
      <c r="R107" s="175"/>
      <c r="S107" s="175"/>
      <c r="T107" s="175">
        <v>111.53184496641001</v>
      </c>
      <c r="U107" s="192"/>
    </row>
    <row r="108" spans="1:21" ht="15.6" customHeight="1" x14ac:dyDescent="0.2">
      <c r="A108" s="3" t="s">
        <v>184</v>
      </c>
      <c r="B108" s="4" t="s">
        <v>73</v>
      </c>
      <c r="C108" s="127" t="s">
        <v>74</v>
      </c>
      <c r="D108" s="128" t="s">
        <v>152</v>
      </c>
      <c r="E108" s="165" t="s">
        <v>153</v>
      </c>
      <c r="F108" s="166"/>
      <c r="G108" s="166"/>
      <c r="H108" s="167"/>
      <c r="I108" s="167"/>
      <c r="J108" s="167"/>
      <c r="K108" s="177" t="str">
        <f t="shared" si="1"/>
        <v>Falta Tarifa</v>
      </c>
      <c r="L108" s="132" t="s">
        <v>33</v>
      </c>
      <c r="M108" s="175"/>
      <c r="N108" s="175"/>
      <c r="O108" s="175">
        <v>20082.961507519092</v>
      </c>
      <c r="P108" s="175"/>
      <c r="Q108" s="175"/>
      <c r="R108" s="175"/>
      <c r="S108" s="175"/>
      <c r="T108" s="175">
        <v>104.544307691406</v>
      </c>
      <c r="U108" s="192"/>
    </row>
    <row r="109" spans="1:21" x14ac:dyDescent="0.2">
      <c r="A109" s="3" t="s">
        <v>184</v>
      </c>
      <c r="B109" s="4" t="s">
        <v>34</v>
      </c>
      <c r="C109" s="127" t="s">
        <v>35</v>
      </c>
      <c r="D109" s="128" t="s">
        <v>36</v>
      </c>
      <c r="E109" s="165" t="s">
        <v>37</v>
      </c>
      <c r="F109" s="173"/>
      <c r="G109" s="173"/>
      <c r="H109" s="173"/>
      <c r="I109" s="173"/>
      <c r="J109" s="173"/>
      <c r="K109" s="174" t="str">
        <f t="shared" si="1"/>
        <v>Falta Tarifa</v>
      </c>
      <c r="L109" s="132" t="s">
        <v>33</v>
      </c>
      <c r="M109" s="174"/>
      <c r="N109" s="175"/>
      <c r="O109" s="175">
        <v>12442.001808426267</v>
      </c>
      <c r="P109" s="175"/>
      <c r="Q109" s="175"/>
      <c r="R109" s="175"/>
      <c r="S109" s="175"/>
      <c r="T109" s="175">
        <v>110.09672619626075</v>
      </c>
      <c r="U109" s="176"/>
    </row>
    <row r="110" spans="1:21" x14ac:dyDescent="0.2">
      <c r="A110" s="3" t="s">
        <v>184</v>
      </c>
      <c r="B110" s="4" t="s">
        <v>34</v>
      </c>
      <c r="C110" s="127" t="s">
        <v>51</v>
      </c>
      <c r="D110" s="132" t="s">
        <v>52</v>
      </c>
      <c r="E110" s="165" t="s">
        <v>53</v>
      </c>
      <c r="F110" s="173"/>
      <c r="G110" s="173"/>
      <c r="H110" s="173"/>
      <c r="I110" s="173"/>
      <c r="J110" s="173"/>
      <c r="K110" s="174" t="str">
        <f t="shared" si="1"/>
        <v>Falta Tarifa</v>
      </c>
      <c r="L110" s="132" t="s">
        <v>33</v>
      </c>
      <c r="M110" s="174"/>
      <c r="N110" s="175"/>
      <c r="O110" s="175">
        <v>12442.001808426267</v>
      </c>
      <c r="P110" s="175"/>
      <c r="Q110" s="175"/>
      <c r="R110" s="175"/>
      <c r="S110" s="175"/>
      <c r="T110" s="175">
        <v>105.41431363175238</v>
      </c>
      <c r="U110" s="176"/>
    </row>
    <row r="111" spans="1:21" x14ac:dyDescent="0.2">
      <c r="A111" s="3" t="s">
        <v>184</v>
      </c>
      <c r="B111" s="4" t="s">
        <v>34</v>
      </c>
      <c r="C111" s="127" t="s">
        <v>35</v>
      </c>
      <c r="D111" s="128" t="s">
        <v>61</v>
      </c>
      <c r="E111" s="165" t="s">
        <v>62</v>
      </c>
      <c r="F111" s="173"/>
      <c r="G111" s="173"/>
      <c r="H111" s="173"/>
      <c r="I111" s="173"/>
      <c r="J111" s="173"/>
      <c r="K111" s="174" t="str">
        <f t="shared" si="1"/>
        <v>Falta Tarifa</v>
      </c>
      <c r="L111" s="132" t="s">
        <v>33</v>
      </c>
      <c r="M111" s="174"/>
      <c r="N111" s="175"/>
      <c r="O111" s="175">
        <v>12442.001808426267</v>
      </c>
      <c r="P111" s="175"/>
      <c r="Q111" s="175"/>
      <c r="R111" s="175"/>
      <c r="S111" s="175"/>
      <c r="T111" s="175">
        <v>141.67299554153516</v>
      </c>
      <c r="U111" s="176"/>
    </row>
    <row r="112" spans="1:21" x14ac:dyDescent="0.2">
      <c r="A112" s="3" t="s">
        <v>184</v>
      </c>
      <c r="B112" s="4" t="s">
        <v>34</v>
      </c>
      <c r="C112" s="127" t="s">
        <v>35</v>
      </c>
      <c r="D112" s="128" t="s">
        <v>66</v>
      </c>
      <c r="E112" s="165" t="s">
        <v>67</v>
      </c>
      <c r="F112" s="173"/>
      <c r="G112" s="173"/>
      <c r="H112" s="173"/>
      <c r="I112" s="173"/>
      <c r="J112" s="173"/>
      <c r="K112" s="174" t="str">
        <f t="shared" si="1"/>
        <v>Falta Tarifa</v>
      </c>
      <c r="L112" s="132" t="s">
        <v>33</v>
      </c>
      <c r="M112" s="174"/>
      <c r="N112" s="175"/>
      <c r="O112" s="175">
        <v>12442.001808426267</v>
      </c>
      <c r="P112" s="175"/>
      <c r="Q112" s="175"/>
      <c r="R112" s="175"/>
      <c r="S112" s="175"/>
      <c r="T112" s="175">
        <v>162.56375929088011</v>
      </c>
      <c r="U112" s="176"/>
    </row>
    <row r="113" spans="1:21" x14ac:dyDescent="0.2">
      <c r="A113" s="3" t="s">
        <v>184</v>
      </c>
      <c r="B113" s="4" t="s">
        <v>34</v>
      </c>
      <c r="C113" s="127" t="s">
        <v>51</v>
      </c>
      <c r="D113" s="128" t="s">
        <v>68</v>
      </c>
      <c r="E113" s="165" t="s">
        <v>69</v>
      </c>
      <c r="F113" s="173">
        <v>2459075.6179340999</v>
      </c>
      <c r="G113" s="173"/>
      <c r="H113" s="173"/>
      <c r="I113" s="173"/>
      <c r="J113" s="173"/>
      <c r="K113" s="174" t="str">
        <f t="shared" si="1"/>
        <v>Tarifado</v>
      </c>
      <c r="L113" s="132" t="s">
        <v>33</v>
      </c>
      <c r="M113" s="174"/>
      <c r="N113" s="175"/>
      <c r="O113" s="175">
        <v>12442.001808426267</v>
      </c>
      <c r="P113" s="175"/>
      <c r="Q113" s="175"/>
      <c r="R113" s="175"/>
      <c r="S113" s="175"/>
      <c r="T113" s="175">
        <v>111.41740666317335</v>
      </c>
      <c r="U113" s="176"/>
    </row>
    <row r="114" spans="1:21" x14ac:dyDescent="0.2">
      <c r="A114" s="3" t="s">
        <v>184</v>
      </c>
      <c r="B114" s="4" t="s">
        <v>34</v>
      </c>
      <c r="C114" s="127" t="s">
        <v>35</v>
      </c>
      <c r="D114" s="132" t="s">
        <v>193</v>
      </c>
      <c r="E114" s="165" t="s">
        <v>194</v>
      </c>
      <c r="F114" s="173"/>
      <c r="G114" s="173"/>
      <c r="H114" s="173"/>
      <c r="I114" s="173"/>
      <c r="J114" s="173"/>
      <c r="K114" s="174" t="str">
        <f t="shared" si="1"/>
        <v>Falta Tarifa</v>
      </c>
      <c r="L114" s="132" t="s">
        <v>33</v>
      </c>
      <c r="M114" s="174"/>
      <c r="N114" s="175"/>
      <c r="O114" s="175">
        <v>12442.001808426267</v>
      </c>
      <c r="P114" s="175"/>
      <c r="Q114" s="175"/>
      <c r="R114" s="175"/>
      <c r="S114" s="175"/>
      <c r="T114" s="175">
        <v>163.88443975779268</v>
      </c>
      <c r="U114" s="176"/>
    </row>
    <row r="115" spans="1:21" x14ac:dyDescent="0.2">
      <c r="A115" s="3" t="s">
        <v>184</v>
      </c>
      <c r="B115" s="4" t="s">
        <v>34</v>
      </c>
      <c r="C115" s="127" t="s">
        <v>35</v>
      </c>
      <c r="D115" s="132" t="s">
        <v>195</v>
      </c>
      <c r="E115" s="165" t="s">
        <v>196</v>
      </c>
      <c r="F115" s="173"/>
      <c r="G115" s="173"/>
      <c r="H115" s="173"/>
      <c r="I115" s="173"/>
      <c r="J115" s="173"/>
      <c r="K115" s="174" t="str">
        <f t="shared" si="1"/>
        <v>Falta Tarifa</v>
      </c>
      <c r="L115" s="132" t="s">
        <v>33</v>
      </c>
      <c r="M115" s="174"/>
      <c r="N115" s="175"/>
      <c r="O115" s="175">
        <v>300135</v>
      </c>
      <c r="P115" s="175"/>
      <c r="Q115" s="175"/>
      <c r="R115" s="175"/>
      <c r="S115" s="175"/>
      <c r="T115" s="175">
        <v>198.22213189752074</v>
      </c>
      <c r="U115" s="176"/>
    </row>
    <row r="116" spans="1:21" x14ac:dyDescent="0.2">
      <c r="A116" s="3" t="s">
        <v>184</v>
      </c>
      <c r="B116" s="4" t="s">
        <v>34</v>
      </c>
      <c r="C116" s="127" t="s">
        <v>35</v>
      </c>
      <c r="D116" s="132" t="s">
        <v>100</v>
      </c>
      <c r="E116" s="165" t="s">
        <v>101</v>
      </c>
      <c r="F116" s="173"/>
      <c r="G116" s="173"/>
      <c r="H116" s="173"/>
      <c r="I116" s="173"/>
      <c r="J116" s="173"/>
      <c r="K116" s="174" t="str">
        <f t="shared" si="1"/>
        <v>Falta Tarifa</v>
      </c>
      <c r="L116" s="132" t="s">
        <v>33</v>
      </c>
      <c r="M116" s="174"/>
      <c r="N116" s="175"/>
      <c r="O116" s="175">
        <v>300135</v>
      </c>
      <c r="P116" s="175"/>
      <c r="Q116" s="175"/>
      <c r="R116" s="175"/>
      <c r="S116" s="175"/>
      <c r="T116" s="175">
        <v>198.22213189752074</v>
      </c>
      <c r="U116" s="176"/>
    </row>
    <row r="117" spans="1:21" x14ac:dyDescent="0.2">
      <c r="A117" s="3" t="s">
        <v>184</v>
      </c>
      <c r="B117" s="4" t="s">
        <v>34</v>
      </c>
      <c r="C117" s="127" t="s">
        <v>35</v>
      </c>
      <c r="D117" s="132" t="s">
        <v>102</v>
      </c>
      <c r="E117" s="165" t="s">
        <v>103</v>
      </c>
      <c r="F117" s="173"/>
      <c r="G117" s="173"/>
      <c r="H117" s="173"/>
      <c r="I117" s="173"/>
      <c r="J117" s="173"/>
      <c r="K117" s="174" t="str">
        <f t="shared" si="1"/>
        <v>Falta Tarifa</v>
      </c>
      <c r="L117" s="132" t="s">
        <v>33</v>
      </c>
      <c r="M117" s="174"/>
      <c r="N117" s="175"/>
      <c r="O117" s="175">
        <v>12442.001808426267</v>
      </c>
      <c r="P117" s="175"/>
      <c r="Q117" s="175"/>
      <c r="R117" s="175"/>
      <c r="S117" s="175"/>
      <c r="T117" s="175">
        <v>119.34148946464909</v>
      </c>
      <c r="U117" s="176"/>
    </row>
    <row r="118" spans="1:21" x14ac:dyDescent="0.2">
      <c r="A118" s="3" t="s">
        <v>184</v>
      </c>
      <c r="B118" s="4" t="s">
        <v>34</v>
      </c>
      <c r="C118" s="127" t="s">
        <v>51</v>
      </c>
      <c r="D118" s="132" t="s">
        <v>199</v>
      </c>
      <c r="E118" s="165" t="s">
        <v>200</v>
      </c>
      <c r="F118" s="173"/>
      <c r="G118" s="173"/>
      <c r="H118" s="173"/>
      <c r="I118" s="173"/>
      <c r="J118" s="173"/>
      <c r="K118" s="174" t="str">
        <f t="shared" si="1"/>
        <v>Falta Tarifa</v>
      </c>
      <c r="L118" s="132" t="s">
        <v>33</v>
      </c>
      <c r="M118" s="174"/>
      <c r="N118" s="175"/>
      <c r="O118" s="175">
        <v>12442.001808426267</v>
      </c>
      <c r="P118" s="175"/>
      <c r="Q118" s="175"/>
      <c r="R118" s="175"/>
      <c r="S118" s="175"/>
      <c r="T118" s="175">
        <v>84.763673603664216</v>
      </c>
      <c r="U118" s="176"/>
    </row>
    <row r="119" spans="1:21" x14ac:dyDescent="0.2">
      <c r="A119" s="3" t="s">
        <v>184</v>
      </c>
      <c r="B119" s="4" t="s">
        <v>34</v>
      </c>
      <c r="C119" s="127" t="s">
        <v>35</v>
      </c>
      <c r="D119" s="132" t="s">
        <v>107</v>
      </c>
      <c r="E119" s="165" t="s">
        <v>108</v>
      </c>
      <c r="F119" s="173"/>
      <c r="G119" s="173"/>
      <c r="H119" s="173"/>
      <c r="I119" s="173"/>
      <c r="J119" s="173"/>
      <c r="K119" s="174" t="str">
        <f t="shared" si="1"/>
        <v>Falta Tarifa</v>
      </c>
      <c r="L119" s="132" t="s">
        <v>33</v>
      </c>
      <c r="M119" s="174"/>
      <c r="N119" s="175"/>
      <c r="O119" s="175">
        <v>12442.001808426267</v>
      </c>
      <c r="P119" s="175"/>
      <c r="Q119" s="175"/>
      <c r="R119" s="175"/>
      <c r="S119" s="175"/>
      <c r="T119" s="175">
        <v>137.83101600142567</v>
      </c>
      <c r="U119" s="176"/>
    </row>
    <row r="120" spans="1:21" x14ac:dyDescent="0.2">
      <c r="A120" s="3" t="s">
        <v>184</v>
      </c>
      <c r="B120" s="4" t="s">
        <v>34</v>
      </c>
      <c r="C120" s="6" t="s">
        <v>51</v>
      </c>
      <c r="D120" s="132" t="s">
        <v>109</v>
      </c>
      <c r="E120" s="165" t="s">
        <v>110</v>
      </c>
      <c r="F120" s="173"/>
      <c r="G120" s="173"/>
      <c r="H120" s="173"/>
      <c r="I120" s="173"/>
      <c r="J120" s="173"/>
      <c r="K120" s="174" t="str">
        <f t="shared" si="1"/>
        <v>Falta Tarifa</v>
      </c>
      <c r="L120" s="132" t="s">
        <v>33</v>
      </c>
      <c r="M120" s="174"/>
      <c r="N120" s="175"/>
      <c r="O120" s="175">
        <v>12442.001808426267</v>
      </c>
      <c r="P120" s="175"/>
      <c r="Q120" s="175"/>
      <c r="R120" s="175"/>
      <c r="S120" s="175"/>
      <c r="T120" s="175">
        <v>84.763673603664216</v>
      </c>
      <c r="U120" s="176"/>
    </row>
    <row r="121" spans="1:21" x14ac:dyDescent="0.2">
      <c r="A121" s="3" t="s">
        <v>184</v>
      </c>
      <c r="B121" s="4" t="s">
        <v>34</v>
      </c>
      <c r="C121" s="127" t="s">
        <v>35</v>
      </c>
      <c r="D121" s="132" t="s">
        <v>201</v>
      </c>
      <c r="E121" s="165" t="s">
        <v>202</v>
      </c>
      <c r="F121" s="173"/>
      <c r="G121" s="173"/>
      <c r="H121" s="173"/>
      <c r="I121" s="173"/>
      <c r="J121" s="173"/>
      <c r="K121" s="174" t="str">
        <f t="shared" si="1"/>
        <v>Falta Tarifa</v>
      </c>
      <c r="L121" s="132" t="s">
        <v>33</v>
      </c>
      <c r="M121" s="174"/>
      <c r="N121" s="175"/>
      <c r="O121" s="175">
        <v>12442.001808426267</v>
      </c>
      <c r="P121" s="175"/>
      <c r="Q121" s="175"/>
      <c r="R121" s="175"/>
      <c r="S121" s="175"/>
      <c r="T121" s="175">
        <v>128.22606715115211</v>
      </c>
      <c r="U121" s="176"/>
    </row>
    <row r="122" spans="1:21" x14ac:dyDescent="0.2">
      <c r="A122" s="3" t="s">
        <v>184</v>
      </c>
      <c r="B122" s="4" t="s">
        <v>34</v>
      </c>
      <c r="C122" s="127" t="s">
        <v>35</v>
      </c>
      <c r="D122" s="132" t="s">
        <v>111</v>
      </c>
      <c r="E122" s="165" t="s">
        <v>112</v>
      </c>
      <c r="F122" s="173"/>
      <c r="G122" s="173"/>
      <c r="H122" s="173"/>
      <c r="I122" s="173"/>
      <c r="J122" s="173"/>
      <c r="K122" s="174" t="str">
        <f t="shared" si="1"/>
        <v>Falta Tarifa</v>
      </c>
      <c r="L122" s="132" t="s">
        <v>33</v>
      </c>
      <c r="M122" s="174"/>
      <c r="N122" s="175"/>
      <c r="O122" s="175">
        <v>12442.001808426267</v>
      </c>
      <c r="P122" s="175"/>
      <c r="Q122" s="175"/>
      <c r="R122" s="175"/>
      <c r="S122" s="175"/>
      <c r="T122" s="175">
        <v>137.83101600142567</v>
      </c>
      <c r="U122" s="176"/>
    </row>
    <row r="123" spans="1:21" x14ac:dyDescent="0.2">
      <c r="A123" s="3" t="s">
        <v>184</v>
      </c>
      <c r="B123" s="4" t="s">
        <v>34</v>
      </c>
      <c r="C123" s="6" t="s">
        <v>51</v>
      </c>
      <c r="D123" s="128" t="s">
        <v>113</v>
      </c>
      <c r="E123" s="165" t="s">
        <v>114</v>
      </c>
      <c r="F123" s="173"/>
      <c r="G123" s="173"/>
      <c r="H123" s="173"/>
      <c r="I123" s="173"/>
      <c r="J123" s="173"/>
      <c r="K123" s="174" t="str">
        <f t="shared" si="1"/>
        <v>Falta Tarifa</v>
      </c>
      <c r="L123" s="132" t="s">
        <v>33</v>
      </c>
      <c r="M123" s="174"/>
      <c r="N123" s="175"/>
      <c r="O123" s="175">
        <v>12442.001808426267</v>
      </c>
      <c r="P123" s="175"/>
      <c r="Q123" s="175"/>
      <c r="R123" s="175"/>
      <c r="S123" s="175"/>
      <c r="T123" s="175">
        <v>84.763673603664216</v>
      </c>
      <c r="U123" s="176"/>
    </row>
    <row r="124" spans="1:21" x14ac:dyDescent="0.2">
      <c r="A124" s="3" t="s">
        <v>184</v>
      </c>
      <c r="B124" s="4" t="s">
        <v>34</v>
      </c>
      <c r="C124" s="127" t="s">
        <v>35</v>
      </c>
      <c r="D124" s="132" t="s">
        <v>121</v>
      </c>
      <c r="E124" s="165" t="s">
        <v>122</v>
      </c>
      <c r="F124" s="173">
        <v>3628144.3543289998</v>
      </c>
      <c r="G124" s="173"/>
      <c r="H124" s="173"/>
      <c r="I124" s="173"/>
      <c r="J124" s="173"/>
      <c r="K124" s="174" t="str">
        <f t="shared" si="1"/>
        <v>Tarifado</v>
      </c>
      <c r="L124" s="132" t="s">
        <v>33</v>
      </c>
      <c r="M124" s="174"/>
      <c r="N124" s="175"/>
      <c r="O124" s="175">
        <v>12442.001808426267</v>
      </c>
      <c r="P124" s="175"/>
      <c r="Q124" s="175"/>
      <c r="R124" s="175"/>
      <c r="S124" s="175"/>
      <c r="T124" s="175">
        <v>149.23689276112555</v>
      </c>
      <c r="U124" s="176"/>
    </row>
    <row r="125" spans="1:21" x14ac:dyDescent="0.2">
      <c r="A125" s="3" t="s">
        <v>184</v>
      </c>
      <c r="B125" s="4" t="s">
        <v>34</v>
      </c>
      <c r="C125" s="127" t="s">
        <v>123</v>
      </c>
      <c r="D125" s="132" t="s">
        <v>124</v>
      </c>
      <c r="E125" s="165" t="s">
        <v>125</v>
      </c>
      <c r="F125" s="172"/>
      <c r="G125" s="173"/>
      <c r="H125" s="173"/>
      <c r="I125" s="173"/>
      <c r="J125" s="173"/>
      <c r="K125" s="174" t="str">
        <f t="shared" si="1"/>
        <v>Falta Tarifa</v>
      </c>
      <c r="L125" s="132" t="s">
        <v>33</v>
      </c>
      <c r="M125" s="174"/>
      <c r="N125" s="175"/>
      <c r="O125" s="175">
        <v>12442.001808426267</v>
      </c>
      <c r="P125" s="175"/>
      <c r="Q125" s="175"/>
      <c r="R125" s="175"/>
      <c r="S125" s="175"/>
      <c r="T125" s="175">
        <v>175.65050209937786</v>
      </c>
      <c r="U125" s="176"/>
    </row>
    <row r="126" spans="1:21" x14ac:dyDescent="0.2">
      <c r="A126" s="3" t="s">
        <v>184</v>
      </c>
      <c r="B126" s="4" t="s">
        <v>34</v>
      </c>
      <c r="C126" s="6" t="s">
        <v>51</v>
      </c>
      <c r="D126" s="132" t="s">
        <v>203</v>
      </c>
      <c r="E126" s="165" t="s">
        <v>204</v>
      </c>
      <c r="F126" s="173"/>
      <c r="G126" s="173"/>
      <c r="H126" s="173"/>
      <c r="I126" s="173"/>
      <c r="J126" s="173"/>
      <c r="K126" s="174" t="str">
        <f t="shared" si="1"/>
        <v>Falta Tarifa</v>
      </c>
      <c r="L126" s="132" t="s">
        <v>33</v>
      </c>
      <c r="M126" s="174"/>
      <c r="N126" s="175"/>
      <c r="O126" s="175">
        <v>60012</v>
      </c>
      <c r="P126" s="175"/>
      <c r="Q126" s="175"/>
      <c r="R126" s="175"/>
      <c r="S126" s="175"/>
      <c r="T126" s="175">
        <v>162.56375929088011</v>
      </c>
      <c r="U126" s="176"/>
    </row>
    <row r="127" spans="1:21" x14ac:dyDescent="0.2">
      <c r="A127" s="3" t="s">
        <v>184</v>
      </c>
      <c r="B127" s="4" t="s">
        <v>34</v>
      </c>
      <c r="C127" s="127" t="s">
        <v>35</v>
      </c>
      <c r="D127" s="128" t="s">
        <v>126</v>
      </c>
      <c r="E127" s="165" t="s">
        <v>127</v>
      </c>
      <c r="F127" s="173"/>
      <c r="G127" s="173"/>
      <c r="H127" s="173"/>
      <c r="I127" s="173"/>
      <c r="J127" s="173"/>
      <c r="K127" s="174" t="str">
        <f t="shared" si="1"/>
        <v>Falta Tarifa</v>
      </c>
      <c r="L127" s="132" t="s">
        <v>33</v>
      </c>
      <c r="M127" s="174"/>
      <c r="N127" s="175"/>
      <c r="O127" s="175">
        <v>180068</v>
      </c>
      <c r="P127" s="175"/>
      <c r="Q127" s="175"/>
      <c r="R127" s="175"/>
      <c r="S127" s="175"/>
      <c r="T127" s="175">
        <v>198.22213189752074</v>
      </c>
      <c r="U127" s="176"/>
    </row>
    <row r="128" spans="1:21" x14ac:dyDescent="0.2">
      <c r="A128" s="3" t="s">
        <v>184</v>
      </c>
      <c r="B128" s="4" t="s">
        <v>34</v>
      </c>
      <c r="C128" s="6" t="s">
        <v>51</v>
      </c>
      <c r="D128" s="128" t="s">
        <v>156</v>
      </c>
      <c r="E128" s="165" t="s">
        <v>157</v>
      </c>
      <c r="F128" s="173"/>
      <c r="G128" s="173"/>
      <c r="H128" s="173"/>
      <c r="I128" s="173"/>
      <c r="J128" s="173"/>
      <c r="K128" s="174" t="str">
        <f t="shared" si="1"/>
        <v>Falta Tarifa</v>
      </c>
      <c r="L128" s="132" t="s">
        <v>33</v>
      </c>
      <c r="M128" s="174"/>
      <c r="N128" s="175"/>
      <c r="O128" s="175">
        <v>60012</v>
      </c>
      <c r="P128" s="175"/>
      <c r="Q128" s="175"/>
      <c r="R128" s="175"/>
      <c r="S128" s="175"/>
      <c r="T128" s="175">
        <v>163.88443975779268</v>
      </c>
      <c r="U128" s="176"/>
    </row>
    <row r="129" spans="1:21" x14ac:dyDescent="0.2">
      <c r="A129" s="3" t="s">
        <v>184</v>
      </c>
      <c r="B129" s="4" t="s">
        <v>34</v>
      </c>
      <c r="C129" s="6" t="s">
        <v>51</v>
      </c>
      <c r="D129" s="128" t="s">
        <v>160</v>
      </c>
      <c r="E129" s="165" t="s">
        <v>161</v>
      </c>
      <c r="F129" s="173"/>
      <c r="G129" s="173"/>
      <c r="H129" s="173"/>
      <c r="I129" s="173"/>
      <c r="J129" s="173"/>
      <c r="K129" s="174" t="str">
        <f t="shared" si="1"/>
        <v>Falta Tarifa</v>
      </c>
      <c r="L129" s="132" t="s">
        <v>33</v>
      </c>
      <c r="M129" s="174"/>
      <c r="N129" s="175"/>
      <c r="O129" s="175">
        <v>12442.001808426267</v>
      </c>
      <c r="P129" s="175"/>
      <c r="Q129" s="175"/>
      <c r="R129" s="175"/>
      <c r="S129" s="175"/>
      <c r="T129" s="175">
        <v>84.763673603664216</v>
      </c>
      <c r="U129" s="176"/>
    </row>
    <row r="130" spans="1:21" x14ac:dyDescent="0.2">
      <c r="A130" s="3" t="s">
        <v>184</v>
      </c>
      <c r="B130" s="4" t="s">
        <v>34</v>
      </c>
      <c r="C130" s="127" t="s">
        <v>123</v>
      </c>
      <c r="D130" s="132" t="s">
        <v>162</v>
      </c>
      <c r="E130" s="165" t="s">
        <v>163</v>
      </c>
      <c r="F130" s="172"/>
      <c r="G130" s="173"/>
      <c r="H130" s="173"/>
      <c r="I130" s="173"/>
      <c r="J130" s="173"/>
      <c r="K130" s="174" t="str">
        <f t="shared" si="1"/>
        <v>Falta Tarifa</v>
      </c>
      <c r="L130" s="132" t="s">
        <v>33</v>
      </c>
      <c r="M130" s="174"/>
      <c r="N130" s="175"/>
      <c r="O130" s="175">
        <v>12442.001808426267</v>
      </c>
      <c r="P130" s="175"/>
      <c r="Q130" s="175"/>
      <c r="R130" s="175"/>
      <c r="S130" s="175"/>
      <c r="T130" s="175">
        <v>198.22213189752074</v>
      </c>
      <c r="U130" s="176"/>
    </row>
    <row r="131" spans="1:21" x14ac:dyDescent="0.2">
      <c r="A131" s="3" t="s">
        <v>207</v>
      </c>
      <c r="B131" s="4" t="s">
        <v>87</v>
      </c>
      <c r="C131" s="127" t="s">
        <v>81</v>
      </c>
      <c r="D131" s="136" t="s">
        <v>208</v>
      </c>
      <c r="E131" s="165" t="s">
        <v>209</v>
      </c>
      <c r="F131" s="174">
        <v>1158103.24</v>
      </c>
      <c r="G131" s="174"/>
      <c r="H131" s="174"/>
      <c r="I131" s="174"/>
      <c r="J131" s="174"/>
      <c r="K131" s="174" t="str">
        <f t="shared" ref="K131:K194" si="2">IF(B131&lt;&gt;"BUE",IF(F131=0,"Falta Tarifa","Tarifado"),IF(AND(F131&lt;&gt;0,G131&lt;&gt;0,H131&lt;&gt;0,I131&lt;&gt;0,J131&lt;&gt;0),"Tarifado","Falta Tarifa"))</f>
        <v>Tarifado</v>
      </c>
      <c r="L131" s="132" t="s">
        <v>180</v>
      </c>
      <c r="M131" s="174"/>
      <c r="N131" s="175"/>
      <c r="O131" s="175"/>
      <c r="P131" s="175"/>
      <c r="Q131" s="175"/>
      <c r="R131" s="175"/>
      <c r="S131" s="175"/>
      <c r="T131" s="175"/>
      <c r="U131" s="176"/>
    </row>
    <row r="132" spans="1:21" x14ac:dyDescent="0.2">
      <c r="A132" s="3" t="s">
        <v>207</v>
      </c>
      <c r="B132" s="4" t="s">
        <v>87</v>
      </c>
      <c r="C132" s="127" t="s">
        <v>81</v>
      </c>
      <c r="D132" s="128" t="s">
        <v>210</v>
      </c>
      <c r="E132" s="165" t="s">
        <v>89</v>
      </c>
      <c r="F132" s="174">
        <v>1157215.4099999999</v>
      </c>
      <c r="G132" s="174"/>
      <c r="H132" s="174"/>
      <c r="I132" s="174"/>
      <c r="J132" s="174"/>
      <c r="K132" s="174" t="str">
        <f t="shared" si="2"/>
        <v>Tarifado</v>
      </c>
      <c r="L132" s="132" t="s">
        <v>180</v>
      </c>
      <c r="M132" s="174"/>
      <c r="N132" s="175"/>
      <c r="O132" s="175"/>
      <c r="P132" s="175"/>
      <c r="Q132" s="175"/>
      <c r="R132" s="175"/>
      <c r="S132" s="175"/>
      <c r="T132" s="175"/>
      <c r="U132" s="176"/>
    </row>
    <row r="133" spans="1:21" x14ac:dyDescent="0.2">
      <c r="A133" s="3" t="s">
        <v>207</v>
      </c>
      <c r="B133" s="4" t="s">
        <v>30</v>
      </c>
      <c r="C133" s="127" t="s">
        <v>81</v>
      </c>
      <c r="D133" s="128" t="s">
        <v>31</v>
      </c>
      <c r="E133" s="165" t="s">
        <v>32</v>
      </c>
      <c r="F133" s="174">
        <v>1249165.8500000001</v>
      </c>
      <c r="G133" s="174"/>
      <c r="H133" s="174"/>
      <c r="I133" s="174"/>
      <c r="J133" s="174"/>
      <c r="K133" s="174" t="str">
        <f t="shared" si="2"/>
        <v>Tarifado</v>
      </c>
      <c r="L133" s="132" t="s">
        <v>180</v>
      </c>
      <c r="M133" s="174"/>
      <c r="N133" s="175"/>
      <c r="O133" s="175"/>
      <c r="P133" s="175"/>
      <c r="Q133" s="175"/>
      <c r="R133" s="175"/>
      <c r="S133" s="175"/>
      <c r="T133" s="175"/>
      <c r="U133" s="176"/>
    </row>
    <row r="134" spans="1:21" x14ac:dyDescent="0.2">
      <c r="A134" s="3" t="s">
        <v>207</v>
      </c>
      <c r="B134" s="4" t="s">
        <v>30</v>
      </c>
      <c r="C134" s="127" t="s">
        <v>45</v>
      </c>
      <c r="D134" s="128" t="s">
        <v>77</v>
      </c>
      <c r="E134" s="165" t="s">
        <v>78</v>
      </c>
      <c r="F134" s="174">
        <v>3096973.97</v>
      </c>
      <c r="G134" s="174"/>
      <c r="H134" s="174"/>
      <c r="I134" s="174"/>
      <c r="J134" s="174"/>
      <c r="K134" s="174" t="str">
        <f t="shared" si="2"/>
        <v>Tarifado</v>
      </c>
      <c r="L134" s="132" t="s">
        <v>180</v>
      </c>
      <c r="M134" s="174"/>
      <c r="N134" s="175"/>
      <c r="O134" s="175"/>
      <c r="P134" s="175"/>
      <c r="Q134" s="175"/>
      <c r="R134" s="175"/>
      <c r="S134" s="175"/>
      <c r="T134" s="175"/>
      <c r="U134" s="176"/>
    </row>
    <row r="135" spans="1:21" x14ac:dyDescent="0.2">
      <c r="A135" s="3" t="s">
        <v>207</v>
      </c>
      <c r="B135" s="4" t="s">
        <v>30</v>
      </c>
      <c r="C135" s="127" t="s">
        <v>93</v>
      </c>
      <c r="D135" s="132" t="s">
        <v>48</v>
      </c>
      <c r="E135" s="165" t="s">
        <v>94</v>
      </c>
      <c r="F135" s="174">
        <v>2417025.0499999998</v>
      </c>
      <c r="G135" s="174"/>
      <c r="H135" s="174"/>
      <c r="I135" s="174"/>
      <c r="J135" s="174"/>
      <c r="K135" s="174" t="str">
        <f t="shared" si="2"/>
        <v>Tarifado</v>
      </c>
      <c r="L135" s="132" t="s">
        <v>180</v>
      </c>
      <c r="M135" s="174"/>
      <c r="N135" s="175"/>
      <c r="O135" s="175"/>
      <c r="P135" s="175"/>
      <c r="Q135" s="175"/>
      <c r="R135" s="175"/>
      <c r="S135" s="175"/>
      <c r="T135" s="175"/>
      <c r="U135" s="176"/>
    </row>
    <row r="136" spans="1:21" x14ac:dyDescent="0.2">
      <c r="A136" s="3" t="s">
        <v>207</v>
      </c>
      <c r="B136" s="4" t="s">
        <v>30</v>
      </c>
      <c r="C136" s="127" t="s">
        <v>45</v>
      </c>
      <c r="D136" s="128" t="s">
        <v>132</v>
      </c>
      <c r="E136" s="165" t="s">
        <v>133</v>
      </c>
      <c r="F136" s="174">
        <v>3315190.92</v>
      </c>
      <c r="G136" s="174"/>
      <c r="H136" s="174"/>
      <c r="I136" s="174"/>
      <c r="J136" s="174"/>
      <c r="K136" s="174" t="str">
        <f t="shared" si="2"/>
        <v>Tarifado</v>
      </c>
      <c r="L136" s="132" t="s">
        <v>180</v>
      </c>
      <c r="M136" s="174"/>
      <c r="N136" s="175"/>
      <c r="O136" s="175"/>
      <c r="P136" s="175"/>
      <c r="Q136" s="175"/>
      <c r="R136" s="175"/>
      <c r="S136" s="175"/>
      <c r="T136" s="175"/>
      <c r="U136" s="176"/>
    </row>
    <row r="137" spans="1:21" x14ac:dyDescent="0.2">
      <c r="A137" s="3" t="s">
        <v>207</v>
      </c>
      <c r="B137" s="4" t="s">
        <v>177</v>
      </c>
      <c r="C137" s="127" t="s">
        <v>81</v>
      </c>
      <c r="D137" s="132" t="s">
        <v>211</v>
      </c>
      <c r="E137" s="165" t="s">
        <v>212</v>
      </c>
      <c r="F137" s="174">
        <v>518941.25</v>
      </c>
      <c r="G137" s="174">
        <v>470000</v>
      </c>
      <c r="H137" s="174">
        <v>390000</v>
      </c>
      <c r="I137" s="174"/>
      <c r="J137" s="174"/>
      <c r="K137" s="174" t="str">
        <f t="shared" si="2"/>
        <v>Falta Tarifa</v>
      </c>
      <c r="L137" s="132" t="s">
        <v>180</v>
      </c>
      <c r="M137" s="174"/>
      <c r="N137" s="175"/>
      <c r="O137" s="175"/>
      <c r="P137" s="175"/>
      <c r="Q137" s="175"/>
      <c r="R137" s="175"/>
      <c r="S137" s="175"/>
      <c r="T137" s="175"/>
      <c r="U137" s="176"/>
    </row>
    <row r="138" spans="1:21" x14ac:dyDescent="0.2">
      <c r="A138" s="3" t="s">
        <v>207</v>
      </c>
      <c r="B138" s="4" t="s">
        <v>177</v>
      </c>
      <c r="C138" s="127" t="s">
        <v>81</v>
      </c>
      <c r="D138" s="132" t="s">
        <v>182</v>
      </c>
      <c r="E138" s="165" t="s">
        <v>183</v>
      </c>
      <c r="F138" s="174">
        <v>471764.77</v>
      </c>
      <c r="G138" s="174">
        <v>425000</v>
      </c>
      <c r="H138" s="174">
        <v>350000</v>
      </c>
      <c r="I138" s="174"/>
      <c r="J138" s="174"/>
      <c r="K138" s="174" t="str">
        <f t="shared" si="2"/>
        <v>Falta Tarifa</v>
      </c>
      <c r="L138" s="132" t="s">
        <v>180</v>
      </c>
      <c r="M138" s="174"/>
      <c r="N138" s="175"/>
      <c r="O138" s="175"/>
      <c r="P138" s="175"/>
      <c r="Q138" s="175"/>
      <c r="R138" s="175"/>
      <c r="S138" s="175"/>
      <c r="T138" s="175"/>
      <c r="U138" s="176"/>
    </row>
    <row r="139" spans="1:21" x14ac:dyDescent="0.2">
      <c r="A139" s="3" t="s">
        <v>207</v>
      </c>
      <c r="B139" s="4" t="s">
        <v>177</v>
      </c>
      <c r="C139" s="127" t="s">
        <v>81</v>
      </c>
      <c r="D139" s="132" t="s">
        <v>213</v>
      </c>
      <c r="E139" s="165" t="s">
        <v>214</v>
      </c>
      <c r="F139" s="174">
        <v>518941.25</v>
      </c>
      <c r="G139" s="174">
        <v>470000</v>
      </c>
      <c r="H139" s="174">
        <v>390000</v>
      </c>
      <c r="I139" s="174"/>
      <c r="J139" s="174"/>
      <c r="K139" s="174" t="str">
        <f t="shared" si="2"/>
        <v>Falta Tarifa</v>
      </c>
      <c r="L139" s="132" t="s">
        <v>180</v>
      </c>
      <c r="M139" s="174"/>
      <c r="N139" s="175"/>
      <c r="O139" s="175"/>
      <c r="P139" s="175"/>
      <c r="Q139" s="175"/>
      <c r="R139" s="175"/>
      <c r="S139" s="175"/>
      <c r="T139" s="175"/>
      <c r="U139" s="176"/>
    </row>
    <row r="140" spans="1:21" x14ac:dyDescent="0.2">
      <c r="A140" s="3" t="s">
        <v>207</v>
      </c>
      <c r="B140" s="4" t="s">
        <v>177</v>
      </c>
      <c r="C140" s="127" t="s">
        <v>81</v>
      </c>
      <c r="D140" s="132" t="s">
        <v>215</v>
      </c>
      <c r="E140" s="165" t="s">
        <v>216</v>
      </c>
      <c r="F140" s="174">
        <v>518941.25</v>
      </c>
      <c r="G140" s="174">
        <v>470000</v>
      </c>
      <c r="H140" s="174">
        <v>390000</v>
      </c>
      <c r="I140" s="174"/>
      <c r="J140" s="174"/>
      <c r="K140" s="174" t="str">
        <f t="shared" si="2"/>
        <v>Falta Tarifa</v>
      </c>
      <c r="L140" s="132" t="s">
        <v>180</v>
      </c>
      <c r="M140" s="174"/>
      <c r="N140" s="175"/>
      <c r="O140" s="175"/>
      <c r="P140" s="175"/>
      <c r="Q140" s="175"/>
      <c r="R140" s="175"/>
      <c r="S140" s="175"/>
      <c r="T140" s="175"/>
      <c r="U140" s="176"/>
    </row>
    <row r="141" spans="1:21" x14ac:dyDescent="0.2">
      <c r="A141" s="3" t="s">
        <v>207</v>
      </c>
      <c r="B141" s="4" t="s">
        <v>177</v>
      </c>
      <c r="C141" s="127" t="s">
        <v>81</v>
      </c>
      <c r="D141" s="128" t="s">
        <v>217</v>
      </c>
      <c r="E141" s="165" t="s">
        <v>218</v>
      </c>
      <c r="F141" s="174">
        <v>518941.25</v>
      </c>
      <c r="G141" s="174">
        <v>470000</v>
      </c>
      <c r="H141" s="174">
        <v>390000</v>
      </c>
      <c r="I141" s="174"/>
      <c r="J141" s="174"/>
      <c r="K141" s="174" t="str">
        <f t="shared" si="2"/>
        <v>Falta Tarifa</v>
      </c>
      <c r="L141" s="132" t="s">
        <v>180</v>
      </c>
      <c r="M141" s="174"/>
      <c r="N141" s="175"/>
      <c r="O141" s="175"/>
      <c r="P141" s="175"/>
      <c r="Q141" s="175"/>
      <c r="R141" s="175"/>
      <c r="S141" s="175"/>
      <c r="T141" s="175"/>
      <c r="U141" s="176"/>
    </row>
    <row r="142" spans="1:21" x14ac:dyDescent="0.2">
      <c r="A142" s="3" t="s">
        <v>207</v>
      </c>
      <c r="B142" s="4" t="s">
        <v>177</v>
      </c>
      <c r="C142" s="127" t="s">
        <v>81</v>
      </c>
      <c r="D142" s="132" t="s">
        <v>219</v>
      </c>
      <c r="E142" s="165" t="s">
        <v>220</v>
      </c>
      <c r="F142" s="174">
        <v>471764.77</v>
      </c>
      <c r="G142" s="174">
        <v>425000</v>
      </c>
      <c r="H142" s="174">
        <v>350000</v>
      </c>
      <c r="I142" s="174"/>
      <c r="J142" s="174"/>
      <c r="K142" s="174" t="str">
        <f t="shared" si="2"/>
        <v>Falta Tarifa</v>
      </c>
      <c r="L142" s="132" t="s">
        <v>180</v>
      </c>
      <c r="M142" s="174"/>
      <c r="N142" s="175"/>
      <c r="O142" s="175"/>
      <c r="P142" s="175"/>
      <c r="Q142" s="175"/>
      <c r="R142" s="175"/>
      <c r="S142" s="175"/>
      <c r="T142" s="175"/>
      <c r="U142" s="176"/>
    </row>
    <row r="143" spans="1:21" x14ac:dyDescent="0.2">
      <c r="A143" s="3" t="s">
        <v>207</v>
      </c>
      <c r="B143" s="4" t="s">
        <v>177</v>
      </c>
      <c r="C143" s="127" t="s">
        <v>81</v>
      </c>
      <c r="D143" s="128" t="s">
        <v>178</v>
      </c>
      <c r="E143" s="165" t="s">
        <v>179</v>
      </c>
      <c r="F143" s="174">
        <v>471764.77</v>
      </c>
      <c r="G143" s="174">
        <v>425000</v>
      </c>
      <c r="H143" s="174">
        <v>350000</v>
      </c>
      <c r="I143" s="174"/>
      <c r="J143" s="174"/>
      <c r="K143" s="174" t="str">
        <f t="shared" si="2"/>
        <v>Falta Tarifa</v>
      </c>
      <c r="L143" s="132" t="s">
        <v>180</v>
      </c>
      <c r="M143" s="174"/>
      <c r="N143" s="175"/>
      <c r="O143" s="175"/>
      <c r="P143" s="175"/>
      <c r="Q143" s="175"/>
      <c r="R143" s="175"/>
      <c r="S143" s="175"/>
      <c r="T143" s="175"/>
      <c r="U143" s="176"/>
    </row>
    <row r="144" spans="1:21" x14ac:dyDescent="0.2">
      <c r="A144" s="3" t="s">
        <v>207</v>
      </c>
      <c r="B144" s="4" t="s">
        <v>177</v>
      </c>
      <c r="C144" s="127" t="s">
        <v>81</v>
      </c>
      <c r="D144" s="132" t="s">
        <v>221</v>
      </c>
      <c r="E144" s="165" t="s">
        <v>222</v>
      </c>
      <c r="F144" s="174">
        <v>471764.77</v>
      </c>
      <c r="G144" s="174">
        <v>425000</v>
      </c>
      <c r="H144" s="174">
        <v>350000</v>
      </c>
      <c r="I144" s="174"/>
      <c r="J144" s="174"/>
      <c r="K144" s="174" t="str">
        <f t="shared" si="2"/>
        <v>Falta Tarifa</v>
      </c>
      <c r="L144" s="132" t="s">
        <v>180</v>
      </c>
      <c r="M144" s="174"/>
      <c r="N144" s="175"/>
      <c r="O144" s="175"/>
      <c r="P144" s="175"/>
      <c r="Q144" s="175"/>
      <c r="R144" s="175"/>
      <c r="S144" s="175"/>
      <c r="T144" s="175"/>
      <c r="U144" s="176"/>
    </row>
    <row r="145" spans="1:21" x14ac:dyDescent="0.2">
      <c r="A145" s="3" t="s">
        <v>207</v>
      </c>
      <c r="B145" s="4" t="s">
        <v>58</v>
      </c>
      <c r="C145" s="127" t="s">
        <v>59</v>
      </c>
      <c r="D145" s="128" t="s">
        <v>229</v>
      </c>
      <c r="E145" s="165" t="s">
        <v>230</v>
      </c>
      <c r="F145" s="174">
        <v>1249165.8500000001</v>
      </c>
      <c r="G145" s="174"/>
      <c r="H145" s="174"/>
      <c r="I145" s="174"/>
      <c r="J145" s="174"/>
      <c r="K145" s="174" t="str">
        <f t="shared" si="2"/>
        <v>Tarifado</v>
      </c>
      <c r="L145" s="132" t="s">
        <v>180</v>
      </c>
      <c r="M145" s="174"/>
      <c r="N145" s="175"/>
      <c r="O145" s="175"/>
      <c r="P145" s="175"/>
      <c r="Q145" s="175"/>
      <c r="R145" s="175"/>
      <c r="S145" s="175"/>
      <c r="T145" s="175"/>
      <c r="U145" s="176"/>
    </row>
    <row r="146" spans="1:21" x14ac:dyDescent="0.2">
      <c r="A146" s="3" t="s">
        <v>207</v>
      </c>
      <c r="B146" s="4" t="s">
        <v>58</v>
      </c>
      <c r="C146" s="127" t="s">
        <v>59</v>
      </c>
      <c r="D146" s="132" t="s">
        <v>223</v>
      </c>
      <c r="E146" s="165" t="s">
        <v>224</v>
      </c>
      <c r="F146" s="174">
        <v>1249165.8500000001</v>
      </c>
      <c r="G146" s="174"/>
      <c r="H146" s="174"/>
      <c r="I146" s="174"/>
      <c r="J146" s="174"/>
      <c r="K146" s="174" t="str">
        <f t="shared" si="2"/>
        <v>Tarifado</v>
      </c>
      <c r="L146" s="132" t="s">
        <v>180</v>
      </c>
      <c r="M146" s="174"/>
      <c r="N146" s="175"/>
      <c r="O146" s="175"/>
      <c r="P146" s="175"/>
      <c r="Q146" s="175"/>
      <c r="R146" s="175"/>
      <c r="S146" s="175"/>
      <c r="T146" s="175"/>
      <c r="U146" s="176"/>
    </row>
    <row r="147" spans="1:21" x14ac:dyDescent="0.2">
      <c r="A147" s="3" t="s">
        <v>207</v>
      </c>
      <c r="B147" s="4" t="s">
        <v>58</v>
      </c>
      <c r="C147" s="127" t="s">
        <v>59</v>
      </c>
      <c r="D147" s="132" t="s">
        <v>225</v>
      </c>
      <c r="E147" s="165" t="s">
        <v>226</v>
      </c>
      <c r="F147" s="174">
        <v>1249165.8500000001</v>
      </c>
      <c r="G147" s="174"/>
      <c r="H147" s="174"/>
      <c r="I147" s="174"/>
      <c r="J147" s="174"/>
      <c r="K147" s="174" t="str">
        <f t="shared" si="2"/>
        <v>Tarifado</v>
      </c>
      <c r="L147" s="132" t="s">
        <v>180</v>
      </c>
      <c r="M147" s="174"/>
      <c r="N147" s="175"/>
      <c r="O147" s="175"/>
      <c r="P147" s="175"/>
      <c r="Q147" s="175"/>
      <c r="R147" s="175"/>
      <c r="S147" s="175"/>
      <c r="T147" s="175"/>
      <c r="U147" s="176"/>
    </row>
    <row r="148" spans="1:21" x14ac:dyDescent="0.2">
      <c r="A148" s="3" t="s">
        <v>207</v>
      </c>
      <c r="B148" s="4" t="s">
        <v>58</v>
      </c>
      <c r="C148" s="127" t="s">
        <v>59</v>
      </c>
      <c r="D148" s="132" t="s">
        <v>59</v>
      </c>
      <c r="E148" s="165" t="s">
        <v>60</v>
      </c>
      <c r="F148" s="174">
        <v>1249165.8500000001</v>
      </c>
      <c r="G148" s="174"/>
      <c r="H148" s="174"/>
      <c r="I148" s="174"/>
      <c r="J148" s="174"/>
      <c r="K148" s="174" t="str">
        <f t="shared" si="2"/>
        <v>Tarifado</v>
      </c>
      <c r="L148" s="132" t="s">
        <v>180</v>
      </c>
      <c r="M148" s="174"/>
      <c r="N148" s="175"/>
      <c r="O148" s="175"/>
      <c r="P148" s="175"/>
      <c r="Q148" s="175"/>
      <c r="R148" s="175"/>
      <c r="S148" s="175"/>
      <c r="T148" s="175"/>
      <c r="U148" s="176"/>
    </row>
    <row r="149" spans="1:21" x14ac:dyDescent="0.2">
      <c r="A149" s="3" t="s">
        <v>207</v>
      </c>
      <c r="B149" s="4" t="s">
        <v>58</v>
      </c>
      <c r="C149" s="127" t="s">
        <v>59</v>
      </c>
      <c r="D149" s="128" t="s">
        <v>119</v>
      </c>
      <c r="E149" s="165" t="s">
        <v>120</v>
      </c>
      <c r="F149" s="174">
        <v>1249165.8500000001</v>
      </c>
      <c r="G149" s="174"/>
      <c r="H149" s="174"/>
      <c r="I149" s="174"/>
      <c r="J149" s="174"/>
      <c r="K149" s="174" t="str">
        <f t="shared" si="2"/>
        <v>Tarifado</v>
      </c>
      <c r="L149" s="132" t="s">
        <v>180</v>
      </c>
      <c r="M149" s="174"/>
      <c r="N149" s="175"/>
      <c r="O149" s="175"/>
      <c r="P149" s="175"/>
      <c r="Q149" s="175"/>
      <c r="R149" s="175"/>
      <c r="S149" s="175"/>
      <c r="T149" s="175"/>
      <c r="U149" s="176"/>
    </row>
    <row r="150" spans="1:21" x14ac:dyDescent="0.2">
      <c r="A150" s="3" t="s">
        <v>207</v>
      </c>
      <c r="B150" s="4" t="s">
        <v>58</v>
      </c>
      <c r="C150" s="127" t="s">
        <v>59</v>
      </c>
      <c r="D150" s="128" t="s">
        <v>227</v>
      </c>
      <c r="E150" s="165" t="s">
        <v>228</v>
      </c>
      <c r="F150" s="174">
        <v>1374082.44</v>
      </c>
      <c r="G150" s="174"/>
      <c r="H150" s="174"/>
      <c r="I150" s="174"/>
      <c r="J150" s="174"/>
      <c r="K150" s="174" t="str">
        <f t="shared" si="2"/>
        <v>Tarifado</v>
      </c>
      <c r="L150" s="132" t="s">
        <v>180</v>
      </c>
      <c r="M150" s="174"/>
      <c r="N150" s="175"/>
      <c r="O150" s="175"/>
      <c r="P150" s="175"/>
      <c r="Q150" s="175"/>
      <c r="R150" s="175"/>
      <c r="S150" s="175"/>
      <c r="T150" s="175"/>
      <c r="U150" s="176"/>
    </row>
    <row r="151" spans="1:21" x14ac:dyDescent="0.2">
      <c r="A151" s="3" t="s">
        <v>207</v>
      </c>
      <c r="B151" s="4" t="s">
        <v>58</v>
      </c>
      <c r="C151" s="127" t="s">
        <v>59</v>
      </c>
      <c r="D151" s="128" t="s">
        <v>168</v>
      </c>
      <c r="E151" s="165" t="s">
        <v>169</v>
      </c>
      <c r="F151" s="174">
        <v>1175250.71</v>
      </c>
      <c r="G151" s="174"/>
      <c r="H151" s="174"/>
      <c r="I151" s="174"/>
      <c r="J151" s="174"/>
      <c r="K151" s="174" t="str">
        <f t="shared" si="2"/>
        <v>Tarifado</v>
      </c>
      <c r="L151" s="132" t="s">
        <v>180</v>
      </c>
      <c r="M151" s="174"/>
      <c r="N151" s="175"/>
      <c r="O151" s="175"/>
      <c r="P151" s="175"/>
      <c r="Q151" s="175"/>
      <c r="R151" s="175"/>
      <c r="S151" s="175"/>
      <c r="T151" s="175"/>
      <c r="U151" s="176"/>
    </row>
    <row r="152" spans="1:21" x14ac:dyDescent="0.2">
      <c r="A152" s="3" t="s">
        <v>207</v>
      </c>
      <c r="B152" s="4" t="s">
        <v>90</v>
      </c>
      <c r="C152" s="127" t="s">
        <v>91</v>
      </c>
      <c r="D152" s="128" t="s">
        <v>231</v>
      </c>
      <c r="E152" s="165" t="s">
        <v>232</v>
      </c>
      <c r="F152" s="174">
        <v>2104469.6</v>
      </c>
      <c r="G152" s="174"/>
      <c r="H152" s="174"/>
      <c r="I152" s="174"/>
      <c r="J152" s="174"/>
      <c r="K152" s="174" t="str">
        <f t="shared" si="2"/>
        <v>Tarifado</v>
      </c>
      <c r="L152" s="132" t="s">
        <v>180</v>
      </c>
      <c r="M152" s="174"/>
      <c r="N152" s="175"/>
      <c r="O152" s="175"/>
      <c r="P152" s="175"/>
      <c r="Q152" s="175"/>
      <c r="R152" s="175"/>
      <c r="S152" s="175"/>
      <c r="T152" s="175"/>
      <c r="U152" s="176"/>
    </row>
    <row r="153" spans="1:21" x14ac:dyDescent="0.2">
      <c r="A153" s="3" t="s">
        <v>207</v>
      </c>
      <c r="B153" s="4" t="s">
        <v>90</v>
      </c>
      <c r="C153" s="127" t="s">
        <v>91</v>
      </c>
      <c r="D153" s="132" t="s">
        <v>233</v>
      </c>
      <c r="E153" s="165" t="s">
        <v>234</v>
      </c>
      <c r="F153" s="174">
        <v>2104469.6</v>
      </c>
      <c r="G153" s="174"/>
      <c r="H153" s="174"/>
      <c r="I153" s="174"/>
      <c r="J153" s="174"/>
      <c r="K153" s="174" t="str">
        <f t="shared" si="2"/>
        <v>Tarifado</v>
      </c>
      <c r="L153" s="132" t="s">
        <v>180</v>
      </c>
      <c r="M153" s="174"/>
      <c r="N153" s="175"/>
      <c r="O153" s="175"/>
      <c r="P153" s="175"/>
      <c r="Q153" s="175"/>
      <c r="R153" s="175"/>
      <c r="S153" s="175"/>
      <c r="T153" s="175"/>
      <c r="U153" s="176"/>
    </row>
    <row r="154" spans="1:21" x14ac:dyDescent="0.2">
      <c r="A154" s="3" t="s">
        <v>207</v>
      </c>
      <c r="B154" s="4" t="s">
        <v>90</v>
      </c>
      <c r="C154" s="127" t="s">
        <v>91</v>
      </c>
      <c r="D154" s="128" t="s">
        <v>235</v>
      </c>
      <c r="E154" s="165" t="s">
        <v>236</v>
      </c>
      <c r="F154" s="174">
        <v>2104469.6</v>
      </c>
      <c r="G154" s="174"/>
      <c r="H154" s="174"/>
      <c r="I154" s="174"/>
      <c r="J154" s="174"/>
      <c r="K154" s="174" t="str">
        <f t="shared" si="2"/>
        <v>Tarifado</v>
      </c>
      <c r="L154" s="132" t="s">
        <v>180</v>
      </c>
      <c r="M154" s="174"/>
      <c r="N154" s="175"/>
      <c r="O154" s="175"/>
      <c r="P154" s="175"/>
      <c r="Q154" s="175"/>
      <c r="R154" s="175"/>
      <c r="S154" s="175"/>
      <c r="T154" s="175"/>
      <c r="U154" s="176"/>
    </row>
    <row r="155" spans="1:21" x14ac:dyDescent="0.2">
      <c r="A155" s="3" t="s">
        <v>207</v>
      </c>
      <c r="B155" s="4" t="s">
        <v>90</v>
      </c>
      <c r="C155" s="127" t="s">
        <v>91</v>
      </c>
      <c r="D155" s="128" t="s">
        <v>237</v>
      </c>
      <c r="E155" s="165" t="s">
        <v>238</v>
      </c>
      <c r="F155" s="174">
        <v>2104469.6</v>
      </c>
      <c r="G155" s="174"/>
      <c r="H155" s="174"/>
      <c r="I155" s="174"/>
      <c r="J155" s="174"/>
      <c r="K155" s="174" t="str">
        <f t="shared" si="2"/>
        <v>Tarifado</v>
      </c>
      <c r="L155" s="132" t="s">
        <v>180</v>
      </c>
      <c r="M155" s="174"/>
      <c r="N155" s="175"/>
      <c r="O155" s="175"/>
      <c r="P155" s="175"/>
      <c r="Q155" s="175"/>
      <c r="R155" s="175"/>
      <c r="S155" s="175"/>
      <c r="T155" s="175"/>
      <c r="U155" s="176"/>
    </row>
    <row r="156" spans="1:21" x14ac:dyDescent="0.2">
      <c r="A156" s="3" t="s">
        <v>207</v>
      </c>
      <c r="B156" s="4" t="s">
        <v>90</v>
      </c>
      <c r="C156" s="127" t="s">
        <v>91</v>
      </c>
      <c r="D156" s="128" t="s">
        <v>91</v>
      </c>
      <c r="E156" s="165" t="s">
        <v>92</v>
      </c>
      <c r="F156" s="174">
        <v>2104469.6</v>
      </c>
      <c r="G156" s="174"/>
      <c r="H156" s="174"/>
      <c r="I156" s="174"/>
      <c r="J156" s="174"/>
      <c r="K156" s="174" t="str">
        <f t="shared" si="2"/>
        <v>Tarifado</v>
      </c>
      <c r="L156" s="132" t="s">
        <v>180</v>
      </c>
      <c r="M156" s="174"/>
      <c r="N156" s="175"/>
      <c r="O156" s="175"/>
      <c r="P156" s="175"/>
      <c r="Q156" s="175"/>
      <c r="R156" s="175"/>
      <c r="S156" s="175"/>
      <c r="T156" s="175"/>
      <c r="U156" s="176"/>
    </row>
    <row r="157" spans="1:21" x14ac:dyDescent="0.2">
      <c r="A157" s="3" t="s">
        <v>207</v>
      </c>
      <c r="B157" s="4" t="s">
        <v>90</v>
      </c>
      <c r="C157" s="127" t="s">
        <v>91</v>
      </c>
      <c r="D157" s="132" t="s">
        <v>239</v>
      </c>
      <c r="E157" s="165" t="s">
        <v>240</v>
      </c>
      <c r="F157" s="174">
        <v>2104469.6</v>
      </c>
      <c r="G157" s="174"/>
      <c r="H157" s="174"/>
      <c r="I157" s="174"/>
      <c r="J157" s="174"/>
      <c r="K157" s="174" t="str">
        <f t="shared" si="2"/>
        <v>Tarifado</v>
      </c>
      <c r="L157" s="132" t="s">
        <v>180</v>
      </c>
      <c r="M157" s="174"/>
      <c r="N157" s="175"/>
      <c r="O157" s="175"/>
      <c r="P157" s="175"/>
      <c r="Q157" s="175"/>
      <c r="R157" s="175"/>
      <c r="S157" s="175"/>
      <c r="T157" s="175"/>
      <c r="U157" s="176"/>
    </row>
    <row r="158" spans="1:21" x14ac:dyDescent="0.2">
      <c r="A158" s="3" t="s">
        <v>207</v>
      </c>
      <c r="B158" s="4" t="s">
        <v>90</v>
      </c>
      <c r="C158" s="127" t="s">
        <v>135</v>
      </c>
      <c r="D158" s="128" t="s">
        <v>136</v>
      </c>
      <c r="E158" s="165" t="s">
        <v>137</v>
      </c>
      <c r="F158" s="174">
        <v>2104469.6</v>
      </c>
      <c r="G158" s="174"/>
      <c r="H158" s="174"/>
      <c r="I158" s="174"/>
      <c r="J158" s="174"/>
      <c r="K158" s="174" t="str">
        <f t="shared" si="2"/>
        <v>Tarifado</v>
      </c>
      <c r="L158" s="132" t="s">
        <v>180</v>
      </c>
      <c r="M158" s="174"/>
      <c r="N158" s="175"/>
      <c r="O158" s="175"/>
      <c r="P158" s="175"/>
      <c r="Q158" s="175"/>
      <c r="R158" s="175"/>
      <c r="S158" s="175"/>
      <c r="T158" s="175"/>
      <c r="U158" s="176"/>
    </row>
    <row r="159" spans="1:21" x14ac:dyDescent="0.2">
      <c r="A159" s="3" t="s">
        <v>207</v>
      </c>
      <c r="B159" s="4" t="s">
        <v>90</v>
      </c>
      <c r="C159" s="127" t="s">
        <v>91</v>
      </c>
      <c r="D159" s="132" t="s">
        <v>146</v>
      </c>
      <c r="E159" s="165" t="s">
        <v>147</v>
      </c>
      <c r="F159" s="174">
        <v>2314916.56</v>
      </c>
      <c r="G159" s="174"/>
      <c r="H159" s="174"/>
      <c r="I159" s="174"/>
      <c r="J159" s="174"/>
      <c r="K159" s="174" t="str">
        <f t="shared" si="2"/>
        <v>Tarifado</v>
      </c>
      <c r="L159" s="132" t="s">
        <v>180</v>
      </c>
      <c r="M159" s="174"/>
      <c r="N159" s="175"/>
      <c r="O159" s="175"/>
      <c r="P159" s="175"/>
      <c r="Q159" s="175"/>
      <c r="R159" s="175"/>
      <c r="S159" s="175"/>
      <c r="T159" s="175"/>
      <c r="U159" s="176"/>
    </row>
    <row r="160" spans="1:21" x14ac:dyDescent="0.2">
      <c r="A160" s="3" t="s">
        <v>207</v>
      </c>
      <c r="B160" s="4" t="s">
        <v>90</v>
      </c>
      <c r="C160" s="127" t="s">
        <v>135</v>
      </c>
      <c r="D160" s="132" t="s">
        <v>241</v>
      </c>
      <c r="E160" s="165" t="s">
        <v>242</v>
      </c>
      <c r="F160" s="174">
        <v>2104469.6</v>
      </c>
      <c r="G160" s="174"/>
      <c r="H160" s="174"/>
      <c r="I160" s="174"/>
      <c r="J160" s="174"/>
      <c r="K160" s="174" t="str">
        <f t="shared" si="2"/>
        <v>Tarifado</v>
      </c>
      <c r="L160" s="132" t="s">
        <v>180</v>
      </c>
      <c r="M160" s="174"/>
      <c r="N160" s="175"/>
      <c r="O160" s="175"/>
      <c r="P160" s="175"/>
      <c r="Q160" s="175"/>
      <c r="R160" s="175"/>
      <c r="S160" s="175"/>
      <c r="T160" s="175"/>
      <c r="U160" s="176"/>
    </row>
    <row r="161" spans="1:21" x14ac:dyDescent="0.2">
      <c r="A161" s="3" t="s">
        <v>207</v>
      </c>
      <c r="B161" s="4" t="s">
        <v>54</v>
      </c>
      <c r="C161" s="127" t="s">
        <v>55</v>
      </c>
      <c r="D161" s="128" t="s">
        <v>56</v>
      </c>
      <c r="E161" s="165" t="s">
        <v>57</v>
      </c>
      <c r="F161" s="174">
        <v>1132153.31</v>
      </c>
      <c r="G161" s="174"/>
      <c r="H161" s="174"/>
      <c r="I161" s="174"/>
      <c r="J161" s="174"/>
      <c r="K161" s="174" t="str">
        <f t="shared" si="2"/>
        <v>Tarifado</v>
      </c>
      <c r="L161" s="132" t="s">
        <v>180</v>
      </c>
      <c r="M161" s="174"/>
      <c r="N161" s="175"/>
      <c r="O161" s="175"/>
      <c r="P161" s="175"/>
      <c r="Q161" s="175"/>
      <c r="R161" s="175"/>
      <c r="S161" s="175"/>
      <c r="T161" s="175"/>
      <c r="U161" s="176"/>
    </row>
    <row r="162" spans="1:21" x14ac:dyDescent="0.2">
      <c r="A162" s="3" t="s">
        <v>207</v>
      </c>
      <c r="B162" s="4" t="s">
        <v>54</v>
      </c>
      <c r="C162" s="127" t="s">
        <v>55</v>
      </c>
      <c r="D162" s="128" t="s">
        <v>243</v>
      </c>
      <c r="E162" s="165" t="s">
        <v>244</v>
      </c>
      <c r="F162" s="174">
        <v>1175250.78</v>
      </c>
      <c r="G162" s="174"/>
      <c r="H162" s="174"/>
      <c r="I162" s="174"/>
      <c r="J162" s="174"/>
      <c r="K162" s="174" t="str">
        <f t="shared" si="2"/>
        <v>Tarifado</v>
      </c>
      <c r="L162" s="132" t="s">
        <v>180</v>
      </c>
      <c r="M162" s="174"/>
      <c r="N162" s="175"/>
      <c r="O162" s="175"/>
      <c r="P162" s="175"/>
      <c r="Q162" s="175"/>
      <c r="R162" s="175"/>
      <c r="S162" s="175"/>
      <c r="T162" s="175"/>
      <c r="U162" s="176"/>
    </row>
    <row r="163" spans="1:21" x14ac:dyDescent="0.2">
      <c r="A163" s="3" t="s">
        <v>207</v>
      </c>
      <c r="B163" s="4" t="s">
        <v>70</v>
      </c>
      <c r="C163" s="127" t="s">
        <v>245</v>
      </c>
      <c r="D163" s="132" t="s">
        <v>245</v>
      </c>
      <c r="E163" s="165" t="s">
        <v>246</v>
      </c>
      <c r="F163" s="174">
        <v>1827182.27</v>
      </c>
      <c r="G163" s="174"/>
      <c r="H163" s="174"/>
      <c r="I163" s="174"/>
      <c r="J163" s="174"/>
      <c r="K163" s="174" t="str">
        <f t="shared" si="2"/>
        <v>Tarifado</v>
      </c>
      <c r="L163" s="132" t="s">
        <v>180</v>
      </c>
      <c r="M163" s="174"/>
      <c r="N163" s="175"/>
      <c r="O163" s="175"/>
      <c r="P163" s="175"/>
      <c r="Q163" s="175"/>
      <c r="R163" s="175"/>
      <c r="S163" s="175"/>
      <c r="T163" s="175"/>
      <c r="U163" s="176"/>
    </row>
    <row r="164" spans="1:21" x14ac:dyDescent="0.2">
      <c r="A164" s="3" t="s">
        <v>207</v>
      </c>
      <c r="B164" s="4" t="s">
        <v>70</v>
      </c>
      <c r="C164" s="127" t="s">
        <v>95</v>
      </c>
      <c r="D164" s="128" t="s">
        <v>96</v>
      </c>
      <c r="E164" s="165" t="s">
        <v>97</v>
      </c>
      <c r="F164" s="174">
        <v>2766630.08</v>
      </c>
      <c r="G164" s="174"/>
      <c r="H164" s="174"/>
      <c r="I164" s="174"/>
      <c r="J164" s="174"/>
      <c r="K164" s="174" t="str">
        <f t="shared" si="2"/>
        <v>Tarifado</v>
      </c>
      <c r="L164" s="132" t="s">
        <v>180</v>
      </c>
      <c r="M164" s="174"/>
      <c r="N164" s="175"/>
      <c r="O164" s="175"/>
      <c r="P164" s="175"/>
      <c r="Q164" s="175"/>
      <c r="R164" s="175"/>
      <c r="S164" s="175"/>
      <c r="T164" s="175"/>
      <c r="U164" s="176"/>
    </row>
    <row r="165" spans="1:21" x14ac:dyDescent="0.2">
      <c r="A165" s="3" t="s">
        <v>207</v>
      </c>
      <c r="B165" s="4" t="s">
        <v>70</v>
      </c>
      <c r="C165" s="127" t="s">
        <v>104</v>
      </c>
      <c r="D165" s="128" t="s">
        <v>105</v>
      </c>
      <c r="E165" s="165" t="s">
        <v>106</v>
      </c>
      <c r="F165" s="174">
        <v>1874877.52</v>
      </c>
      <c r="G165" s="174"/>
      <c r="H165" s="174"/>
      <c r="I165" s="174"/>
      <c r="J165" s="174"/>
      <c r="K165" s="174" t="str">
        <f t="shared" si="2"/>
        <v>Tarifado</v>
      </c>
      <c r="L165" s="132" t="s">
        <v>180</v>
      </c>
      <c r="M165" s="174"/>
      <c r="N165" s="175"/>
      <c r="O165" s="175"/>
      <c r="P165" s="175"/>
      <c r="Q165" s="175"/>
      <c r="R165" s="175"/>
      <c r="S165" s="175"/>
      <c r="T165" s="175"/>
      <c r="U165" s="176"/>
    </row>
    <row r="166" spans="1:21" x14ac:dyDescent="0.2">
      <c r="A166" s="3" t="s">
        <v>207</v>
      </c>
      <c r="B166" s="4" t="s">
        <v>70</v>
      </c>
      <c r="C166" s="127" t="s">
        <v>95</v>
      </c>
      <c r="D166" s="128" t="s">
        <v>117</v>
      </c>
      <c r="E166" s="165" t="s">
        <v>118</v>
      </c>
      <c r="F166" s="174">
        <v>1827182.27</v>
      </c>
      <c r="G166" s="174"/>
      <c r="H166" s="174"/>
      <c r="I166" s="174"/>
      <c r="J166" s="174"/>
      <c r="K166" s="174" t="str">
        <f t="shared" si="2"/>
        <v>Tarifado</v>
      </c>
      <c r="L166" s="132" t="s">
        <v>180</v>
      </c>
      <c r="M166" s="174"/>
      <c r="N166" s="175"/>
      <c r="O166" s="175"/>
      <c r="P166" s="175"/>
      <c r="Q166" s="175"/>
      <c r="R166" s="175"/>
      <c r="S166" s="175"/>
      <c r="T166" s="175"/>
      <c r="U166" s="176"/>
    </row>
    <row r="167" spans="1:21" x14ac:dyDescent="0.2">
      <c r="A167" s="3" t="s">
        <v>207</v>
      </c>
      <c r="B167" s="4" t="s">
        <v>42</v>
      </c>
      <c r="C167" s="127" t="s">
        <v>130</v>
      </c>
      <c r="D167" s="132" t="s">
        <v>130</v>
      </c>
      <c r="E167" s="165" t="s">
        <v>131</v>
      </c>
      <c r="F167" s="174">
        <v>2663592.4500000002</v>
      </c>
      <c r="G167" s="174"/>
      <c r="H167" s="174"/>
      <c r="I167" s="174"/>
      <c r="J167" s="174"/>
      <c r="K167" s="174" t="str">
        <f t="shared" si="2"/>
        <v>Tarifado</v>
      </c>
      <c r="L167" s="132" t="s">
        <v>180</v>
      </c>
      <c r="M167" s="174"/>
      <c r="N167" s="175"/>
      <c r="O167" s="175"/>
      <c r="P167" s="175"/>
      <c r="Q167" s="175"/>
      <c r="R167" s="175"/>
      <c r="S167" s="175"/>
      <c r="T167" s="175"/>
      <c r="U167" s="176"/>
    </row>
    <row r="168" spans="1:21" x14ac:dyDescent="0.2">
      <c r="A168" s="3" t="s">
        <v>207</v>
      </c>
      <c r="B168" s="4" t="s">
        <v>42</v>
      </c>
      <c r="C168" s="127" t="s">
        <v>143</v>
      </c>
      <c r="D168" s="128" t="s">
        <v>144</v>
      </c>
      <c r="E168" s="165" t="s">
        <v>145</v>
      </c>
      <c r="F168" s="174">
        <v>2132979.73</v>
      </c>
      <c r="G168" s="174"/>
      <c r="H168" s="174"/>
      <c r="I168" s="174"/>
      <c r="J168" s="174"/>
      <c r="K168" s="174" t="str">
        <f t="shared" si="2"/>
        <v>Tarifado</v>
      </c>
      <c r="L168" s="132" t="s">
        <v>180</v>
      </c>
      <c r="M168" s="174"/>
      <c r="N168" s="175"/>
      <c r="O168" s="175"/>
      <c r="P168" s="175"/>
      <c r="Q168" s="175"/>
      <c r="R168" s="175"/>
      <c r="S168" s="175"/>
      <c r="T168" s="175"/>
      <c r="U168" s="176"/>
    </row>
    <row r="169" spans="1:21" x14ac:dyDescent="0.2">
      <c r="A169" s="3" t="s">
        <v>207</v>
      </c>
      <c r="B169" s="4" t="s">
        <v>42</v>
      </c>
      <c r="C169" s="127" t="s">
        <v>148</v>
      </c>
      <c r="D169" s="132" t="s">
        <v>149</v>
      </c>
      <c r="E169" s="165" t="s">
        <v>150</v>
      </c>
      <c r="F169" s="174">
        <v>2830952.16</v>
      </c>
      <c r="G169" s="174"/>
      <c r="H169" s="174"/>
      <c r="I169" s="174"/>
      <c r="J169" s="174"/>
      <c r="K169" s="174" t="str">
        <f t="shared" si="2"/>
        <v>Tarifado</v>
      </c>
      <c r="L169" s="132" t="s">
        <v>180</v>
      </c>
      <c r="M169" s="174"/>
      <c r="N169" s="175"/>
      <c r="O169" s="175"/>
      <c r="P169" s="175"/>
      <c r="Q169" s="175"/>
      <c r="R169" s="175"/>
      <c r="S169" s="175"/>
      <c r="T169" s="175"/>
      <c r="U169" s="176"/>
    </row>
    <row r="170" spans="1:21" x14ac:dyDescent="0.2">
      <c r="A170" s="3" t="s">
        <v>207</v>
      </c>
      <c r="B170" s="4" t="s">
        <v>73</v>
      </c>
      <c r="C170" s="127" t="s">
        <v>81</v>
      </c>
      <c r="D170" s="132" t="s">
        <v>247</v>
      </c>
      <c r="E170" s="165" t="s">
        <v>248</v>
      </c>
      <c r="F170" s="174">
        <v>842632.58</v>
      </c>
      <c r="G170" s="174"/>
      <c r="H170" s="174"/>
      <c r="I170" s="174"/>
      <c r="J170" s="174"/>
      <c r="K170" s="174" t="str">
        <f t="shared" si="2"/>
        <v>Tarifado</v>
      </c>
      <c r="L170" s="132" t="s">
        <v>180</v>
      </c>
      <c r="M170" s="174"/>
      <c r="N170" s="175"/>
      <c r="O170" s="175"/>
      <c r="P170" s="175"/>
      <c r="Q170" s="175"/>
      <c r="R170" s="175"/>
      <c r="S170" s="175"/>
      <c r="T170" s="175"/>
      <c r="U170" s="176"/>
    </row>
    <row r="171" spans="1:21" x14ac:dyDescent="0.2">
      <c r="A171" s="3" t="s">
        <v>207</v>
      </c>
      <c r="B171" s="4" t="s">
        <v>73</v>
      </c>
      <c r="C171" s="127" t="s">
        <v>81</v>
      </c>
      <c r="D171" s="128" t="s">
        <v>249</v>
      </c>
      <c r="E171" s="165" t="s">
        <v>250</v>
      </c>
      <c r="F171" s="174">
        <v>468059.02</v>
      </c>
      <c r="G171" s="174"/>
      <c r="H171" s="174"/>
      <c r="I171" s="174"/>
      <c r="J171" s="174"/>
      <c r="K171" s="174" t="str">
        <f t="shared" si="2"/>
        <v>Tarifado</v>
      </c>
      <c r="L171" s="132" t="s">
        <v>180</v>
      </c>
      <c r="M171" s="174"/>
      <c r="N171" s="175"/>
      <c r="O171" s="175"/>
      <c r="P171" s="175"/>
      <c r="Q171" s="175"/>
      <c r="R171" s="175"/>
      <c r="S171" s="175"/>
      <c r="T171" s="175"/>
      <c r="U171" s="176"/>
    </row>
    <row r="172" spans="1:21" x14ac:dyDescent="0.2">
      <c r="A172" s="3" t="s">
        <v>207</v>
      </c>
      <c r="B172" s="4" t="s">
        <v>73</v>
      </c>
      <c r="C172" s="127" t="s">
        <v>81</v>
      </c>
      <c r="D172" s="128" t="s">
        <v>82</v>
      </c>
      <c r="E172" s="165" t="s">
        <v>83</v>
      </c>
      <c r="F172" s="174">
        <v>842632.58</v>
      </c>
      <c r="G172" s="174"/>
      <c r="H172" s="174"/>
      <c r="I172" s="174"/>
      <c r="J172" s="174"/>
      <c r="K172" s="174" t="str">
        <f t="shared" si="2"/>
        <v>Tarifado</v>
      </c>
      <c r="L172" s="132" t="s">
        <v>180</v>
      </c>
      <c r="M172" s="174"/>
      <c r="N172" s="175"/>
      <c r="O172" s="175"/>
      <c r="P172" s="175"/>
      <c r="Q172" s="175"/>
      <c r="R172" s="175"/>
      <c r="S172" s="175"/>
      <c r="T172" s="175"/>
      <c r="U172" s="176"/>
    </row>
    <row r="173" spans="1:21" x14ac:dyDescent="0.2">
      <c r="A173" s="3" t="s">
        <v>207</v>
      </c>
      <c r="B173" s="4" t="s">
        <v>73</v>
      </c>
      <c r="C173" s="127" t="s">
        <v>81</v>
      </c>
      <c r="D173" s="128" t="s">
        <v>251</v>
      </c>
      <c r="E173" s="165" t="s">
        <v>252</v>
      </c>
      <c r="F173" s="174">
        <v>1250124.23</v>
      </c>
      <c r="G173" s="174"/>
      <c r="H173" s="174"/>
      <c r="I173" s="174"/>
      <c r="J173" s="174"/>
      <c r="K173" s="174" t="str">
        <f t="shared" si="2"/>
        <v>Tarifado</v>
      </c>
      <c r="L173" s="132" t="s">
        <v>180</v>
      </c>
      <c r="M173" s="174"/>
      <c r="N173" s="175"/>
      <c r="O173" s="175"/>
      <c r="P173" s="175"/>
      <c r="Q173" s="175"/>
      <c r="R173" s="175"/>
      <c r="S173" s="175"/>
      <c r="T173" s="175"/>
      <c r="U173" s="176"/>
    </row>
    <row r="174" spans="1:21" x14ac:dyDescent="0.2">
      <c r="A174" s="3" t="s">
        <v>207</v>
      </c>
      <c r="B174" s="4" t="s">
        <v>73</v>
      </c>
      <c r="C174" s="127" t="s">
        <v>74</v>
      </c>
      <c r="D174" s="128" t="s">
        <v>253</v>
      </c>
      <c r="E174" s="165" t="s">
        <v>153</v>
      </c>
      <c r="F174" s="174">
        <v>1750000</v>
      </c>
      <c r="G174" s="174"/>
      <c r="H174" s="174"/>
      <c r="I174" s="174"/>
      <c r="J174" s="174"/>
      <c r="K174" s="174" t="str">
        <f t="shared" si="2"/>
        <v>Tarifado</v>
      </c>
      <c r="L174" s="132" t="s">
        <v>180</v>
      </c>
      <c r="M174" s="174"/>
      <c r="N174" s="175"/>
      <c r="O174" s="175"/>
      <c r="P174" s="175"/>
      <c r="Q174" s="175"/>
      <c r="R174" s="175"/>
      <c r="S174" s="175"/>
      <c r="T174" s="175"/>
      <c r="U174" s="176"/>
    </row>
    <row r="175" spans="1:21" x14ac:dyDescent="0.2">
      <c r="A175" s="3" t="s">
        <v>207</v>
      </c>
      <c r="B175" s="4" t="s">
        <v>73</v>
      </c>
      <c r="C175" s="127" t="s">
        <v>81</v>
      </c>
      <c r="D175" s="128" t="s">
        <v>158</v>
      </c>
      <c r="E175" s="165" t="s">
        <v>159</v>
      </c>
      <c r="F175" s="174">
        <v>1027420.43</v>
      </c>
      <c r="G175" s="174"/>
      <c r="H175" s="174"/>
      <c r="I175" s="174"/>
      <c r="J175" s="174"/>
      <c r="K175" s="174" t="str">
        <f t="shared" si="2"/>
        <v>Tarifado</v>
      </c>
      <c r="L175" s="132" t="s">
        <v>180</v>
      </c>
      <c r="M175" s="174"/>
      <c r="N175" s="175"/>
      <c r="O175" s="175"/>
      <c r="P175" s="175"/>
      <c r="Q175" s="175"/>
      <c r="R175" s="175"/>
      <c r="S175" s="175"/>
      <c r="T175" s="175"/>
      <c r="U175" s="176"/>
    </row>
    <row r="176" spans="1:21" x14ac:dyDescent="0.2">
      <c r="A176" s="3" t="s">
        <v>207</v>
      </c>
      <c r="B176" s="4" t="s">
        <v>34</v>
      </c>
      <c r="C176" s="127" t="s">
        <v>51</v>
      </c>
      <c r="D176" s="128" t="s">
        <v>68</v>
      </c>
      <c r="E176" s="165" t="s">
        <v>69</v>
      </c>
      <c r="F176" s="174">
        <v>5439556.8499999996</v>
      </c>
      <c r="G176" s="174"/>
      <c r="H176" s="174"/>
      <c r="I176" s="174"/>
      <c r="J176" s="174"/>
      <c r="K176" s="174" t="str">
        <f t="shared" si="2"/>
        <v>Tarifado</v>
      </c>
      <c r="L176" s="132" t="s">
        <v>180</v>
      </c>
      <c r="M176" s="174"/>
      <c r="N176" s="175"/>
      <c r="O176" s="175"/>
      <c r="P176" s="175"/>
      <c r="Q176" s="175"/>
      <c r="R176" s="175"/>
      <c r="S176" s="175"/>
      <c r="T176" s="175"/>
      <c r="U176" s="176"/>
    </row>
    <row r="177" spans="1:21" x14ac:dyDescent="0.2">
      <c r="A177" s="3" t="s">
        <v>207</v>
      </c>
      <c r="B177" s="4" t="s">
        <v>34</v>
      </c>
      <c r="C177" s="127" t="s">
        <v>51</v>
      </c>
      <c r="D177" s="132" t="s">
        <v>160</v>
      </c>
      <c r="E177" s="165" t="s">
        <v>161</v>
      </c>
      <c r="F177" s="174">
        <v>4351645.4800000004</v>
      </c>
      <c r="G177" s="174"/>
      <c r="H177" s="174"/>
      <c r="I177" s="174"/>
      <c r="J177" s="174"/>
      <c r="K177" s="174" t="str">
        <f t="shared" si="2"/>
        <v>Tarifado</v>
      </c>
      <c r="L177" s="132" t="s">
        <v>180</v>
      </c>
      <c r="M177" s="174"/>
      <c r="N177" s="175"/>
      <c r="O177" s="175"/>
      <c r="P177" s="175"/>
      <c r="Q177" s="175"/>
      <c r="R177" s="175"/>
      <c r="S177" s="175"/>
      <c r="T177" s="175"/>
      <c r="U177" s="176"/>
    </row>
    <row r="178" spans="1:21" x14ac:dyDescent="0.2">
      <c r="A178" s="3" t="s">
        <v>207</v>
      </c>
      <c r="B178" s="4" t="s">
        <v>38</v>
      </c>
      <c r="C178" s="127" t="s">
        <v>39</v>
      </c>
      <c r="D178" s="212" t="s">
        <v>128</v>
      </c>
      <c r="E178" s="165" t="s">
        <v>129</v>
      </c>
      <c r="F178" s="174">
        <v>730872.91</v>
      </c>
      <c r="G178" s="174"/>
      <c r="H178" s="174"/>
      <c r="I178" s="174"/>
      <c r="J178" s="174"/>
      <c r="K178" s="174" t="str">
        <f t="shared" si="2"/>
        <v>Tarifado</v>
      </c>
      <c r="L178" s="132" t="s">
        <v>180</v>
      </c>
      <c r="M178" s="174"/>
      <c r="N178" s="175"/>
      <c r="O178" s="175"/>
      <c r="P178" s="175"/>
      <c r="Q178" s="175"/>
      <c r="R178" s="175"/>
      <c r="S178" s="175"/>
      <c r="T178" s="175"/>
      <c r="U178" s="176"/>
    </row>
    <row r="179" spans="1:21" x14ac:dyDescent="0.2">
      <c r="A179" s="3" t="s">
        <v>207</v>
      </c>
      <c r="B179" s="4" t="s">
        <v>38</v>
      </c>
      <c r="C179" s="127" t="s">
        <v>39</v>
      </c>
      <c r="D179" s="212" t="s">
        <v>39</v>
      </c>
      <c r="E179" s="165" t="s">
        <v>151</v>
      </c>
      <c r="F179" s="174">
        <v>1175250.78</v>
      </c>
      <c r="G179" s="174"/>
      <c r="H179" s="174"/>
      <c r="I179" s="174"/>
      <c r="J179" s="174"/>
      <c r="K179" s="174" t="str">
        <f t="shared" si="2"/>
        <v>Tarifado</v>
      </c>
      <c r="L179" s="132" t="s">
        <v>180</v>
      </c>
      <c r="M179" s="174"/>
      <c r="N179" s="175"/>
      <c r="O179" s="175"/>
      <c r="P179" s="175"/>
      <c r="Q179" s="175"/>
      <c r="R179" s="175"/>
      <c r="S179" s="175"/>
      <c r="T179" s="175"/>
      <c r="U179" s="176"/>
    </row>
    <row r="180" spans="1:21" x14ac:dyDescent="0.2">
      <c r="A180" s="3" t="s">
        <v>254</v>
      </c>
      <c r="B180" s="4" t="s">
        <v>87</v>
      </c>
      <c r="C180" s="127" t="s">
        <v>81</v>
      </c>
      <c r="D180" s="132" t="s">
        <v>208</v>
      </c>
      <c r="E180" s="165" t="s">
        <v>209</v>
      </c>
      <c r="F180" s="173">
        <v>593916</v>
      </c>
      <c r="G180" s="173"/>
      <c r="H180" s="173"/>
      <c r="I180" s="173"/>
      <c r="J180" s="173"/>
      <c r="K180" s="174" t="str">
        <f t="shared" si="2"/>
        <v>Tarifado</v>
      </c>
      <c r="L180" s="132" t="s">
        <v>180</v>
      </c>
      <c r="M180" s="174"/>
      <c r="N180" s="175"/>
      <c r="O180" s="175"/>
      <c r="P180" s="175"/>
      <c r="Q180" s="175"/>
      <c r="R180" s="175"/>
      <c r="S180" s="175"/>
      <c r="T180" s="175"/>
      <c r="U180" s="176"/>
    </row>
    <row r="181" spans="1:21" x14ac:dyDescent="0.2">
      <c r="A181" s="3" t="s">
        <v>254</v>
      </c>
      <c r="B181" s="4" t="s">
        <v>87</v>
      </c>
      <c r="C181" s="127" t="s">
        <v>81</v>
      </c>
      <c r="D181" s="132" t="s">
        <v>88</v>
      </c>
      <c r="E181" s="165" t="s">
        <v>89</v>
      </c>
      <c r="F181" s="173">
        <v>593916</v>
      </c>
      <c r="G181" s="173"/>
      <c r="H181" s="173"/>
      <c r="I181" s="173"/>
      <c r="J181" s="173"/>
      <c r="K181" s="174" t="str">
        <f t="shared" si="2"/>
        <v>Tarifado</v>
      </c>
      <c r="L181" s="132" t="s">
        <v>180</v>
      </c>
      <c r="M181" s="174"/>
      <c r="N181" s="175"/>
      <c r="O181" s="175"/>
      <c r="P181" s="175"/>
      <c r="Q181" s="175"/>
      <c r="R181" s="175"/>
      <c r="S181" s="175"/>
      <c r="T181" s="175"/>
      <c r="U181" s="176"/>
    </row>
    <row r="182" spans="1:21" x14ac:dyDescent="0.2">
      <c r="A182" s="3" t="s">
        <v>254</v>
      </c>
      <c r="B182" s="4" t="s">
        <v>87</v>
      </c>
      <c r="C182" s="127" t="s">
        <v>81</v>
      </c>
      <c r="D182" s="128" t="s">
        <v>255</v>
      </c>
      <c r="E182" s="165" t="s">
        <v>256</v>
      </c>
      <c r="F182" s="173">
        <v>1556000</v>
      </c>
      <c r="G182" s="173"/>
      <c r="H182" s="173"/>
      <c r="I182" s="173"/>
      <c r="J182" s="173"/>
      <c r="K182" s="174" t="str">
        <f t="shared" si="2"/>
        <v>Tarifado</v>
      </c>
      <c r="L182" s="132" t="s">
        <v>180</v>
      </c>
      <c r="M182" s="174"/>
      <c r="N182" s="175"/>
      <c r="O182" s="175"/>
      <c r="P182" s="175"/>
      <c r="Q182" s="175"/>
      <c r="R182" s="175"/>
      <c r="S182" s="175"/>
      <c r="T182" s="175"/>
      <c r="U182" s="176"/>
    </row>
    <row r="183" spans="1:21" x14ac:dyDescent="0.2">
      <c r="A183" s="3" t="s">
        <v>254</v>
      </c>
      <c r="B183" s="4" t="s">
        <v>30</v>
      </c>
      <c r="C183" s="127" t="s">
        <v>81</v>
      </c>
      <c r="D183" s="128" t="s">
        <v>31</v>
      </c>
      <c r="E183" s="165" t="s">
        <v>32</v>
      </c>
      <c r="F183" s="173">
        <v>683608</v>
      </c>
      <c r="G183" s="173"/>
      <c r="H183" s="173"/>
      <c r="I183" s="173"/>
      <c r="J183" s="173"/>
      <c r="K183" s="174" t="str">
        <f t="shared" si="2"/>
        <v>Tarifado</v>
      </c>
      <c r="L183" s="132" t="s">
        <v>180</v>
      </c>
      <c r="M183" s="174"/>
      <c r="N183" s="175"/>
      <c r="O183" s="175"/>
      <c r="P183" s="175"/>
      <c r="Q183" s="175"/>
      <c r="R183" s="175"/>
      <c r="S183" s="175"/>
      <c r="T183" s="175"/>
      <c r="U183" s="176"/>
    </row>
    <row r="184" spans="1:21" x14ac:dyDescent="0.2">
      <c r="A184" s="3" t="s">
        <v>254</v>
      </c>
      <c r="B184" s="4" t="s">
        <v>30</v>
      </c>
      <c r="C184" s="127" t="s">
        <v>45</v>
      </c>
      <c r="D184" s="128" t="s">
        <v>77</v>
      </c>
      <c r="E184" s="165" t="s">
        <v>78</v>
      </c>
      <c r="F184" s="173">
        <v>1311462</v>
      </c>
      <c r="G184" s="173"/>
      <c r="H184" s="173"/>
      <c r="I184" s="173"/>
      <c r="J184" s="173"/>
      <c r="K184" s="174" t="str">
        <f t="shared" si="2"/>
        <v>Tarifado</v>
      </c>
      <c r="L184" s="132" t="s">
        <v>180</v>
      </c>
      <c r="M184" s="174"/>
      <c r="N184" s="175"/>
      <c r="O184" s="175"/>
      <c r="P184" s="175"/>
      <c r="Q184" s="175"/>
      <c r="R184" s="175"/>
      <c r="S184" s="175"/>
      <c r="T184" s="175"/>
      <c r="U184" s="176"/>
    </row>
    <row r="185" spans="1:21" x14ac:dyDescent="0.2">
      <c r="A185" s="3" t="s">
        <v>254</v>
      </c>
      <c r="B185" s="4" t="s">
        <v>30</v>
      </c>
      <c r="C185" s="127" t="s">
        <v>93</v>
      </c>
      <c r="D185" s="128" t="s">
        <v>48</v>
      </c>
      <c r="E185" s="165" t="s">
        <v>94</v>
      </c>
      <c r="F185" s="173">
        <v>1311462</v>
      </c>
      <c r="G185" s="173"/>
      <c r="H185" s="173"/>
      <c r="I185" s="173"/>
      <c r="J185" s="173"/>
      <c r="K185" s="174" t="str">
        <f t="shared" si="2"/>
        <v>Tarifado</v>
      </c>
      <c r="L185" s="132" t="s">
        <v>180</v>
      </c>
      <c r="M185" s="174"/>
      <c r="N185" s="175"/>
      <c r="O185" s="175"/>
      <c r="P185" s="175"/>
      <c r="Q185" s="175"/>
      <c r="R185" s="175"/>
      <c r="S185" s="175"/>
      <c r="T185" s="175"/>
      <c r="U185" s="176"/>
    </row>
    <row r="186" spans="1:21" x14ac:dyDescent="0.2">
      <c r="A186" s="3" t="s">
        <v>254</v>
      </c>
      <c r="B186" s="4" t="s">
        <v>30</v>
      </c>
      <c r="C186" s="127" t="s">
        <v>45</v>
      </c>
      <c r="D186" s="128" t="s">
        <v>132</v>
      </c>
      <c r="E186" s="165" t="s">
        <v>133</v>
      </c>
      <c r="F186" s="173">
        <v>2191425</v>
      </c>
      <c r="G186" s="173"/>
      <c r="H186" s="173"/>
      <c r="I186" s="173"/>
      <c r="J186" s="173"/>
      <c r="K186" s="174" t="str">
        <f t="shared" si="2"/>
        <v>Tarifado</v>
      </c>
      <c r="L186" s="132" t="s">
        <v>180</v>
      </c>
      <c r="M186" s="174"/>
      <c r="N186" s="175"/>
      <c r="O186" s="175"/>
      <c r="P186" s="175"/>
      <c r="Q186" s="175"/>
      <c r="R186" s="175"/>
      <c r="S186" s="175"/>
      <c r="T186" s="175"/>
      <c r="U186" s="176"/>
    </row>
    <row r="187" spans="1:21" x14ac:dyDescent="0.2">
      <c r="A187" s="3" t="s">
        <v>254</v>
      </c>
      <c r="B187" s="4" t="s">
        <v>177</v>
      </c>
      <c r="C187" s="127" t="s">
        <v>81</v>
      </c>
      <c r="D187" s="128" t="s">
        <v>211</v>
      </c>
      <c r="E187" s="165" t="s">
        <v>212</v>
      </c>
      <c r="F187" s="173">
        <v>293322</v>
      </c>
      <c r="G187" s="173">
        <v>242415</v>
      </c>
      <c r="H187" s="173">
        <v>189084</v>
      </c>
      <c r="I187" s="173">
        <v>140660</v>
      </c>
      <c r="J187" s="173">
        <v>106662</v>
      </c>
      <c r="K187" s="174" t="str">
        <f t="shared" si="2"/>
        <v>Tarifado</v>
      </c>
      <c r="L187" s="132" t="s">
        <v>180</v>
      </c>
      <c r="M187" s="174"/>
      <c r="N187" s="175"/>
      <c r="O187" s="175"/>
      <c r="P187" s="175"/>
      <c r="Q187" s="175"/>
      <c r="R187" s="175"/>
      <c r="S187" s="175"/>
      <c r="T187" s="175"/>
      <c r="U187" s="176"/>
    </row>
    <row r="188" spans="1:21" x14ac:dyDescent="0.2">
      <c r="A188" s="3" t="s">
        <v>254</v>
      </c>
      <c r="B188" s="4" t="s">
        <v>177</v>
      </c>
      <c r="C188" s="127" t="s">
        <v>81</v>
      </c>
      <c r="D188" s="128" t="s">
        <v>182</v>
      </c>
      <c r="E188" s="165" t="s">
        <v>183</v>
      </c>
      <c r="F188" s="173">
        <v>266656</v>
      </c>
      <c r="G188" s="173">
        <v>218173</v>
      </c>
      <c r="H188" s="173">
        <v>169690</v>
      </c>
      <c r="I188" s="173">
        <v>126056</v>
      </c>
      <c r="J188" s="173">
        <v>96966</v>
      </c>
      <c r="K188" s="174" t="str">
        <f t="shared" si="2"/>
        <v>Tarifado</v>
      </c>
      <c r="L188" s="132" t="s">
        <v>180</v>
      </c>
      <c r="M188" s="174"/>
      <c r="N188" s="175"/>
      <c r="O188" s="175"/>
      <c r="P188" s="175"/>
      <c r="Q188" s="175"/>
      <c r="R188" s="175"/>
      <c r="S188" s="175"/>
      <c r="T188" s="175"/>
      <c r="U188" s="176"/>
    </row>
    <row r="189" spans="1:21" x14ac:dyDescent="0.2">
      <c r="A189" s="3" t="s">
        <v>254</v>
      </c>
      <c r="B189" s="4" t="s">
        <v>177</v>
      </c>
      <c r="C189" s="127" t="s">
        <v>81</v>
      </c>
      <c r="D189" s="132" t="s">
        <v>213</v>
      </c>
      <c r="E189" s="165" t="s">
        <v>214</v>
      </c>
      <c r="F189" s="173">
        <v>293322</v>
      </c>
      <c r="G189" s="173">
        <v>242415</v>
      </c>
      <c r="H189" s="173">
        <v>189084</v>
      </c>
      <c r="I189" s="173">
        <v>140660</v>
      </c>
      <c r="J189" s="173">
        <v>106662</v>
      </c>
      <c r="K189" s="174" t="str">
        <f t="shared" si="2"/>
        <v>Tarifado</v>
      </c>
      <c r="L189" s="132" t="s">
        <v>180</v>
      </c>
      <c r="M189" s="174"/>
      <c r="N189" s="175"/>
      <c r="O189" s="175"/>
      <c r="P189" s="175"/>
      <c r="Q189" s="175"/>
      <c r="R189" s="175"/>
      <c r="S189" s="175"/>
      <c r="T189" s="175"/>
      <c r="U189" s="176"/>
    </row>
    <row r="190" spans="1:21" x14ac:dyDescent="0.2">
      <c r="A190" s="3" t="s">
        <v>254</v>
      </c>
      <c r="B190" s="4" t="s">
        <v>177</v>
      </c>
      <c r="C190" s="127" t="s">
        <v>81</v>
      </c>
      <c r="D190" s="132" t="s">
        <v>215</v>
      </c>
      <c r="E190" s="165" t="s">
        <v>216</v>
      </c>
      <c r="F190" s="173">
        <v>293322</v>
      </c>
      <c r="G190" s="173">
        <v>242415</v>
      </c>
      <c r="H190" s="173">
        <v>189084</v>
      </c>
      <c r="I190" s="173">
        <v>140660</v>
      </c>
      <c r="J190" s="173">
        <v>106662</v>
      </c>
      <c r="K190" s="174" t="str">
        <f t="shared" si="2"/>
        <v>Tarifado</v>
      </c>
      <c r="L190" s="132" t="s">
        <v>180</v>
      </c>
      <c r="M190" s="174"/>
      <c r="N190" s="175"/>
      <c r="O190" s="175"/>
      <c r="P190" s="175"/>
      <c r="Q190" s="175"/>
      <c r="R190" s="175"/>
      <c r="S190" s="175"/>
      <c r="T190" s="175"/>
      <c r="U190" s="176"/>
    </row>
    <row r="191" spans="1:21" x14ac:dyDescent="0.2">
      <c r="A191" s="3" t="s">
        <v>254</v>
      </c>
      <c r="B191" s="4" t="s">
        <v>177</v>
      </c>
      <c r="C191" s="127" t="s">
        <v>81</v>
      </c>
      <c r="D191" s="132" t="s">
        <v>639</v>
      </c>
      <c r="E191" s="165" t="s">
        <v>699</v>
      </c>
      <c r="F191" s="173">
        <v>632702</v>
      </c>
      <c r="G191" s="173"/>
      <c r="H191" s="173"/>
      <c r="I191" s="173"/>
      <c r="J191" s="173"/>
      <c r="K191" s="174" t="str">
        <f t="shared" si="2"/>
        <v>Falta Tarifa</v>
      </c>
      <c r="L191" s="132"/>
      <c r="M191" s="174"/>
      <c r="N191" s="175"/>
      <c r="O191" s="175"/>
      <c r="P191" s="175"/>
      <c r="Q191" s="175"/>
      <c r="R191" s="175"/>
      <c r="S191" s="175"/>
      <c r="T191" s="175"/>
      <c r="U191" s="176"/>
    </row>
    <row r="192" spans="1:21" x14ac:dyDescent="0.2">
      <c r="A192" s="3" t="s">
        <v>254</v>
      </c>
      <c r="B192" s="4" t="s">
        <v>177</v>
      </c>
      <c r="C192" s="127" t="s">
        <v>81</v>
      </c>
      <c r="D192" s="128" t="s">
        <v>217</v>
      </c>
      <c r="E192" s="165" t="s">
        <v>218</v>
      </c>
      <c r="F192" s="173">
        <v>293322</v>
      </c>
      <c r="G192" s="173">
        <v>242415</v>
      </c>
      <c r="H192" s="173">
        <v>189084</v>
      </c>
      <c r="I192" s="173">
        <v>140660</v>
      </c>
      <c r="J192" s="173">
        <v>106662</v>
      </c>
      <c r="K192" s="174" t="str">
        <f t="shared" si="2"/>
        <v>Tarifado</v>
      </c>
      <c r="L192" s="132" t="s">
        <v>180</v>
      </c>
      <c r="M192" s="174"/>
      <c r="N192" s="175"/>
      <c r="O192" s="175"/>
      <c r="P192" s="175"/>
      <c r="Q192" s="175"/>
      <c r="R192" s="175"/>
      <c r="S192" s="175"/>
      <c r="T192" s="175"/>
      <c r="U192" s="176"/>
    </row>
    <row r="193" spans="1:24" x14ac:dyDescent="0.2">
      <c r="A193" s="3" t="s">
        <v>254</v>
      </c>
      <c r="B193" s="4" t="s">
        <v>177</v>
      </c>
      <c r="C193" s="127" t="s">
        <v>81</v>
      </c>
      <c r="D193" s="128" t="s">
        <v>219</v>
      </c>
      <c r="E193" s="165" t="s">
        <v>220</v>
      </c>
      <c r="F193" s="173">
        <v>266656</v>
      </c>
      <c r="G193" s="173">
        <v>218173</v>
      </c>
      <c r="H193" s="173">
        <v>169690</v>
      </c>
      <c r="I193" s="173">
        <v>126056</v>
      </c>
      <c r="J193" s="173">
        <v>96966</v>
      </c>
      <c r="K193" s="174" t="str">
        <f t="shared" si="2"/>
        <v>Tarifado</v>
      </c>
      <c r="L193" s="132" t="s">
        <v>180</v>
      </c>
      <c r="M193" s="174"/>
      <c r="N193" s="175"/>
      <c r="O193" s="175"/>
      <c r="P193" s="175"/>
      <c r="Q193" s="175"/>
      <c r="R193" s="175"/>
      <c r="S193" s="175"/>
      <c r="T193" s="175"/>
      <c r="U193" s="176"/>
    </row>
    <row r="194" spans="1:24" x14ac:dyDescent="0.2">
      <c r="A194" s="3" t="s">
        <v>254</v>
      </c>
      <c r="B194" s="4" t="s">
        <v>177</v>
      </c>
      <c r="C194" s="127" t="s">
        <v>81</v>
      </c>
      <c r="D194" s="128" t="s">
        <v>178</v>
      </c>
      <c r="E194" s="165" t="s">
        <v>179</v>
      </c>
      <c r="F194" s="173">
        <v>266656</v>
      </c>
      <c r="G194" s="173">
        <v>218173</v>
      </c>
      <c r="H194" s="173">
        <v>169690</v>
      </c>
      <c r="I194" s="173">
        <v>126056</v>
      </c>
      <c r="J194" s="173">
        <v>96966</v>
      </c>
      <c r="K194" s="174" t="str">
        <f t="shared" si="2"/>
        <v>Tarifado</v>
      </c>
      <c r="L194" s="132" t="s">
        <v>180</v>
      </c>
      <c r="M194" s="174"/>
      <c r="N194" s="175"/>
      <c r="O194" s="175"/>
      <c r="P194" s="175"/>
      <c r="Q194" s="175"/>
      <c r="R194" s="175"/>
      <c r="S194" s="175"/>
      <c r="T194" s="175"/>
      <c r="U194" s="176"/>
    </row>
    <row r="195" spans="1:24" x14ac:dyDescent="0.2">
      <c r="A195" s="3" t="s">
        <v>254</v>
      </c>
      <c r="B195" s="4" t="s">
        <v>177</v>
      </c>
      <c r="C195" s="127" t="s">
        <v>81</v>
      </c>
      <c r="D195" s="132" t="s">
        <v>221</v>
      </c>
      <c r="E195" s="165" t="s">
        <v>222</v>
      </c>
      <c r="F195" s="173">
        <v>266656</v>
      </c>
      <c r="G195" s="173">
        <v>218173</v>
      </c>
      <c r="H195" s="173">
        <v>169690</v>
      </c>
      <c r="I195" s="173">
        <v>126056</v>
      </c>
      <c r="J195" s="173">
        <v>96966</v>
      </c>
      <c r="K195" s="174" t="str">
        <f t="shared" ref="K195:K240" si="3">IF(B195&lt;&gt;"BUE",IF(F195=0,"Falta Tarifa","Tarifado"),IF(AND(F195&lt;&gt;0,G195&lt;&gt;0,H195&lt;&gt;0,I195&lt;&gt;0,J195&lt;&gt;0),"Tarifado","Falta Tarifa"))</f>
        <v>Tarifado</v>
      </c>
      <c r="L195" s="132" t="s">
        <v>180</v>
      </c>
      <c r="M195" s="174"/>
      <c r="N195" s="175"/>
      <c r="O195" s="175"/>
      <c r="P195" s="175"/>
      <c r="Q195" s="175"/>
      <c r="R195" s="175"/>
      <c r="S195" s="175"/>
      <c r="T195" s="175"/>
      <c r="U195" s="176"/>
    </row>
    <row r="196" spans="1:24" x14ac:dyDescent="0.2">
      <c r="A196" s="3" t="s">
        <v>254</v>
      </c>
      <c r="B196" s="4" t="s">
        <v>58</v>
      </c>
      <c r="C196" s="127" t="s">
        <v>59</v>
      </c>
      <c r="D196" s="132" t="s">
        <v>229</v>
      </c>
      <c r="E196" s="165" t="s">
        <v>230</v>
      </c>
      <c r="F196" s="173">
        <v>623006</v>
      </c>
      <c r="G196" s="173"/>
      <c r="H196" s="173"/>
      <c r="I196" s="173"/>
      <c r="J196" s="173"/>
      <c r="K196" s="174" t="str">
        <f t="shared" si="3"/>
        <v>Tarifado</v>
      </c>
      <c r="L196" s="132" t="s">
        <v>180</v>
      </c>
      <c r="M196" s="174"/>
      <c r="N196" s="175"/>
      <c r="O196" s="175"/>
      <c r="P196" s="175"/>
      <c r="Q196" s="175"/>
      <c r="R196" s="175"/>
      <c r="S196" s="175"/>
      <c r="T196" s="175">
        <v>145.74</v>
      </c>
      <c r="U196" s="176"/>
    </row>
    <row r="197" spans="1:24" x14ac:dyDescent="0.2">
      <c r="A197" s="3" t="s">
        <v>254</v>
      </c>
      <c r="B197" s="4" t="s">
        <v>58</v>
      </c>
      <c r="C197" s="127" t="s">
        <v>59</v>
      </c>
      <c r="D197" s="132" t="s">
        <v>225</v>
      </c>
      <c r="E197" s="165" t="s">
        <v>226</v>
      </c>
      <c r="F197" s="173">
        <v>623006</v>
      </c>
      <c r="G197" s="173"/>
      <c r="H197" s="173"/>
      <c r="I197" s="173"/>
      <c r="J197" s="173"/>
      <c r="K197" s="174" t="str">
        <f t="shared" si="3"/>
        <v>Tarifado</v>
      </c>
      <c r="L197" s="132" t="s">
        <v>180</v>
      </c>
      <c r="M197" s="174"/>
      <c r="N197" s="175"/>
      <c r="O197" s="175"/>
      <c r="P197" s="175"/>
      <c r="Q197" s="175"/>
      <c r="R197" s="175"/>
      <c r="S197" s="175"/>
      <c r="T197" s="175">
        <v>145.74</v>
      </c>
      <c r="U197" s="176"/>
    </row>
    <row r="198" spans="1:24" x14ac:dyDescent="0.2">
      <c r="A198" s="3" t="s">
        <v>254</v>
      </c>
      <c r="B198" s="4" t="s">
        <v>58</v>
      </c>
      <c r="C198" s="127" t="s">
        <v>59</v>
      </c>
      <c r="D198" s="128" t="s">
        <v>59</v>
      </c>
      <c r="E198" s="165" t="s">
        <v>60</v>
      </c>
      <c r="F198" s="173">
        <v>623006</v>
      </c>
      <c r="G198" s="173"/>
      <c r="H198" s="173"/>
      <c r="I198" s="173"/>
      <c r="J198" s="173"/>
      <c r="K198" s="174" t="str">
        <f t="shared" si="3"/>
        <v>Tarifado</v>
      </c>
      <c r="L198" s="132" t="s">
        <v>180</v>
      </c>
      <c r="M198" s="174"/>
      <c r="N198" s="175"/>
      <c r="O198" s="175"/>
      <c r="P198" s="175"/>
      <c r="Q198" s="175"/>
      <c r="R198" s="175"/>
      <c r="S198" s="175"/>
      <c r="T198" s="175">
        <v>145.74</v>
      </c>
      <c r="U198" s="176"/>
    </row>
    <row r="199" spans="1:24" x14ac:dyDescent="0.2">
      <c r="A199" s="3" t="s">
        <v>254</v>
      </c>
      <c r="B199" s="4" t="s">
        <v>58</v>
      </c>
      <c r="C199" s="127" t="s">
        <v>59</v>
      </c>
      <c r="D199" s="132" t="s">
        <v>119</v>
      </c>
      <c r="E199" s="165" t="s">
        <v>120</v>
      </c>
      <c r="F199" s="173">
        <v>666640</v>
      </c>
      <c r="G199" s="173"/>
      <c r="H199" s="173"/>
      <c r="I199" s="173"/>
      <c r="J199" s="173"/>
      <c r="K199" s="174" t="str">
        <f t="shared" si="3"/>
        <v>Tarifado</v>
      </c>
      <c r="L199" s="132" t="s">
        <v>180</v>
      </c>
      <c r="M199" s="174"/>
      <c r="N199" s="175"/>
      <c r="O199" s="175"/>
      <c r="P199" s="175"/>
      <c r="Q199" s="175"/>
      <c r="R199" s="175"/>
      <c r="S199" s="175"/>
      <c r="T199" s="175">
        <v>179.49</v>
      </c>
      <c r="U199" s="176"/>
    </row>
    <row r="200" spans="1:24" s="169" customFormat="1" x14ac:dyDescent="0.2">
      <c r="A200" s="3" t="s">
        <v>254</v>
      </c>
      <c r="B200" s="4" t="s">
        <v>58</v>
      </c>
      <c r="C200" s="127" t="s">
        <v>59</v>
      </c>
      <c r="D200" s="132" t="s">
        <v>168</v>
      </c>
      <c r="E200" s="165" t="s">
        <v>169</v>
      </c>
      <c r="F200" s="173">
        <v>623006</v>
      </c>
      <c r="G200" s="173"/>
      <c r="H200" s="173"/>
      <c r="I200" s="173"/>
      <c r="J200" s="173"/>
      <c r="K200" s="174" t="str">
        <f t="shared" si="3"/>
        <v>Tarifado</v>
      </c>
      <c r="L200" s="132" t="s">
        <v>180</v>
      </c>
      <c r="M200" s="174"/>
      <c r="N200" s="175"/>
      <c r="O200" s="175"/>
      <c r="P200" s="175"/>
      <c r="Q200" s="175"/>
      <c r="R200" s="175"/>
      <c r="S200" s="175"/>
      <c r="T200" s="175">
        <v>179.49</v>
      </c>
      <c r="U200" s="176"/>
      <c r="W200" s="154"/>
      <c r="X200" s="154"/>
    </row>
    <row r="201" spans="1:24" x14ac:dyDescent="0.2">
      <c r="A201" s="3" t="s">
        <v>254</v>
      </c>
      <c r="B201" s="4" t="s">
        <v>90</v>
      </c>
      <c r="C201" s="127" t="s">
        <v>91</v>
      </c>
      <c r="D201" s="132" t="s">
        <v>231</v>
      </c>
      <c r="E201" s="165" t="s">
        <v>232</v>
      </c>
      <c r="F201" s="173">
        <v>1047230</v>
      </c>
      <c r="G201" s="173"/>
      <c r="H201" s="173"/>
      <c r="I201" s="173"/>
      <c r="J201" s="173"/>
      <c r="K201" s="174" t="str">
        <f t="shared" si="3"/>
        <v>Tarifado</v>
      </c>
      <c r="L201" s="132" t="s">
        <v>180</v>
      </c>
      <c r="M201" s="174"/>
      <c r="N201" s="175"/>
      <c r="O201" s="175"/>
      <c r="P201" s="175"/>
      <c r="Q201" s="175"/>
      <c r="R201" s="175"/>
      <c r="S201" s="175"/>
      <c r="T201" s="175"/>
      <c r="U201" s="176"/>
    </row>
    <row r="202" spans="1:24" x14ac:dyDescent="0.2">
      <c r="A202" s="3" t="s">
        <v>254</v>
      </c>
      <c r="B202" s="4" t="s">
        <v>90</v>
      </c>
      <c r="C202" s="127" t="s">
        <v>91</v>
      </c>
      <c r="D202" s="132" t="s">
        <v>233</v>
      </c>
      <c r="E202" s="165" t="s">
        <v>234</v>
      </c>
      <c r="F202" s="173">
        <v>1047230</v>
      </c>
      <c r="G202" s="173"/>
      <c r="H202" s="173"/>
      <c r="I202" s="173"/>
      <c r="J202" s="173"/>
      <c r="K202" s="174" t="str">
        <f t="shared" si="3"/>
        <v>Tarifado</v>
      </c>
      <c r="L202" s="132" t="s">
        <v>180</v>
      </c>
      <c r="M202" s="174"/>
      <c r="N202" s="175"/>
      <c r="O202" s="175"/>
      <c r="P202" s="175"/>
      <c r="Q202" s="175"/>
      <c r="R202" s="175"/>
      <c r="S202" s="175"/>
      <c r="T202" s="175"/>
      <c r="U202" s="176"/>
    </row>
    <row r="203" spans="1:24" x14ac:dyDescent="0.2">
      <c r="A203" s="3" t="s">
        <v>254</v>
      </c>
      <c r="B203" s="4" t="s">
        <v>90</v>
      </c>
      <c r="C203" s="127" t="s">
        <v>91</v>
      </c>
      <c r="D203" s="128" t="s">
        <v>235</v>
      </c>
      <c r="E203" s="165" t="s">
        <v>236</v>
      </c>
      <c r="F203" s="173">
        <v>1066623</v>
      </c>
      <c r="G203" s="173"/>
      <c r="H203" s="173"/>
      <c r="I203" s="173"/>
      <c r="J203" s="173"/>
      <c r="K203" s="174" t="str">
        <f t="shared" si="3"/>
        <v>Tarifado</v>
      </c>
      <c r="L203" s="132" t="s">
        <v>180</v>
      </c>
      <c r="M203" s="174"/>
      <c r="N203" s="175"/>
      <c r="O203" s="175"/>
      <c r="P203" s="175"/>
      <c r="Q203" s="175"/>
      <c r="R203" s="175"/>
      <c r="S203" s="175"/>
      <c r="T203" s="175"/>
      <c r="U203" s="176"/>
    </row>
    <row r="204" spans="1:24" x14ac:dyDescent="0.2">
      <c r="A204" s="3" t="s">
        <v>254</v>
      </c>
      <c r="B204" s="4" t="s">
        <v>90</v>
      </c>
      <c r="C204" s="127" t="s">
        <v>91</v>
      </c>
      <c r="D204" s="132" t="s">
        <v>91</v>
      </c>
      <c r="E204" s="165" t="s">
        <v>92</v>
      </c>
      <c r="F204" s="173">
        <v>1047230</v>
      </c>
      <c r="G204" s="173"/>
      <c r="H204" s="173"/>
      <c r="I204" s="173"/>
      <c r="J204" s="173"/>
      <c r="K204" s="174" t="str">
        <f t="shared" si="3"/>
        <v>Tarifado</v>
      </c>
      <c r="L204" s="132" t="s">
        <v>180</v>
      </c>
      <c r="M204" s="174"/>
      <c r="N204" s="175"/>
      <c r="O204" s="175"/>
      <c r="P204" s="175"/>
      <c r="Q204" s="175"/>
      <c r="R204" s="175"/>
      <c r="S204" s="175"/>
      <c r="T204" s="175"/>
      <c r="U204" s="132"/>
    </row>
    <row r="205" spans="1:24" x14ac:dyDescent="0.2">
      <c r="A205" s="3" t="s">
        <v>254</v>
      </c>
      <c r="B205" s="4" t="s">
        <v>90</v>
      </c>
      <c r="C205" s="127" t="s">
        <v>91</v>
      </c>
      <c r="D205" s="132" t="s">
        <v>239</v>
      </c>
      <c r="E205" s="165" t="s">
        <v>240</v>
      </c>
      <c r="F205" s="173">
        <v>1047230</v>
      </c>
      <c r="G205" s="173"/>
      <c r="H205" s="173"/>
      <c r="I205" s="173"/>
      <c r="J205" s="173"/>
      <c r="K205" s="174" t="str">
        <f t="shared" si="3"/>
        <v>Tarifado</v>
      </c>
      <c r="L205" s="132" t="s">
        <v>180</v>
      </c>
      <c r="M205" s="174"/>
      <c r="N205" s="175"/>
      <c r="O205" s="175"/>
      <c r="P205" s="175"/>
      <c r="Q205" s="175"/>
      <c r="R205" s="175"/>
      <c r="S205" s="175"/>
      <c r="T205" s="175"/>
      <c r="U205" s="132"/>
    </row>
    <row r="206" spans="1:24" x14ac:dyDescent="0.2">
      <c r="A206" s="3" t="s">
        <v>254</v>
      </c>
      <c r="B206" s="4" t="s">
        <v>90</v>
      </c>
      <c r="C206" s="127" t="s">
        <v>138</v>
      </c>
      <c r="D206" s="132" t="s">
        <v>139</v>
      </c>
      <c r="E206" s="165" t="s">
        <v>140</v>
      </c>
      <c r="F206" s="173">
        <v>2269000</v>
      </c>
      <c r="G206" s="173"/>
      <c r="H206" s="173"/>
      <c r="I206" s="173"/>
      <c r="J206" s="173"/>
      <c r="K206" s="174" t="str">
        <f t="shared" si="3"/>
        <v>Tarifado</v>
      </c>
      <c r="L206" s="132" t="s">
        <v>180</v>
      </c>
      <c r="M206" s="174"/>
      <c r="N206" s="175"/>
      <c r="O206" s="175"/>
      <c r="P206" s="175"/>
      <c r="Q206" s="175"/>
      <c r="R206" s="175"/>
      <c r="S206" s="175"/>
      <c r="T206" s="175"/>
      <c r="U206" s="132"/>
    </row>
    <row r="207" spans="1:24" x14ac:dyDescent="0.2">
      <c r="A207" s="3" t="s">
        <v>254</v>
      </c>
      <c r="B207" s="4" t="s">
        <v>90</v>
      </c>
      <c r="C207" s="127" t="s">
        <v>91</v>
      </c>
      <c r="D207" s="132" t="s">
        <v>146</v>
      </c>
      <c r="E207" s="165" t="s">
        <v>147</v>
      </c>
      <c r="F207" s="173">
        <v>2455587</v>
      </c>
      <c r="G207" s="173"/>
      <c r="H207" s="173"/>
      <c r="I207" s="173"/>
      <c r="J207" s="173"/>
      <c r="K207" s="174" t="str">
        <f t="shared" si="3"/>
        <v>Tarifado</v>
      </c>
      <c r="L207" s="132" t="s">
        <v>180</v>
      </c>
      <c r="M207" s="174"/>
      <c r="N207" s="175"/>
      <c r="O207" s="175"/>
      <c r="P207" s="175"/>
      <c r="Q207" s="175"/>
      <c r="R207" s="175"/>
      <c r="S207" s="175"/>
      <c r="T207" s="175"/>
      <c r="U207" s="132"/>
    </row>
    <row r="208" spans="1:24" x14ac:dyDescent="0.2">
      <c r="A208" s="3" t="s">
        <v>254</v>
      </c>
      <c r="B208" s="4" t="s">
        <v>90</v>
      </c>
      <c r="C208" s="127" t="s">
        <v>135</v>
      </c>
      <c r="D208" s="132" t="s">
        <v>241</v>
      </c>
      <c r="E208" s="165" t="s">
        <v>242</v>
      </c>
      <c r="F208" s="173">
        <v>2507556</v>
      </c>
      <c r="G208" s="173"/>
      <c r="H208" s="173"/>
      <c r="I208" s="173"/>
      <c r="J208" s="173"/>
      <c r="K208" s="174" t="str">
        <f t="shared" si="3"/>
        <v>Tarifado</v>
      </c>
      <c r="L208" s="132" t="s">
        <v>180</v>
      </c>
      <c r="M208" s="174"/>
      <c r="N208" s="175"/>
      <c r="O208" s="175"/>
      <c r="P208" s="175"/>
      <c r="Q208" s="175"/>
      <c r="R208" s="175"/>
      <c r="S208" s="175"/>
      <c r="T208" s="175"/>
      <c r="U208" s="132"/>
    </row>
    <row r="209" spans="1:21" x14ac:dyDescent="0.2">
      <c r="A209" s="3" t="s">
        <v>254</v>
      </c>
      <c r="B209" s="4" t="s">
        <v>54</v>
      </c>
      <c r="C209" s="127" t="s">
        <v>55</v>
      </c>
      <c r="D209" s="132" t="s">
        <v>56</v>
      </c>
      <c r="E209" s="165" t="s">
        <v>57</v>
      </c>
      <c r="F209" s="173">
        <v>533311</v>
      </c>
      <c r="G209" s="173"/>
      <c r="H209" s="173"/>
      <c r="I209" s="173"/>
      <c r="J209" s="173"/>
      <c r="K209" s="174" t="str">
        <f t="shared" si="3"/>
        <v>Tarifado</v>
      </c>
      <c r="L209" s="132" t="s">
        <v>180</v>
      </c>
      <c r="M209" s="174"/>
      <c r="N209" s="175"/>
      <c r="O209" s="175"/>
      <c r="P209" s="175"/>
      <c r="Q209" s="175"/>
      <c r="R209" s="175"/>
      <c r="S209" s="175"/>
      <c r="T209" s="175"/>
      <c r="U209" s="132"/>
    </row>
    <row r="210" spans="1:21" x14ac:dyDescent="0.2">
      <c r="A210" s="3" t="s">
        <v>254</v>
      </c>
      <c r="B210" s="4" t="s">
        <v>54</v>
      </c>
      <c r="C210" s="127" t="s">
        <v>55</v>
      </c>
      <c r="D210" s="132" t="s">
        <v>243</v>
      </c>
      <c r="E210" s="165" t="s">
        <v>244</v>
      </c>
      <c r="F210" s="173">
        <v>632702</v>
      </c>
      <c r="G210" s="173"/>
      <c r="H210" s="173"/>
      <c r="I210" s="173"/>
      <c r="J210" s="173"/>
      <c r="K210" s="174" t="str">
        <f t="shared" si="3"/>
        <v>Tarifado</v>
      </c>
      <c r="L210" s="132" t="s">
        <v>180</v>
      </c>
      <c r="M210" s="174"/>
      <c r="N210" s="175"/>
      <c r="O210" s="175"/>
      <c r="P210" s="175"/>
      <c r="Q210" s="175"/>
      <c r="R210" s="175"/>
      <c r="S210" s="175"/>
      <c r="T210" s="175"/>
      <c r="U210" s="132"/>
    </row>
    <row r="211" spans="1:21" x14ac:dyDescent="0.2">
      <c r="A211" s="3" t="s">
        <v>254</v>
      </c>
      <c r="B211" s="4" t="s">
        <v>70</v>
      </c>
      <c r="C211" s="127" t="s">
        <v>245</v>
      </c>
      <c r="D211" s="132" t="s">
        <v>245</v>
      </c>
      <c r="E211" s="165" t="s">
        <v>246</v>
      </c>
      <c r="F211" s="173">
        <v>950264</v>
      </c>
      <c r="G211" s="173"/>
      <c r="H211" s="173"/>
      <c r="I211" s="173"/>
      <c r="J211" s="173"/>
      <c r="K211" s="174" t="str">
        <f t="shared" si="3"/>
        <v>Tarifado</v>
      </c>
      <c r="L211" s="132" t="s">
        <v>180</v>
      </c>
      <c r="M211" s="174"/>
      <c r="N211" s="175"/>
      <c r="O211" s="175"/>
      <c r="P211" s="175"/>
      <c r="Q211" s="175"/>
      <c r="R211" s="175"/>
      <c r="S211" s="175"/>
      <c r="T211" s="175"/>
      <c r="U211" s="132"/>
    </row>
    <row r="212" spans="1:21" x14ac:dyDescent="0.2">
      <c r="A212" s="3" t="s">
        <v>254</v>
      </c>
      <c r="B212" s="4" t="s">
        <v>70</v>
      </c>
      <c r="C212" s="127" t="s">
        <v>95</v>
      </c>
      <c r="D212" s="132" t="s">
        <v>96</v>
      </c>
      <c r="E212" s="165" t="s">
        <v>97</v>
      </c>
      <c r="F212" s="173">
        <v>2408198</v>
      </c>
      <c r="G212" s="173"/>
      <c r="H212" s="173"/>
      <c r="I212" s="173"/>
      <c r="J212" s="173"/>
      <c r="K212" s="174" t="str">
        <f t="shared" si="3"/>
        <v>Tarifado</v>
      </c>
      <c r="L212" s="132" t="s">
        <v>180</v>
      </c>
      <c r="M212" s="174"/>
      <c r="N212" s="175"/>
      <c r="O212" s="175"/>
      <c r="P212" s="175"/>
      <c r="Q212" s="175"/>
      <c r="R212" s="175"/>
      <c r="S212" s="175"/>
      <c r="T212" s="175"/>
      <c r="U212" s="176"/>
    </row>
    <row r="213" spans="1:21" x14ac:dyDescent="0.2">
      <c r="A213" s="98" t="s">
        <v>254</v>
      </c>
      <c r="B213" s="7" t="s">
        <v>70</v>
      </c>
      <c r="C213" s="135" t="s">
        <v>104</v>
      </c>
      <c r="D213" s="137" t="s">
        <v>105</v>
      </c>
      <c r="E213" s="165" t="s">
        <v>106</v>
      </c>
      <c r="F213" s="183">
        <v>972082</v>
      </c>
      <c r="G213" s="183"/>
      <c r="H213" s="183"/>
      <c r="I213" s="183"/>
      <c r="J213" s="183"/>
      <c r="K213" s="184" t="str">
        <f t="shared" si="3"/>
        <v>Tarifado</v>
      </c>
      <c r="L213" s="138" t="s">
        <v>180</v>
      </c>
      <c r="M213" s="184"/>
      <c r="N213" s="185"/>
      <c r="O213" s="185"/>
      <c r="P213" s="185"/>
      <c r="Q213" s="185"/>
      <c r="R213" s="185"/>
      <c r="S213" s="185"/>
      <c r="T213" s="193"/>
      <c r="U213" s="194"/>
    </row>
    <row r="214" spans="1:21" x14ac:dyDescent="0.2">
      <c r="A214" s="98" t="s">
        <v>254</v>
      </c>
      <c r="B214" s="7" t="s">
        <v>70</v>
      </c>
      <c r="C214" s="135" t="s">
        <v>95</v>
      </c>
      <c r="D214" s="132" t="s">
        <v>117</v>
      </c>
      <c r="E214" s="165" t="s">
        <v>118</v>
      </c>
      <c r="F214" s="183">
        <v>1042381</v>
      </c>
      <c r="G214" s="183"/>
      <c r="H214" s="183"/>
      <c r="I214" s="183"/>
      <c r="J214" s="183"/>
      <c r="K214" s="184" t="str">
        <f t="shared" si="3"/>
        <v>Tarifado</v>
      </c>
      <c r="L214" s="138" t="s">
        <v>180</v>
      </c>
      <c r="M214" s="184"/>
      <c r="N214" s="185"/>
      <c r="O214" s="185"/>
      <c r="P214" s="185"/>
      <c r="Q214" s="185"/>
      <c r="R214" s="185"/>
      <c r="S214" s="185"/>
      <c r="T214" s="193"/>
      <c r="U214" s="194"/>
    </row>
    <row r="215" spans="1:21" x14ac:dyDescent="0.2">
      <c r="A215" s="98" t="s">
        <v>254</v>
      </c>
      <c r="B215" s="7" t="s">
        <v>42</v>
      </c>
      <c r="C215" s="135" t="s">
        <v>130</v>
      </c>
      <c r="D215" s="138" t="s">
        <v>130</v>
      </c>
      <c r="E215" s="165" t="s">
        <v>131</v>
      </c>
      <c r="F215" s="183">
        <v>1459334</v>
      </c>
      <c r="G215" s="183"/>
      <c r="H215" s="183"/>
      <c r="I215" s="183"/>
      <c r="J215" s="183"/>
      <c r="K215" s="184" t="str">
        <f t="shared" si="3"/>
        <v>Tarifado</v>
      </c>
      <c r="L215" s="138" t="s">
        <v>180</v>
      </c>
      <c r="M215" s="184"/>
      <c r="N215" s="185"/>
      <c r="O215" s="185"/>
      <c r="P215" s="185"/>
      <c r="Q215" s="185"/>
      <c r="R215" s="185"/>
      <c r="S215" s="185"/>
      <c r="T215" s="193"/>
      <c r="U215" s="194"/>
    </row>
    <row r="216" spans="1:21" x14ac:dyDescent="0.2">
      <c r="A216" s="98" t="s">
        <v>254</v>
      </c>
      <c r="B216" s="7" t="s">
        <v>42</v>
      </c>
      <c r="C216" s="135" t="s">
        <v>143</v>
      </c>
      <c r="D216" s="132" t="s">
        <v>144</v>
      </c>
      <c r="E216" s="165" t="s">
        <v>145</v>
      </c>
      <c r="F216" s="173">
        <v>1156317</v>
      </c>
      <c r="G216" s="173"/>
      <c r="H216" s="173"/>
      <c r="I216" s="173"/>
      <c r="J216" s="173"/>
      <c r="K216" s="174" t="str">
        <f t="shared" si="3"/>
        <v>Tarifado</v>
      </c>
      <c r="L216" s="132" t="s">
        <v>180</v>
      </c>
      <c r="M216" s="174"/>
      <c r="N216" s="175"/>
      <c r="O216" s="175"/>
      <c r="P216" s="175"/>
      <c r="Q216" s="175"/>
      <c r="R216" s="175"/>
      <c r="S216" s="175"/>
      <c r="T216" s="192"/>
      <c r="U216" s="176"/>
    </row>
    <row r="217" spans="1:21" x14ac:dyDescent="0.2">
      <c r="A217" s="98" t="s">
        <v>254</v>
      </c>
      <c r="B217" s="7" t="s">
        <v>42</v>
      </c>
      <c r="C217" s="135" t="s">
        <v>148</v>
      </c>
      <c r="D217" s="132" t="s">
        <v>149</v>
      </c>
      <c r="E217" s="165" t="s">
        <v>150</v>
      </c>
      <c r="F217" s="173">
        <v>1519938</v>
      </c>
      <c r="G217" s="173"/>
      <c r="H217" s="173"/>
      <c r="I217" s="173"/>
      <c r="J217" s="173"/>
      <c r="K217" s="174" t="str">
        <f t="shared" si="3"/>
        <v>Tarifado</v>
      </c>
      <c r="L217" s="132" t="s">
        <v>180</v>
      </c>
      <c r="M217" s="174"/>
      <c r="N217" s="175"/>
      <c r="O217" s="175"/>
      <c r="P217" s="175"/>
      <c r="Q217" s="175"/>
      <c r="R217" s="175"/>
      <c r="S217" s="175"/>
      <c r="T217" s="192"/>
      <c r="U217" s="176"/>
    </row>
    <row r="218" spans="1:21" x14ac:dyDescent="0.2">
      <c r="A218" s="98" t="s">
        <v>254</v>
      </c>
      <c r="B218" s="7" t="s">
        <v>73</v>
      </c>
      <c r="C218" s="135" t="s">
        <v>81</v>
      </c>
      <c r="D218" s="128" t="s">
        <v>82</v>
      </c>
      <c r="E218" s="165" t="s">
        <v>83</v>
      </c>
      <c r="F218" s="173">
        <v>375743</v>
      </c>
      <c r="G218" s="173"/>
      <c r="H218" s="173"/>
      <c r="I218" s="173"/>
      <c r="J218" s="173"/>
      <c r="K218" s="174" t="str">
        <f t="shared" si="3"/>
        <v>Tarifado</v>
      </c>
      <c r="L218" s="132" t="s">
        <v>180</v>
      </c>
      <c r="M218" s="174"/>
      <c r="N218" s="175"/>
      <c r="O218" s="175"/>
      <c r="P218" s="175"/>
      <c r="Q218" s="175"/>
      <c r="R218" s="175"/>
      <c r="S218" s="175"/>
      <c r="T218" s="192"/>
      <c r="U218" s="176"/>
    </row>
    <row r="219" spans="1:21" x14ac:dyDescent="0.2">
      <c r="A219" s="98" t="s">
        <v>254</v>
      </c>
      <c r="B219" s="7" t="s">
        <v>73</v>
      </c>
      <c r="C219" s="135" t="s">
        <v>81</v>
      </c>
      <c r="D219" s="138" t="s">
        <v>251</v>
      </c>
      <c r="E219" s="165" t="s">
        <v>252</v>
      </c>
      <c r="F219" s="173">
        <v>1457281</v>
      </c>
      <c r="G219" s="173"/>
      <c r="H219" s="173"/>
      <c r="I219" s="173"/>
      <c r="J219" s="173"/>
      <c r="K219" s="174" t="str">
        <f t="shared" si="3"/>
        <v>Tarifado</v>
      </c>
      <c r="L219" s="132" t="s">
        <v>180</v>
      </c>
      <c r="M219" s="174"/>
      <c r="N219" s="175"/>
      <c r="O219" s="175"/>
      <c r="P219" s="175"/>
      <c r="Q219" s="175"/>
      <c r="R219" s="175"/>
      <c r="S219" s="175"/>
      <c r="T219" s="192"/>
      <c r="U219" s="176"/>
    </row>
    <row r="220" spans="1:21" x14ac:dyDescent="0.2">
      <c r="A220" s="98" t="s">
        <v>254</v>
      </c>
      <c r="B220" s="7" t="s">
        <v>73</v>
      </c>
      <c r="C220" s="135" t="s">
        <v>74</v>
      </c>
      <c r="D220" s="132" t="s">
        <v>152</v>
      </c>
      <c r="E220" s="165" t="s">
        <v>153</v>
      </c>
      <c r="F220" s="173">
        <v>1837440</v>
      </c>
      <c r="G220" s="173"/>
      <c r="H220" s="173"/>
      <c r="I220" s="173"/>
      <c r="J220" s="173"/>
      <c r="K220" s="174" t="str">
        <f t="shared" si="3"/>
        <v>Tarifado</v>
      </c>
      <c r="L220" s="132" t="s">
        <v>180</v>
      </c>
      <c r="M220" s="174"/>
      <c r="N220" s="175"/>
      <c r="O220" s="175"/>
      <c r="P220" s="175"/>
      <c r="Q220" s="175"/>
      <c r="R220" s="175"/>
      <c r="S220" s="175"/>
      <c r="T220" s="192"/>
      <c r="U220" s="176"/>
    </row>
    <row r="221" spans="1:21" x14ac:dyDescent="0.2">
      <c r="A221" s="98" t="s">
        <v>254</v>
      </c>
      <c r="B221" s="7" t="s">
        <v>73</v>
      </c>
      <c r="C221" s="135" t="s">
        <v>81</v>
      </c>
      <c r="D221" s="128" t="s">
        <v>158</v>
      </c>
      <c r="E221" s="165" t="s">
        <v>159</v>
      </c>
      <c r="F221" s="173">
        <v>465435</v>
      </c>
      <c r="G221" s="173"/>
      <c r="H221" s="173"/>
      <c r="I221" s="173"/>
      <c r="J221" s="173"/>
      <c r="K221" s="174" t="str">
        <f t="shared" si="3"/>
        <v>Tarifado</v>
      </c>
      <c r="L221" s="132" t="s">
        <v>180</v>
      </c>
      <c r="M221" s="174"/>
      <c r="N221" s="175"/>
      <c r="O221" s="175"/>
      <c r="P221" s="175"/>
      <c r="Q221" s="175"/>
      <c r="R221" s="175"/>
      <c r="S221" s="175"/>
      <c r="T221" s="192"/>
      <c r="U221" s="176"/>
    </row>
    <row r="222" spans="1:21" x14ac:dyDescent="0.2">
      <c r="A222" s="98" t="s">
        <v>254</v>
      </c>
      <c r="B222" s="7" t="s">
        <v>34</v>
      </c>
      <c r="C222" s="135" t="s">
        <v>51</v>
      </c>
      <c r="D222" s="132" t="s">
        <v>160</v>
      </c>
      <c r="E222" s="165" t="s">
        <v>161</v>
      </c>
      <c r="F222" s="173">
        <v>5223000</v>
      </c>
      <c r="G222" s="173"/>
      <c r="H222" s="173"/>
      <c r="I222" s="173"/>
      <c r="J222" s="173"/>
      <c r="K222" s="174" t="str">
        <f t="shared" si="3"/>
        <v>Tarifado</v>
      </c>
      <c r="L222" s="132" t="s">
        <v>180</v>
      </c>
      <c r="M222" s="174"/>
      <c r="N222" s="175"/>
      <c r="O222" s="175"/>
      <c r="P222" s="175"/>
      <c r="Q222" s="175"/>
      <c r="R222" s="175"/>
      <c r="S222" s="175"/>
      <c r="T222" s="192"/>
      <c r="U222" s="176"/>
    </row>
    <row r="223" spans="1:21" x14ac:dyDescent="0.2">
      <c r="A223" s="98" t="s">
        <v>254</v>
      </c>
      <c r="B223" s="7" t="s">
        <v>38</v>
      </c>
      <c r="C223" s="135" t="s">
        <v>39</v>
      </c>
      <c r="D223" s="138" t="s">
        <v>257</v>
      </c>
      <c r="E223" s="165" t="s">
        <v>258</v>
      </c>
      <c r="F223" s="173">
        <v>1390200</v>
      </c>
      <c r="G223" s="173"/>
      <c r="H223" s="173"/>
      <c r="I223" s="173"/>
      <c r="J223" s="173"/>
      <c r="K223" s="174" t="str">
        <f t="shared" si="3"/>
        <v>Tarifado</v>
      </c>
      <c r="L223" s="132" t="s">
        <v>180</v>
      </c>
      <c r="M223" s="174"/>
      <c r="N223" s="175"/>
      <c r="O223" s="175"/>
      <c r="P223" s="175"/>
      <c r="Q223" s="175"/>
      <c r="R223" s="175"/>
      <c r="S223" s="175"/>
      <c r="T223" s="192"/>
      <c r="U223" s="176"/>
    </row>
    <row r="224" spans="1:21" x14ac:dyDescent="0.2">
      <c r="A224" s="98" t="s">
        <v>254</v>
      </c>
      <c r="B224" s="7" t="s">
        <v>38</v>
      </c>
      <c r="C224" s="135" t="s">
        <v>39</v>
      </c>
      <c r="D224" s="138" t="s">
        <v>128</v>
      </c>
      <c r="E224" s="165" t="s">
        <v>129</v>
      </c>
      <c r="F224" s="173">
        <v>436346</v>
      </c>
      <c r="G224" s="173"/>
      <c r="H224" s="173"/>
      <c r="I224" s="173"/>
      <c r="J224" s="173"/>
      <c r="K224" s="174" t="str">
        <f t="shared" si="3"/>
        <v>Tarifado</v>
      </c>
      <c r="L224" s="132" t="s">
        <v>180</v>
      </c>
      <c r="M224" s="174"/>
      <c r="N224" s="175"/>
      <c r="O224" s="175"/>
      <c r="P224" s="175"/>
      <c r="Q224" s="175"/>
      <c r="R224" s="175"/>
      <c r="S224" s="175"/>
      <c r="T224" s="192"/>
      <c r="U224" s="176"/>
    </row>
    <row r="225" spans="1:21" x14ac:dyDescent="0.2">
      <c r="A225" s="108" t="s">
        <v>254</v>
      </c>
      <c r="B225" s="109" t="s">
        <v>38</v>
      </c>
      <c r="C225" s="133" t="s">
        <v>39</v>
      </c>
      <c r="D225" s="138" t="s">
        <v>411</v>
      </c>
      <c r="E225" s="165" t="s">
        <v>771</v>
      </c>
      <c r="F225" s="166">
        <v>1387000</v>
      </c>
      <c r="G225" s="166"/>
      <c r="H225" s="167"/>
      <c r="I225" s="167"/>
      <c r="J225" s="167"/>
      <c r="K225" s="177" t="str">
        <f t="shared" si="3"/>
        <v>Tarifado</v>
      </c>
      <c r="L225" s="132" t="s">
        <v>180</v>
      </c>
      <c r="M225" s="178"/>
      <c r="N225" s="179"/>
      <c r="O225" s="196"/>
      <c r="P225" s="196"/>
      <c r="Q225" s="196"/>
      <c r="R225" s="196"/>
      <c r="S225" s="196"/>
      <c r="T225" s="197"/>
      <c r="U225" s="170"/>
    </row>
    <row r="226" spans="1:21" x14ac:dyDescent="0.2">
      <c r="A226" s="98" t="s">
        <v>254</v>
      </c>
      <c r="B226" s="7" t="s">
        <v>38</v>
      </c>
      <c r="C226" s="135" t="s">
        <v>39</v>
      </c>
      <c r="D226" s="138" t="s">
        <v>39</v>
      </c>
      <c r="E226" s="165" t="s">
        <v>151</v>
      </c>
      <c r="F226" s="173">
        <v>632702</v>
      </c>
      <c r="G226" s="173"/>
      <c r="H226" s="173"/>
      <c r="I226" s="173"/>
      <c r="J226" s="173"/>
      <c r="K226" s="174" t="str">
        <f t="shared" si="3"/>
        <v>Tarifado</v>
      </c>
      <c r="L226" s="132" t="s">
        <v>180</v>
      </c>
      <c r="M226" s="174"/>
      <c r="N226" s="175"/>
      <c r="O226" s="175"/>
      <c r="P226" s="175"/>
      <c r="Q226" s="175"/>
      <c r="R226" s="175"/>
      <c r="S226" s="175"/>
      <c r="T226" s="192"/>
      <c r="U226" s="176"/>
    </row>
    <row r="227" spans="1:21" x14ac:dyDescent="0.2">
      <c r="A227" s="98" t="s">
        <v>254</v>
      </c>
      <c r="B227" s="4" t="s">
        <v>58</v>
      </c>
      <c r="C227" s="127" t="s">
        <v>59</v>
      </c>
      <c r="D227" s="132" t="s">
        <v>223</v>
      </c>
      <c r="E227" s="165" t="s">
        <v>224</v>
      </c>
      <c r="F227" s="173">
        <v>623006</v>
      </c>
      <c r="G227" s="173"/>
      <c r="H227" s="173"/>
      <c r="I227" s="173"/>
      <c r="J227" s="173"/>
      <c r="K227" s="174" t="str">
        <f>IF(B227&lt;&gt;"BUE",IF(F227=0,"Falta Tarifa","Tarifado"),IF(AND(F227&lt;&gt;0,G227&lt;&gt;0,H227&lt;&gt;0,I227&lt;&gt;0,J227&lt;&gt;0),"Tarifado","Falta Tarifa"))</f>
        <v>Tarifado</v>
      </c>
      <c r="L227" s="132" t="s">
        <v>180</v>
      </c>
      <c r="M227" s="174"/>
      <c r="N227" s="175"/>
      <c r="O227" s="175"/>
      <c r="P227" s="175"/>
      <c r="Q227" s="175"/>
      <c r="R227" s="175"/>
      <c r="S227" s="175"/>
      <c r="T227" s="192">
        <v>145.74</v>
      </c>
      <c r="U227" s="176"/>
    </row>
    <row r="228" spans="1:21" x14ac:dyDescent="0.2">
      <c r="A228" s="98" t="s">
        <v>254</v>
      </c>
      <c r="B228" s="4" t="s">
        <v>58</v>
      </c>
      <c r="C228" s="127" t="s">
        <v>59</v>
      </c>
      <c r="D228" s="130" t="s">
        <v>542</v>
      </c>
      <c r="E228" s="165" t="s">
        <v>701</v>
      </c>
      <c r="F228" s="173">
        <v>666640</v>
      </c>
      <c r="G228" s="173"/>
      <c r="H228" s="173"/>
      <c r="I228" s="173"/>
      <c r="J228" s="173"/>
      <c r="K228" s="174" t="str">
        <f>IF(B228&lt;&gt;"BUE",IF(F228=0,"Falta Tarifa","Tarifado"),IF(AND(F228&lt;&gt;0,G228&lt;&gt;0,H228&lt;&gt;0,I228&lt;&gt;0,J228&lt;&gt;0),"Tarifado","Falta Tarifa"))</f>
        <v>Tarifado</v>
      </c>
      <c r="L228" s="132" t="s">
        <v>180</v>
      </c>
      <c r="M228" s="174"/>
      <c r="N228" s="175"/>
      <c r="O228" s="175"/>
      <c r="P228" s="175"/>
      <c r="Q228" s="175"/>
      <c r="R228" s="175"/>
      <c r="S228" s="175"/>
      <c r="T228" s="192">
        <v>179.49</v>
      </c>
      <c r="U228" s="176"/>
    </row>
    <row r="229" spans="1:21" x14ac:dyDescent="0.2">
      <c r="A229" s="108" t="s">
        <v>259</v>
      </c>
      <c r="B229" s="109" t="s">
        <v>177</v>
      </c>
      <c r="C229" s="133" t="s">
        <v>81</v>
      </c>
      <c r="D229" s="134" t="s">
        <v>830</v>
      </c>
      <c r="E229" s="165" t="s">
        <v>786</v>
      </c>
      <c r="F229" s="172">
        <v>209399.95</v>
      </c>
      <c r="G229" s="172">
        <v>136050.94</v>
      </c>
      <c r="H229" s="172">
        <v>119044.63</v>
      </c>
      <c r="I229" s="172">
        <v>108840.87</v>
      </c>
      <c r="J229" s="172">
        <v>79856.09</v>
      </c>
      <c r="K229" s="177" t="str">
        <f t="shared" si="3"/>
        <v>Tarifado</v>
      </c>
      <c r="L229" s="132" t="s">
        <v>180</v>
      </c>
      <c r="M229" s="174"/>
      <c r="N229" s="175"/>
      <c r="O229" s="175"/>
      <c r="P229" s="175"/>
      <c r="Q229" s="175"/>
      <c r="R229" s="175"/>
      <c r="S229" s="175"/>
      <c r="T229" s="192"/>
      <c r="U229" s="198"/>
    </row>
    <row r="230" spans="1:21" x14ac:dyDescent="0.2">
      <c r="A230" s="108" t="s">
        <v>259</v>
      </c>
      <c r="B230" s="109" t="s">
        <v>177</v>
      </c>
      <c r="C230" s="133" t="s">
        <v>81</v>
      </c>
      <c r="D230" s="134" t="s">
        <v>830</v>
      </c>
      <c r="E230" s="165" t="s">
        <v>788</v>
      </c>
      <c r="F230" s="172">
        <v>209399.95</v>
      </c>
      <c r="G230" s="172">
        <v>136050.94</v>
      </c>
      <c r="H230" s="172">
        <v>119044.63</v>
      </c>
      <c r="I230" s="172">
        <v>108840.87</v>
      </c>
      <c r="J230" s="172">
        <v>79856.09</v>
      </c>
      <c r="K230" s="177" t="str">
        <f t="shared" si="3"/>
        <v>Tarifado</v>
      </c>
      <c r="L230" s="132" t="s">
        <v>180</v>
      </c>
      <c r="M230" s="174"/>
      <c r="N230" s="175"/>
      <c r="O230" s="175"/>
      <c r="P230" s="175"/>
      <c r="Q230" s="175"/>
      <c r="R230" s="175"/>
      <c r="S230" s="175"/>
      <c r="T230" s="192"/>
      <c r="U230" s="198"/>
    </row>
    <row r="231" spans="1:21" x14ac:dyDescent="0.2">
      <c r="A231" s="3" t="s">
        <v>259</v>
      </c>
      <c r="B231" s="4" t="s">
        <v>177</v>
      </c>
      <c r="C231" s="127" t="s">
        <v>81</v>
      </c>
      <c r="D231" s="128" t="s">
        <v>211</v>
      </c>
      <c r="E231" s="165" t="s">
        <v>212</v>
      </c>
      <c r="F231" s="172">
        <v>296650.09999999998</v>
      </c>
      <c r="G231" s="172">
        <v>188548.12</v>
      </c>
      <c r="H231" s="172">
        <v>175919.62</v>
      </c>
      <c r="I231" s="172">
        <v>159238.66</v>
      </c>
      <c r="J231" s="172">
        <v>133093.24</v>
      </c>
      <c r="K231" s="174" t="str">
        <f t="shared" si="3"/>
        <v>Tarifado</v>
      </c>
      <c r="L231" s="132" t="s">
        <v>180</v>
      </c>
      <c r="M231" s="174"/>
      <c r="N231" s="175"/>
      <c r="O231" s="175"/>
      <c r="P231" s="175"/>
      <c r="Q231" s="175"/>
      <c r="R231" s="175"/>
      <c r="S231" s="175"/>
      <c r="T231" s="192"/>
      <c r="U231" s="198"/>
    </row>
    <row r="232" spans="1:21" x14ac:dyDescent="0.2">
      <c r="A232" s="98" t="s">
        <v>259</v>
      </c>
      <c r="B232" s="7" t="s">
        <v>177</v>
      </c>
      <c r="C232" s="135" t="s">
        <v>81</v>
      </c>
      <c r="D232" s="138" t="s">
        <v>182</v>
      </c>
      <c r="E232" s="165" t="s">
        <v>183</v>
      </c>
      <c r="F232" s="172">
        <v>209399.95</v>
      </c>
      <c r="G232" s="172">
        <v>136050.94</v>
      </c>
      <c r="H232" s="172">
        <v>119044.63</v>
      </c>
      <c r="I232" s="172">
        <v>108840.87</v>
      </c>
      <c r="J232" s="172">
        <v>79856.09</v>
      </c>
      <c r="K232" s="184" t="str">
        <f t="shared" si="3"/>
        <v>Tarifado</v>
      </c>
      <c r="L232" s="132" t="s">
        <v>180</v>
      </c>
      <c r="M232" s="174"/>
      <c r="N232" s="175"/>
      <c r="O232" s="175"/>
      <c r="P232" s="175"/>
      <c r="Q232" s="175"/>
      <c r="R232" s="175"/>
      <c r="S232" s="175"/>
      <c r="T232" s="192"/>
      <c r="U232" s="198"/>
    </row>
    <row r="233" spans="1:21" x14ac:dyDescent="0.2">
      <c r="A233" s="98" t="s">
        <v>259</v>
      </c>
      <c r="B233" s="7" t="s">
        <v>177</v>
      </c>
      <c r="C233" s="135" t="s">
        <v>81</v>
      </c>
      <c r="D233" s="138" t="s">
        <v>213</v>
      </c>
      <c r="E233" s="165" t="s">
        <v>214</v>
      </c>
      <c r="F233" s="182">
        <v>296650.09999999998</v>
      </c>
      <c r="G233" s="182">
        <v>188548.12</v>
      </c>
      <c r="H233" s="182">
        <v>175919.62</v>
      </c>
      <c r="I233" s="182">
        <v>159238.66</v>
      </c>
      <c r="J233" s="182">
        <v>133093.24</v>
      </c>
      <c r="K233" s="184" t="str">
        <f t="shared" si="3"/>
        <v>Tarifado</v>
      </c>
      <c r="L233" s="138" t="s">
        <v>180</v>
      </c>
      <c r="M233" s="174"/>
      <c r="N233" s="175"/>
      <c r="O233" s="175"/>
      <c r="P233" s="175"/>
      <c r="Q233" s="175"/>
      <c r="R233" s="175"/>
      <c r="S233" s="175"/>
      <c r="T233" s="192"/>
      <c r="U233" s="198"/>
    </row>
    <row r="234" spans="1:21" x14ac:dyDescent="0.2">
      <c r="A234" s="98" t="s">
        <v>259</v>
      </c>
      <c r="B234" s="7" t="s">
        <v>177</v>
      </c>
      <c r="C234" s="135" t="s">
        <v>81</v>
      </c>
      <c r="D234" s="138" t="s">
        <v>215</v>
      </c>
      <c r="E234" s="165" t="s">
        <v>216</v>
      </c>
      <c r="F234" s="182">
        <v>296650.09999999998</v>
      </c>
      <c r="G234" s="182">
        <v>188548.12</v>
      </c>
      <c r="H234" s="182">
        <v>175919.62</v>
      </c>
      <c r="I234" s="182">
        <v>159238.66</v>
      </c>
      <c r="J234" s="182">
        <v>133093.24</v>
      </c>
      <c r="K234" s="184" t="str">
        <f t="shared" si="3"/>
        <v>Tarifado</v>
      </c>
      <c r="L234" s="132" t="s">
        <v>180</v>
      </c>
      <c r="M234" s="184"/>
      <c r="N234" s="185"/>
      <c r="O234" s="218"/>
      <c r="P234" s="218"/>
      <c r="Q234" s="218"/>
      <c r="R234" s="218"/>
      <c r="S234" s="218"/>
      <c r="T234" s="218"/>
      <c r="U234" s="199"/>
    </row>
    <row r="235" spans="1:21" x14ac:dyDescent="0.2">
      <c r="A235" s="98" t="s">
        <v>259</v>
      </c>
      <c r="B235" s="7" t="s">
        <v>177</v>
      </c>
      <c r="C235" s="135" t="s">
        <v>81</v>
      </c>
      <c r="D235" s="138" t="s">
        <v>217</v>
      </c>
      <c r="E235" s="165" t="s">
        <v>218</v>
      </c>
      <c r="F235" s="182">
        <v>296650.09999999998</v>
      </c>
      <c r="G235" s="182">
        <v>188548.12</v>
      </c>
      <c r="H235" s="182">
        <v>175919.62</v>
      </c>
      <c r="I235" s="182">
        <v>159238.66</v>
      </c>
      <c r="J235" s="182">
        <v>133093.24</v>
      </c>
      <c r="K235" s="184" t="str">
        <f t="shared" si="3"/>
        <v>Tarifado</v>
      </c>
      <c r="L235" s="132" t="s">
        <v>180</v>
      </c>
      <c r="M235" s="184"/>
      <c r="N235" s="185"/>
      <c r="O235" s="185"/>
      <c r="P235" s="185"/>
      <c r="Q235" s="185"/>
      <c r="R235" s="185"/>
      <c r="S235" s="185"/>
      <c r="T235" s="193"/>
      <c r="U235" s="199"/>
    </row>
    <row r="236" spans="1:21" x14ac:dyDescent="0.2">
      <c r="A236" s="98" t="s">
        <v>259</v>
      </c>
      <c r="B236" s="7" t="s">
        <v>177</v>
      </c>
      <c r="C236" s="135" t="s">
        <v>81</v>
      </c>
      <c r="D236" s="138" t="s">
        <v>219</v>
      </c>
      <c r="E236" s="165" t="s">
        <v>220</v>
      </c>
      <c r="F236" s="182">
        <v>240455.37</v>
      </c>
      <c r="G236" s="182">
        <v>153057.51</v>
      </c>
      <c r="H236" s="182">
        <v>142853.62</v>
      </c>
      <c r="I236" s="182">
        <v>129247.42</v>
      </c>
      <c r="J236" s="182">
        <v>85771.15</v>
      </c>
      <c r="K236" s="184" t="str">
        <f t="shared" si="3"/>
        <v>Tarifado</v>
      </c>
      <c r="L236" s="132" t="s">
        <v>180</v>
      </c>
      <c r="M236" s="184"/>
      <c r="N236" s="185"/>
      <c r="O236" s="185"/>
      <c r="P236" s="185"/>
      <c r="Q236" s="185"/>
      <c r="R236" s="185"/>
      <c r="S236" s="185"/>
      <c r="T236" s="193"/>
      <c r="U236" s="199"/>
    </row>
    <row r="237" spans="1:21" x14ac:dyDescent="0.2">
      <c r="A237" s="98" t="s">
        <v>259</v>
      </c>
      <c r="B237" s="7" t="s">
        <v>177</v>
      </c>
      <c r="C237" s="135" t="s">
        <v>81</v>
      </c>
      <c r="D237" s="138" t="s">
        <v>178</v>
      </c>
      <c r="E237" s="165" t="s">
        <v>179</v>
      </c>
      <c r="F237" s="182">
        <v>242555.16</v>
      </c>
      <c r="G237" s="182">
        <v>163260.95000000001</v>
      </c>
      <c r="H237" s="182">
        <v>149656.07</v>
      </c>
      <c r="I237" s="182">
        <v>136050.94</v>
      </c>
      <c r="J237" s="182">
        <v>91686.46</v>
      </c>
      <c r="K237" s="184" t="str">
        <f t="shared" si="3"/>
        <v>Tarifado</v>
      </c>
      <c r="L237" s="132" t="s">
        <v>180</v>
      </c>
      <c r="M237" s="184"/>
      <c r="N237" s="185"/>
      <c r="O237" s="175"/>
      <c r="P237" s="185"/>
      <c r="Q237" s="185"/>
      <c r="R237" s="185"/>
      <c r="S237" s="185"/>
      <c r="T237" s="193"/>
      <c r="U237" s="199"/>
    </row>
    <row r="238" spans="1:21" x14ac:dyDescent="0.2">
      <c r="A238" s="98" t="s">
        <v>259</v>
      </c>
      <c r="B238" s="7" t="s">
        <v>177</v>
      </c>
      <c r="C238" s="135" t="s">
        <v>81</v>
      </c>
      <c r="D238" s="138" t="s">
        <v>221</v>
      </c>
      <c r="E238" s="165" t="s">
        <v>222</v>
      </c>
      <c r="F238" s="182">
        <v>208217.01</v>
      </c>
      <c r="G238" s="182">
        <v>129247.42</v>
      </c>
      <c r="H238" s="182">
        <v>112389.83</v>
      </c>
      <c r="I238" s="182">
        <v>95235.56</v>
      </c>
      <c r="J238" s="182">
        <v>73940.55</v>
      </c>
      <c r="K238" s="184" t="str">
        <f t="shared" si="3"/>
        <v>Tarifado</v>
      </c>
      <c r="L238" s="132" t="s">
        <v>180</v>
      </c>
      <c r="M238" s="184"/>
      <c r="N238" s="185"/>
      <c r="O238" s="185"/>
      <c r="P238" s="185"/>
      <c r="Q238" s="185"/>
      <c r="R238" s="185"/>
      <c r="S238" s="185"/>
      <c r="T238" s="193"/>
      <c r="U238" s="199"/>
    </row>
    <row r="239" spans="1:21" x14ac:dyDescent="0.2">
      <c r="A239" s="108" t="s">
        <v>260</v>
      </c>
      <c r="B239" s="109" t="s">
        <v>177</v>
      </c>
      <c r="C239" s="133" t="s">
        <v>81</v>
      </c>
      <c r="D239" s="134" t="s">
        <v>219</v>
      </c>
      <c r="E239" s="165" t="s">
        <v>179</v>
      </c>
      <c r="F239" s="200">
        <v>582302</v>
      </c>
      <c r="G239" s="200">
        <v>308644</v>
      </c>
      <c r="H239" s="201"/>
      <c r="I239" s="201"/>
      <c r="J239" s="201"/>
      <c r="K239" s="202" t="str">
        <f t="shared" si="3"/>
        <v>Falta Tarifa</v>
      </c>
      <c r="L239" s="195" t="s">
        <v>180</v>
      </c>
      <c r="M239" s="203"/>
      <c r="N239" s="204"/>
      <c r="O239" s="205"/>
      <c r="P239" s="205"/>
      <c r="Q239" s="205"/>
      <c r="R239" s="205"/>
      <c r="S239" s="205"/>
      <c r="T239" s="206"/>
      <c r="U239" s="207"/>
    </row>
    <row r="240" spans="1:21" x14ac:dyDescent="0.2">
      <c r="A240" s="98" t="s">
        <v>260</v>
      </c>
      <c r="B240" s="7" t="s">
        <v>177</v>
      </c>
      <c r="C240" s="135" t="s">
        <v>81</v>
      </c>
      <c r="D240" s="138" t="s">
        <v>178</v>
      </c>
      <c r="E240" s="165" t="s">
        <v>220</v>
      </c>
      <c r="F240" s="182">
        <v>582302</v>
      </c>
      <c r="G240" s="182">
        <v>308644</v>
      </c>
      <c r="H240" s="182"/>
      <c r="I240" s="182"/>
      <c r="J240" s="182"/>
      <c r="K240" s="184" t="str">
        <f t="shared" si="3"/>
        <v>Falta Tarifa</v>
      </c>
      <c r="L240" s="132" t="s">
        <v>180</v>
      </c>
      <c r="M240" s="184"/>
      <c r="N240" s="185"/>
      <c r="O240" s="185"/>
      <c r="P240" s="185"/>
      <c r="Q240" s="185"/>
      <c r="R240" s="185"/>
      <c r="S240" s="185"/>
      <c r="T240" s="193"/>
      <c r="U240" s="194"/>
    </row>
    <row r="242" spans="6:6" x14ac:dyDescent="0.2">
      <c r="F242" s="208"/>
    </row>
    <row r="243" spans="6:6" x14ac:dyDescent="0.2">
      <c r="F243" s="20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>
    <tabColor rgb="FFFFCC99"/>
  </sheetPr>
  <dimension ref="A1:AE243"/>
  <sheetViews>
    <sheetView tabSelected="1" topLeftCell="A8" zoomScale="85" zoomScaleNormal="85" workbookViewId="0">
      <selection activeCell="I34" sqref="I34"/>
    </sheetView>
  </sheetViews>
  <sheetFormatPr baseColWidth="10" defaultRowHeight="15" x14ac:dyDescent="0.25"/>
  <cols>
    <col min="1" max="1" width="25.42578125" bestFit="1" customWidth="1"/>
    <col min="2" max="2" width="10.42578125" bestFit="1" customWidth="1"/>
    <col min="3" max="3" width="17.85546875" bestFit="1" customWidth="1"/>
    <col min="4" max="4" width="23.85546875" bestFit="1" customWidth="1"/>
    <col min="5" max="5" width="22.140625" bestFit="1" customWidth="1"/>
    <col min="6" max="6" width="23" bestFit="1" customWidth="1"/>
    <col min="7" max="7" width="11.5703125" bestFit="1" customWidth="1"/>
    <col min="8" max="8" width="12.28515625" bestFit="1" customWidth="1"/>
    <col min="9" max="9" width="11.85546875" bestFit="1" customWidth="1"/>
    <col min="10" max="10" width="12.5703125" bestFit="1" customWidth="1"/>
    <col min="11" max="11" width="11.85546875" bestFit="1" customWidth="1"/>
    <col min="12" max="12" width="12.85546875" bestFit="1" customWidth="1"/>
    <col min="13" max="13" width="11.7109375" bestFit="1" customWidth="1"/>
    <col min="14" max="14" width="11.28515625" bestFit="1" customWidth="1"/>
    <col min="15" max="15" width="21.28515625" bestFit="1" customWidth="1"/>
    <col min="16" max="16" width="12.7109375" bestFit="1" customWidth="1"/>
    <col min="17" max="17" width="11.7109375" bestFit="1" customWidth="1"/>
    <col min="18" max="18" width="12.28515625" bestFit="1" customWidth="1"/>
    <col min="19" max="19" width="11.5703125" bestFit="1" customWidth="1"/>
    <col min="20" max="20" width="12.28515625" bestFit="1" customWidth="1"/>
    <col min="21" max="21" width="11.85546875" bestFit="1" customWidth="1"/>
    <col min="22" max="22" width="12.5703125" bestFit="1" customWidth="1"/>
    <col min="23" max="23" width="11.85546875" bestFit="1" customWidth="1"/>
    <col min="24" max="24" width="12.85546875" bestFit="1" customWidth="1"/>
    <col min="25" max="25" width="11.140625" bestFit="1" customWidth="1"/>
    <col min="26" max="26" width="10.5703125" bestFit="1" customWidth="1"/>
    <col min="27" max="27" width="11.42578125" bestFit="1" customWidth="1"/>
    <col min="28" max="28" width="12.140625" bestFit="1" customWidth="1"/>
    <col min="29" max="29" width="11" bestFit="1" customWidth="1"/>
    <col min="30" max="30" width="11.5703125" bestFit="1" customWidth="1"/>
    <col min="31" max="31" width="10.85546875" bestFit="1" customWidth="1"/>
  </cols>
  <sheetData>
    <row r="1" spans="1:31" x14ac:dyDescent="0.25">
      <c r="B1" s="344" t="s">
        <v>790</v>
      </c>
      <c r="C1" s="344"/>
    </row>
    <row r="2" spans="1:31" ht="15.75" thickBot="1" x14ac:dyDescent="0.3">
      <c r="A2" s="65" t="s">
        <v>8</v>
      </c>
      <c r="B2" s="65">
        <v>2024</v>
      </c>
      <c r="C2" s="65">
        <v>2025</v>
      </c>
      <c r="G2" s="340">
        <v>0.48839999999999995</v>
      </c>
      <c r="H2" s="341"/>
      <c r="I2" s="341"/>
      <c r="J2" s="341"/>
      <c r="K2" s="341"/>
      <c r="L2" s="341"/>
      <c r="M2" s="341"/>
      <c r="N2" s="341"/>
      <c r="O2" s="342" t="s">
        <v>793</v>
      </c>
      <c r="P2" s="86"/>
      <c r="Q2" s="86"/>
      <c r="R2" s="72" cm="1">
        <f t="array" ref="R2">PRODUCT(1+S3:T3)-1</f>
        <v>0.21999999999999997</v>
      </c>
      <c r="S2" s="72">
        <v>0.21999999999999997</v>
      </c>
      <c r="T2" t="s">
        <v>823</v>
      </c>
    </row>
    <row r="3" spans="1:31" x14ac:dyDescent="0.25">
      <c r="A3" s="79" t="s">
        <v>29</v>
      </c>
      <c r="G3" s="91">
        <v>0</v>
      </c>
      <c r="H3" s="80" t="s">
        <v>794</v>
      </c>
      <c r="I3" s="80" t="s">
        <v>795</v>
      </c>
      <c r="J3" s="80" t="s">
        <v>796</v>
      </c>
      <c r="K3" s="80" t="s">
        <v>797</v>
      </c>
      <c r="L3" s="80" t="s">
        <v>798</v>
      </c>
      <c r="M3" s="80" t="s">
        <v>799</v>
      </c>
      <c r="N3" s="81" t="s">
        <v>800</v>
      </c>
      <c r="O3" s="343"/>
      <c r="R3" s="87"/>
      <c r="S3" s="71"/>
      <c r="T3" s="71">
        <v>0.22</v>
      </c>
    </row>
    <row r="4" spans="1:31" x14ac:dyDescent="0.25">
      <c r="A4" s="79" t="s">
        <v>176</v>
      </c>
      <c r="G4" s="82">
        <v>1.1612856797615829</v>
      </c>
      <c r="H4" s="82">
        <v>2.4E-2</v>
      </c>
      <c r="I4" s="82">
        <v>3.6999999999999998E-2</v>
      </c>
      <c r="J4" s="82">
        <v>2.8000000000000001E-2</v>
      </c>
      <c r="K4" s="82">
        <v>1.4999999999999999E-2</v>
      </c>
      <c r="L4" s="82">
        <v>1.6E-2</v>
      </c>
      <c r="M4" s="82">
        <v>1.9E-2</v>
      </c>
      <c r="N4" s="83"/>
      <c r="O4" s="84">
        <f>(G4+1)*(H4+1)*(I4+1)*(J4+1)*(K4+1)*(L4+1)*(M4+1)-1</f>
        <v>1.4792363900400471</v>
      </c>
      <c r="P4" s="88"/>
      <c r="Q4" s="88"/>
      <c r="R4" s="73">
        <v>82.24</v>
      </c>
      <c r="S4" s="90">
        <v>1.5047075340600022</v>
      </c>
      <c r="T4" s="73">
        <f>S4+S4*T3</f>
        <v>1.8357431915532028</v>
      </c>
    </row>
    <row r="5" spans="1:31" x14ac:dyDescent="0.25">
      <c r="A5" s="79" t="s">
        <v>181</v>
      </c>
      <c r="G5" s="340">
        <v>0</v>
      </c>
      <c r="H5" s="341"/>
      <c r="I5" s="341"/>
      <c r="J5" s="341"/>
      <c r="K5" s="341"/>
      <c r="L5" s="341"/>
      <c r="M5" s="341"/>
      <c r="N5" s="341"/>
      <c r="O5" s="342" t="s">
        <v>793</v>
      </c>
      <c r="P5" s="87"/>
      <c r="Q5" s="87"/>
      <c r="R5" s="87"/>
      <c r="T5" s="85">
        <f>R4+R4*R2</f>
        <v>100.33279999999999</v>
      </c>
    </row>
    <row r="6" spans="1:31" x14ac:dyDescent="0.25">
      <c r="A6" s="79" t="s">
        <v>184</v>
      </c>
      <c r="G6" s="91">
        <v>0</v>
      </c>
      <c r="H6" s="80" t="s">
        <v>794</v>
      </c>
      <c r="I6" s="80" t="s">
        <v>795</v>
      </c>
      <c r="J6" s="80" t="s">
        <v>796</v>
      </c>
      <c r="K6" s="80" t="s">
        <v>797</v>
      </c>
      <c r="L6" s="80" t="s">
        <v>798</v>
      </c>
      <c r="M6" s="80" t="s">
        <v>799</v>
      </c>
      <c r="N6" s="81" t="s">
        <v>800</v>
      </c>
      <c r="O6" s="343"/>
      <c r="P6" s="89"/>
      <c r="Q6" s="89"/>
      <c r="S6" s="87"/>
    </row>
    <row r="7" spans="1:31" x14ac:dyDescent="0.25">
      <c r="A7" s="79" t="s">
        <v>207</v>
      </c>
      <c r="G7" s="82">
        <v>0.64874266960899973</v>
      </c>
      <c r="H7" s="82">
        <v>1.6199999999999999E-2</v>
      </c>
      <c r="I7" s="82">
        <v>1.9199999999999998E-2</v>
      </c>
      <c r="J7" s="82">
        <v>3.7699999999999997E-2</v>
      </c>
      <c r="K7" s="82">
        <v>8.0999999999999996E-3</v>
      </c>
      <c r="L7" s="82">
        <v>2.5600000000000001E-2</v>
      </c>
      <c r="M7" s="82">
        <v>4.0300000000000002E-2</v>
      </c>
      <c r="N7" s="83"/>
      <c r="O7" s="84">
        <f>(G7+1)*(H7+1)*(I7+1)*(J7+1)*(K7+1)*(L7+1)*(M7+1)-1</f>
        <v>0.90591498815319937</v>
      </c>
      <c r="P7" s="87"/>
      <c r="Q7" s="87"/>
      <c r="S7" s="72">
        <v>0.40887679272099886</v>
      </c>
    </row>
    <row r="8" spans="1:31" x14ac:dyDescent="0.25">
      <c r="A8" s="79" t="s">
        <v>254</v>
      </c>
      <c r="B8" s="74"/>
      <c r="C8" s="74"/>
      <c r="G8" s="72">
        <v>0</v>
      </c>
    </row>
    <row r="9" spans="1:31" x14ac:dyDescent="0.25">
      <c r="A9" s="79" t="s">
        <v>259</v>
      </c>
      <c r="B9" s="74"/>
      <c r="C9" s="74"/>
      <c r="G9" s="72">
        <v>0</v>
      </c>
    </row>
    <row r="10" spans="1:31" x14ac:dyDescent="0.25">
      <c r="A10" s="79" t="s">
        <v>260</v>
      </c>
      <c r="G10" s="72">
        <v>0</v>
      </c>
    </row>
    <row r="12" spans="1:31" ht="15.75" thickBot="1" x14ac:dyDescent="0.3">
      <c r="A12" s="65" t="s">
        <v>8</v>
      </c>
      <c r="B12" s="13" t="s">
        <v>9</v>
      </c>
      <c r="C12" s="13" t="s">
        <v>10</v>
      </c>
      <c r="D12" s="66" t="s">
        <v>11</v>
      </c>
      <c r="E12" s="65" t="s">
        <v>12</v>
      </c>
      <c r="F12" s="66" t="s">
        <v>19</v>
      </c>
      <c r="G12" s="112" t="s">
        <v>824</v>
      </c>
      <c r="H12" s="76" t="s">
        <v>801</v>
      </c>
      <c r="I12" s="76" t="s">
        <v>802</v>
      </c>
      <c r="J12" s="76" t="s">
        <v>803</v>
      </c>
      <c r="K12" s="76" t="s">
        <v>804</v>
      </c>
      <c r="L12" s="76" t="s">
        <v>805</v>
      </c>
      <c r="M12" s="76" t="s">
        <v>806</v>
      </c>
      <c r="N12" s="76" t="s">
        <v>807</v>
      </c>
      <c r="O12" s="76" t="s">
        <v>808</v>
      </c>
      <c r="P12" s="76" t="s">
        <v>809</v>
      </c>
      <c r="Q12" s="76" t="s">
        <v>810</v>
      </c>
      <c r="R12" s="76" t="s">
        <v>811</v>
      </c>
      <c r="S12" s="76" t="s">
        <v>812</v>
      </c>
      <c r="T12" s="75" t="s">
        <v>813</v>
      </c>
      <c r="U12" s="75" t="s">
        <v>814</v>
      </c>
      <c r="V12" s="75" t="s">
        <v>815</v>
      </c>
      <c r="W12" s="75" t="s">
        <v>816</v>
      </c>
      <c r="X12" s="75" t="s">
        <v>817</v>
      </c>
      <c r="Y12" s="75" t="s">
        <v>818</v>
      </c>
      <c r="Z12" s="75" t="s">
        <v>819</v>
      </c>
      <c r="AA12" s="75" t="s">
        <v>820</v>
      </c>
      <c r="AB12" s="75" t="s">
        <v>821</v>
      </c>
      <c r="AC12" s="75" t="s">
        <v>826</v>
      </c>
      <c r="AD12" s="75" t="s">
        <v>825</v>
      </c>
      <c r="AE12" s="75" t="s">
        <v>822</v>
      </c>
    </row>
    <row r="13" spans="1:31" x14ac:dyDescent="0.25">
      <c r="A13" s="97" t="s">
        <v>29</v>
      </c>
      <c r="B13" s="99" t="s">
        <v>177</v>
      </c>
      <c r="C13" s="100" t="s">
        <v>81</v>
      </c>
      <c r="D13" s="101" t="s">
        <v>615</v>
      </c>
      <c r="E13" s="18" t="s">
        <v>687</v>
      </c>
      <c r="F13" s="70" t="s">
        <v>33</v>
      </c>
      <c r="G13" s="113" t="s">
        <v>827</v>
      </c>
      <c r="H13" s="77"/>
      <c r="I13" s="77">
        <v>0.26640000000000003</v>
      </c>
      <c r="J13" s="77">
        <v>0.10249999999999999</v>
      </c>
      <c r="K13" s="77">
        <v>0.13539999999999999</v>
      </c>
      <c r="L13" s="77">
        <v>0.1188</v>
      </c>
      <c r="M13" s="77"/>
      <c r="N13" s="77"/>
      <c r="O13" s="77">
        <v>0.12130000000000001</v>
      </c>
      <c r="P13" s="77"/>
      <c r="Q13" s="77"/>
      <c r="R13" s="77">
        <v>9.4299999999999995E-2</v>
      </c>
      <c r="S13" s="77"/>
      <c r="T13" s="77"/>
      <c r="U13" s="77">
        <v>7.1999999999999995E-2</v>
      </c>
      <c r="V13" s="77"/>
      <c r="W13" s="77"/>
      <c r="X13" s="77">
        <v>5.16E-2</v>
      </c>
      <c r="Y13" s="77"/>
      <c r="Z13" s="77"/>
      <c r="AA13" s="77"/>
      <c r="AB13" s="77"/>
      <c r="AC13" s="77"/>
      <c r="AD13" s="77"/>
      <c r="AE13" s="77"/>
    </row>
    <row r="14" spans="1:31" x14ac:dyDescent="0.25">
      <c r="A14" s="3" t="s">
        <v>29</v>
      </c>
      <c r="B14" s="4" t="s">
        <v>30</v>
      </c>
      <c r="C14" s="5" t="s">
        <v>81</v>
      </c>
      <c r="D14" s="2" t="s">
        <v>31</v>
      </c>
      <c r="E14" s="18" t="s">
        <v>32</v>
      </c>
      <c r="F14" s="70" t="s">
        <v>33</v>
      </c>
      <c r="G14" s="113" t="s">
        <v>827</v>
      </c>
      <c r="H14" s="77"/>
      <c r="I14" s="77">
        <v>0.26640000000000003</v>
      </c>
      <c r="J14" s="77">
        <v>0.10249999999999999</v>
      </c>
      <c r="K14" s="77">
        <v>0.13539999999999999</v>
      </c>
      <c r="L14" s="77">
        <v>0.1188</v>
      </c>
      <c r="M14" s="77"/>
      <c r="N14" s="77"/>
      <c r="O14" s="77">
        <v>0.12130000000000001</v>
      </c>
      <c r="P14" s="77"/>
      <c r="Q14" s="77"/>
      <c r="R14" s="77">
        <v>9.4299999999999995E-2</v>
      </c>
      <c r="S14" s="77"/>
      <c r="T14" s="77"/>
      <c r="U14" s="77">
        <v>7.1999999999999995E-2</v>
      </c>
      <c r="V14" s="77"/>
      <c r="W14" s="77"/>
      <c r="X14" s="77">
        <v>5.16E-2</v>
      </c>
      <c r="Y14" s="77"/>
      <c r="Z14" s="77"/>
      <c r="AA14" s="77"/>
      <c r="AB14" s="77"/>
      <c r="AC14" s="77"/>
      <c r="AD14" s="77"/>
      <c r="AE14" s="77"/>
    </row>
    <row r="15" spans="1:31" x14ac:dyDescent="0.25">
      <c r="A15" s="92" t="s">
        <v>29</v>
      </c>
      <c r="B15" s="93" t="s">
        <v>73</v>
      </c>
      <c r="C15" s="94" t="s">
        <v>81</v>
      </c>
      <c r="D15" s="96" t="s">
        <v>247</v>
      </c>
      <c r="E15" s="18" t="s">
        <v>248</v>
      </c>
      <c r="F15" s="70" t="s">
        <v>33</v>
      </c>
      <c r="G15" s="113" t="s">
        <v>827</v>
      </c>
      <c r="H15" s="77"/>
      <c r="I15" s="77">
        <v>0.26640000000000003</v>
      </c>
      <c r="J15" s="77">
        <v>0.10249999999999999</v>
      </c>
      <c r="K15" s="77">
        <v>0.13539999999999999</v>
      </c>
      <c r="L15" s="77">
        <v>0.1188</v>
      </c>
      <c r="M15" s="77"/>
      <c r="N15" s="77"/>
      <c r="O15" s="77">
        <v>0.12130000000000001</v>
      </c>
      <c r="P15" s="77"/>
      <c r="Q15" s="77"/>
      <c r="R15" s="77">
        <v>9.4299999999999995E-2</v>
      </c>
      <c r="S15" s="77"/>
      <c r="T15" s="77"/>
      <c r="U15" s="77">
        <v>7.1999999999999995E-2</v>
      </c>
      <c r="V15" s="77"/>
      <c r="W15" s="77"/>
      <c r="X15" s="77">
        <v>5.16E-2</v>
      </c>
      <c r="Y15" s="77"/>
      <c r="Z15" s="77"/>
      <c r="AA15" s="77"/>
      <c r="AB15" s="77"/>
      <c r="AC15" s="77"/>
      <c r="AD15" s="77"/>
      <c r="AE15" s="77"/>
    </row>
    <row r="16" spans="1:31" x14ac:dyDescent="0.25">
      <c r="A16" s="92" t="s">
        <v>29</v>
      </c>
      <c r="B16" s="93" t="s">
        <v>73</v>
      </c>
      <c r="C16" s="94" t="s">
        <v>81</v>
      </c>
      <c r="D16" s="115" t="s">
        <v>247</v>
      </c>
      <c r="E16" s="119" t="s">
        <v>248</v>
      </c>
      <c r="F16" s="70" t="s">
        <v>33</v>
      </c>
      <c r="G16" s="113" t="s">
        <v>827</v>
      </c>
      <c r="H16" s="77"/>
      <c r="I16" s="77">
        <v>0.26640000000000003</v>
      </c>
      <c r="J16" s="77">
        <v>0.10249999999999999</v>
      </c>
      <c r="K16" s="77">
        <v>0.13539999999999999</v>
      </c>
      <c r="L16" s="77">
        <v>0.1188</v>
      </c>
      <c r="M16" s="77"/>
      <c r="N16" s="77"/>
      <c r="O16" s="77">
        <v>0.12130000000000001</v>
      </c>
      <c r="P16" s="77"/>
      <c r="Q16" s="77"/>
      <c r="R16" s="77">
        <v>9.4299999999999995E-2</v>
      </c>
      <c r="S16" s="77"/>
      <c r="T16" s="77"/>
      <c r="U16" s="77">
        <v>7.1999999999999995E-2</v>
      </c>
      <c r="V16" s="77"/>
      <c r="W16" s="77"/>
      <c r="X16" s="77">
        <v>5.16E-2</v>
      </c>
      <c r="Y16" s="77"/>
      <c r="Z16" s="77"/>
      <c r="AA16" s="77"/>
      <c r="AB16" s="77"/>
      <c r="AC16" s="77"/>
      <c r="AD16" s="77"/>
      <c r="AE16" s="77"/>
    </row>
    <row r="17" spans="1:31" x14ac:dyDescent="0.25">
      <c r="A17" s="3" t="s">
        <v>29</v>
      </c>
      <c r="B17" s="4" t="s">
        <v>73</v>
      </c>
      <c r="C17" s="5" t="s">
        <v>81</v>
      </c>
      <c r="D17" s="2" t="s">
        <v>82</v>
      </c>
      <c r="E17" s="18" t="s">
        <v>83</v>
      </c>
      <c r="F17" s="70" t="s">
        <v>33</v>
      </c>
      <c r="G17" s="113" t="s">
        <v>827</v>
      </c>
      <c r="H17" s="77"/>
      <c r="I17" s="77">
        <v>0.26640000000000003</v>
      </c>
      <c r="J17" s="77">
        <v>0.10249999999999999</v>
      </c>
      <c r="K17" s="77">
        <v>0.13539999999999999</v>
      </c>
      <c r="L17" s="77">
        <v>0.1188</v>
      </c>
      <c r="M17" s="77"/>
      <c r="N17" s="77"/>
      <c r="O17" s="77">
        <v>0.12130000000000001</v>
      </c>
      <c r="P17" s="77"/>
      <c r="Q17" s="77"/>
      <c r="R17" s="77">
        <v>9.4299999999999995E-2</v>
      </c>
      <c r="S17" s="77"/>
      <c r="T17" s="77"/>
      <c r="U17" s="77">
        <v>7.1999999999999995E-2</v>
      </c>
      <c r="V17" s="77"/>
      <c r="W17" s="77"/>
      <c r="X17" s="77">
        <v>5.16E-2</v>
      </c>
      <c r="Y17" s="77"/>
      <c r="Z17" s="77"/>
      <c r="AA17" s="77"/>
      <c r="AB17" s="77"/>
      <c r="AC17" s="77"/>
      <c r="AD17" s="77"/>
      <c r="AE17" s="77"/>
    </row>
    <row r="18" spans="1:31" x14ac:dyDescent="0.25">
      <c r="A18" s="92" t="s">
        <v>29</v>
      </c>
      <c r="B18" s="93" t="s">
        <v>87</v>
      </c>
      <c r="C18" s="94" t="s">
        <v>81</v>
      </c>
      <c r="D18" s="95" t="s">
        <v>208</v>
      </c>
      <c r="E18" s="18" t="s">
        <v>209</v>
      </c>
      <c r="F18" s="70" t="s">
        <v>33</v>
      </c>
      <c r="G18" s="113" t="s">
        <v>827</v>
      </c>
      <c r="H18" s="77"/>
      <c r="I18" s="77">
        <v>0.26640000000000003</v>
      </c>
      <c r="J18" s="77">
        <v>0.10249999999999999</v>
      </c>
      <c r="K18" s="77">
        <v>0.13539999999999999</v>
      </c>
      <c r="L18" s="77">
        <v>0.1188</v>
      </c>
      <c r="M18" s="77"/>
      <c r="N18" s="77"/>
      <c r="O18" s="77">
        <v>0.12130000000000001</v>
      </c>
      <c r="P18" s="77"/>
      <c r="Q18" s="77"/>
      <c r="R18" s="77">
        <v>9.4299999999999995E-2</v>
      </c>
      <c r="S18" s="77"/>
      <c r="T18" s="77"/>
      <c r="U18" s="77">
        <v>7.1999999999999995E-2</v>
      </c>
      <c r="V18" s="77"/>
      <c r="W18" s="77"/>
      <c r="X18" s="77">
        <v>5.16E-2</v>
      </c>
      <c r="Y18" s="77"/>
      <c r="Z18" s="77"/>
      <c r="AA18" s="77"/>
      <c r="AB18" s="77"/>
      <c r="AC18" s="77"/>
      <c r="AD18" s="77"/>
      <c r="AE18" s="77"/>
    </row>
    <row r="19" spans="1:31" x14ac:dyDescent="0.25">
      <c r="A19" s="3" t="s">
        <v>29</v>
      </c>
      <c r="B19" s="4" t="s">
        <v>87</v>
      </c>
      <c r="C19" s="5" t="s">
        <v>81</v>
      </c>
      <c r="D19" s="1" t="s">
        <v>88</v>
      </c>
      <c r="E19" s="18" t="s">
        <v>89</v>
      </c>
      <c r="F19" s="70" t="s">
        <v>33</v>
      </c>
      <c r="G19" s="113" t="s">
        <v>827</v>
      </c>
      <c r="H19" s="77"/>
      <c r="I19" s="77">
        <v>0.26640000000000003</v>
      </c>
      <c r="J19" s="77">
        <v>0.10249999999999999</v>
      </c>
      <c r="K19" s="77">
        <v>0.13539999999999999</v>
      </c>
      <c r="L19" s="77">
        <v>0.1188</v>
      </c>
      <c r="M19" s="77"/>
      <c r="N19" s="77"/>
      <c r="O19" s="77">
        <v>0.12130000000000001</v>
      </c>
      <c r="P19" s="77"/>
      <c r="Q19" s="77"/>
      <c r="R19" s="77">
        <v>9.4299999999999995E-2</v>
      </c>
      <c r="S19" s="77"/>
      <c r="T19" s="77"/>
      <c r="U19" s="77">
        <v>7.1999999999999995E-2</v>
      </c>
      <c r="V19" s="77"/>
      <c r="W19" s="77"/>
      <c r="X19" s="77">
        <v>5.16E-2</v>
      </c>
      <c r="Y19" s="77"/>
      <c r="Z19" s="77"/>
      <c r="AA19" s="77"/>
      <c r="AB19" s="77"/>
      <c r="AC19" s="77"/>
      <c r="AD19" s="77"/>
      <c r="AE19" s="77"/>
    </row>
    <row r="20" spans="1:31" x14ac:dyDescent="0.25">
      <c r="A20" s="92" t="s">
        <v>29</v>
      </c>
      <c r="B20" s="93" t="s">
        <v>87</v>
      </c>
      <c r="C20" s="94" t="s">
        <v>81</v>
      </c>
      <c r="D20" s="96" t="s">
        <v>255</v>
      </c>
      <c r="E20" s="18" t="s">
        <v>256</v>
      </c>
      <c r="F20" s="70" t="s">
        <v>33</v>
      </c>
      <c r="G20" s="113" t="s">
        <v>827</v>
      </c>
      <c r="H20" s="77"/>
      <c r="I20" s="77">
        <v>0.26640000000000003</v>
      </c>
      <c r="J20" s="77">
        <v>0.10249999999999999</v>
      </c>
      <c r="K20" s="77">
        <v>0.13539999999999999</v>
      </c>
      <c r="L20" s="77">
        <v>0.1188</v>
      </c>
      <c r="M20" s="77"/>
      <c r="N20" s="77"/>
      <c r="O20" s="77">
        <v>0.12130000000000001</v>
      </c>
      <c r="P20" s="77"/>
      <c r="Q20" s="77"/>
      <c r="R20" s="77">
        <v>9.4299999999999995E-2</v>
      </c>
      <c r="S20" s="77"/>
      <c r="T20" s="77"/>
      <c r="U20" s="77">
        <v>7.1999999999999995E-2</v>
      </c>
      <c r="V20" s="77"/>
      <c r="W20" s="77"/>
      <c r="X20" s="77">
        <v>5.16E-2</v>
      </c>
      <c r="Y20" s="77"/>
      <c r="Z20" s="77"/>
      <c r="AA20" s="77"/>
      <c r="AB20" s="77"/>
      <c r="AC20" s="77"/>
      <c r="AD20" s="77"/>
      <c r="AE20" s="77"/>
    </row>
    <row r="21" spans="1:31" x14ac:dyDescent="0.25">
      <c r="A21" s="92" t="s">
        <v>29</v>
      </c>
      <c r="B21" s="93" t="s">
        <v>73</v>
      </c>
      <c r="C21" s="94" t="s">
        <v>81</v>
      </c>
      <c r="D21" s="95" t="s">
        <v>251</v>
      </c>
      <c r="E21" s="18" t="s">
        <v>252</v>
      </c>
      <c r="F21" s="70" t="s">
        <v>33</v>
      </c>
      <c r="G21" s="113" t="s">
        <v>827</v>
      </c>
      <c r="H21" s="77"/>
      <c r="I21" s="77">
        <v>0.26640000000000003</v>
      </c>
      <c r="J21" s="77">
        <v>0.10249999999999999</v>
      </c>
      <c r="K21" s="77">
        <v>0.13539999999999999</v>
      </c>
      <c r="L21" s="77">
        <v>0.1188</v>
      </c>
      <c r="M21" s="77"/>
      <c r="N21" s="77"/>
      <c r="O21" s="77">
        <v>0.12130000000000001</v>
      </c>
      <c r="P21" s="77"/>
      <c r="Q21" s="77"/>
      <c r="R21" s="77">
        <v>9.4299999999999995E-2</v>
      </c>
      <c r="S21" s="77"/>
      <c r="T21" s="77"/>
      <c r="U21" s="77">
        <v>7.1999999999999995E-2</v>
      </c>
      <c r="V21" s="77"/>
      <c r="W21" s="77"/>
      <c r="X21" s="77">
        <v>5.16E-2</v>
      </c>
      <c r="Y21" s="77"/>
      <c r="Z21" s="77"/>
      <c r="AA21" s="77"/>
      <c r="AB21" s="77"/>
      <c r="AC21" s="77"/>
      <c r="AD21" s="77"/>
      <c r="AE21" s="77"/>
    </row>
    <row r="22" spans="1:31" x14ac:dyDescent="0.25">
      <c r="A22" s="3" t="s">
        <v>29</v>
      </c>
      <c r="B22" s="4" t="s">
        <v>73</v>
      </c>
      <c r="C22" s="5" t="s">
        <v>81</v>
      </c>
      <c r="D22" s="2" t="s">
        <v>98</v>
      </c>
      <c r="E22" s="18" t="s">
        <v>99</v>
      </c>
      <c r="F22" s="70" t="s">
        <v>33</v>
      </c>
      <c r="G22" s="113" t="s">
        <v>827</v>
      </c>
      <c r="H22" s="77"/>
      <c r="I22" s="77">
        <v>0.26640000000000003</v>
      </c>
      <c r="J22" s="77">
        <v>0.10249999999999999</v>
      </c>
      <c r="K22" s="77">
        <v>0.13539999999999999</v>
      </c>
      <c r="L22" s="77">
        <v>0.1188</v>
      </c>
      <c r="M22" s="77"/>
      <c r="N22" s="77"/>
      <c r="O22" s="77">
        <v>0.12130000000000001</v>
      </c>
      <c r="P22" s="77"/>
      <c r="Q22" s="77"/>
      <c r="R22" s="77">
        <v>9.4299999999999995E-2</v>
      </c>
      <c r="S22" s="77"/>
      <c r="T22" s="77"/>
      <c r="U22" s="77">
        <v>7.1999999999999995E-2</v>
      </c>
      <c r="V22" s="77"/>
      <c r="W22" s="77"/>
      <c r="X22" s="77">
        <v>5.16E-2</v>
      </c>
      <c r="Y22" s="77"/>
      <c r="Z22" s="77"/>
      <c r="AA22" s="77"/>
      <c r="AB22" s="77"/>
      <c r="AC22" s="77"/>
      <c r="AD22" s="77"/>
      <c r="AE22" s="77"/>
    </row>
    <row r="23" spans="1:31" x14ac:dyDescent="0.25">
      <c r="A23" s="92" t="s">
        <v>29</v>
      </c>
      <c r="B23" s="93" t="s">
        <v>177</v>
      </c>
      <c r="C23" s="94" t="s">
        <v>81</v>
      </c>
      <c r="D23" s="96" t="s">
        <v>639</v>
      </c>
      <c r="E23" s="18" t="s">
        <v>699</v>
      </c>
      <c r="F23" s="70" t="s">
        <v>33</v>
      </c>
      <c r="G23" s="113" t="s">
        <v>827</v>
      </c>
      <c r="H23" s="77"/>
      <c r="I23" s="77">
        <v>0.26640000000000003</v>
      </c>
      <c r="J23" s="77">
        <v>0.10249999999999999</v>
      </c>
      <c r="K23" s="77">
        <v>0.13539999999999999</v>
      </c>
      <c r="L23" s="77">
        <v>0.1188</v>
      </c>
      <c r="M23" s="77"/>
      <c r="N23" s="77"/>
      <c r="O23" s="77">
        <v>0.12130000000000001</v>
      </c>
      <c r="P23" s="77"/>
      <c r="Q23" s="77"/>
      <c r="R23" s="77">
        <v>9.4299999999999995E-2</v>
      </c>
      <c r="S23" s="77"/>
      <c r="T23" s="77"/>
      <c r="U23" s="77">
        <v>7.1999999999999995E-2</v>
      </c>
      <c r="V23" s="77"/>
      <c r="W23" s="77"/>
      <c r="X23" s="77">
        <v>5.16E-2</v>
      </c>
      <c r="Y23" s="77"/>
      <c r="Z23" s="77"/>
      <c r="AA23" s="77"/>
      <c r="AB23" s="77"/>
      <c r="AC23" s="77"/>
      <c r="AD23" s="77"/>
      <c r="AE23" s="77"/>
    </row>
    <row r="24" spans="1:31" x14ac:dyDescent="0.25">
      <c r="A24" s="3" t="s">
        <v>29</v>
      </c>
      <c r="B24" s="4" t="s">
        <v>73</v>
      </c>
      <c r="C24" s="5" t="s">
        <v>81</v>
      </c>
      <c r="D24" s="2" t="s">
        <v>158</v>
      </c>
      <c r="E24" s="18" t="s">
        <v>159</v>
      </c>
      <c r="F24" s="70" t="s">
        <v>33</v>
      </c>
      <c r="G24" s="113" t="s">
        <v>827</v>
      </c>
      <c r="H24" s="77"/>
      <c r="I24" s="77">
        <v>0.26640000000000003</v>
      </c>
      <c r="J24" s="77">
        <v>0.10249999999999999</v>
      </c>
      <c r="K24" s="77">
        <v>0.13539999999999999</v>
      </c>
      <c r="L24" s="77">
        <v>0.1188</v>
      </c>
      <c r="M24" s="77"/>
      <c r="N24" s="77"/>
      <c r="O24" s="77">
        <v>0.12130000000000001</v>
      </c>
      <c r="P24" s="77"/>
      <c r="Q24" s="77"/>
      <c r="R24" s="77">
        <v>9.4299999999999995E-2</v>
      </c>
      <c r="S24" s="77"/>
      <c r="T24" s="77"/>
      <c r="U24" s="77">
        <v>7.1999999999999995E-2</v>
      </c>
      <c r="V24" s="77"/>
      <c r="W24" s="77"/>
      <c r="X24" s="77">
        <v>5.16E-2</v>
      </c>
      <c r="Y24" s="77"/>
      <c r="Z24" s="77"/>
      <c r="AA24" s="77"/>
      <c r="AB24" s="77"/>
      <c r="AC24" s="77"/>
      <c r="AD24" s="77"/>
      <c r="AE24" s="77"/>
    </row>
    <row r="25" spans="1:31" x14ac:dyDescent="0.25">
      <c r="A25" s="92" t="s">
        <v>29</v>
      </c>
      <c r="B25" s="109" t="s">
        <v>177</v>
      </c>
      <c r="C25" s="110" t="s">
        <v>81</v>
      </c>
      <c r="D25" s="111" t="s">
        <v>219</v>
      </c>
      <c r="E25" s="18" t="s">
        <v>220</v>
      </c>
      <c r="F25" s="70" t="s">
        <v>33</v>
      </c>
      <c r="G25" s="113" t="s">
        <v>827</v>
      </c>
      <c r="H25" s="77"/>
      <c r="I25" s="77">
        <v>0.26640000000000003</v>
      </c>
      <c r="J25" s="77">
        <v>0.10249999999999999</v>
      </c>
      <c r="K25" s="77">
        <v>0.13539999999999999</v>
      </c>
      <c r="L25" s="77">
        <v>0.1188</v>
      </c>
      <c r="M25" s="77"/>
      <c r="N25" s="77"/>
      <c r="O25" s="77">
        <v>0.12130000000000001</v>
      </c>
      <c r="P25" s="77"/>
      <c r="Q25" s="77"/>
      <c r="R25" s="77">
        <v>9.4299999999999995E-2</v>
      </c>
      <c r="S25" s="77"/>
      <c r="T25" s="77"/>
      <c r="U25" s="77">
        <v>7.1999999999999995E-2</v>
      </c>
      <c r="V25" s="77"/>
      <c r="W25" s="77"/>
      <c r="X25" s="77">
        <v>5.16E-2</v>
      </c>
      <c r="Y25" s="77"/>
      <c r="Z25" s="77"/>
      <c r="AA25" s="77"/>
      <c r="AB25" s="77"/>
      <c r="AC25" s="77"/>
      <c r="AD25" s="77"/>
      <c r="AE25" s="77"/>
    </row>
    <row r="26" spans="1:31" x14ac:dyDescent="0.25">
      <c r="A26" s="3" t="s">
        <v>29</v>
      </c>
      <c r="B26" s="4" t="s">
        <v>42</v>
      </c>
      <c r="C26" s="8" t="s">
        <v>43</v>
      </c>
      <c r="D26" s="1" t="s">
        <v>43</v>
      </c>
      <c r="E26" s="18" t="s">
        <v>44</v>
      </c>
      <c r="F26" s="70" t="s">
        <v>33</v>
      </c>
      <c r="G26" s="113" t="s">
        <v>827</v>
      </c>
      <c r="H26" s="77"/>
      <c r="I26" s="77">
        <v>0.26640000000000003</v>
      </c>
      <c r="J26" s="77">
        <v>0.10249999999999999</v>
      </c>
      <c r="K26" s="77">
        <v>0.13539999999999999</v>
      </c>
      <c r="L26" s="77">
        <v>0.1188</v>
      </c>
      <c r="M26" s="77"/>
      <c r="N26" s="77"/>
      <c r="O26" s="77">
        <v>0.12130000000000001</v>
      </c>
      <c r="P26" s="77"/>
      <c r="Q26" s="77"/>
      <c r="R26" s="77">
        <v>9.4299999999999995E-2</v>
      </c>
      <c r="S26" s="77"/>
      <c r="T26" s="77"/>
      <c r="U26" s="77">
        <v>7.1999999999999995E-2</v>
      </c>
      <c r="V26" s="77"/>
      <c r="W26" s="77"/>
      <c r="X26" s="77">
        <v>5.16E-2</v>
      </c>
      <c r="Y26" s="77"/>
      <c r="Z26" s="77"/>
      <c r="AA26" s="77"/>
      <c r="AB26" s="77"/>
      <c r="AC26" s="77"/>
      <c r="AD26" s="77"/>
      <c r="AE26" s="77"/>
    </row>
    <row r="27" spans="1:31" x14ac:dyDescent="0.25">
      <c r="A27" s="3" t="s">
        <v>29</v>
      </c>
      <c r="B27" s="4" t="s">
        <v>70</v>
      </c>
      <c r="C27" s="8" t="s">
        <v>95</v>
      </c>
      <c r="D27" s="1" t="s">
        <v>96</v>
      </c>
      <c r="E27" s="18" t="s">
        <v>97</v>
      </c>
      <c r="F27" s="70" t="s">
        <v>33</v>
      </c>
      <c r="G27" s="113" t="s">
        <v>827</v>
      </c>
      <c r="H27" s="77"/>
      <c r="I27" s="77">
        <v>0.26640000000000003</v>
      </c>
      <c r="J27" s="77">
        <v>0.10249999999999999</v>
      </c>
      <c r="K27" s="77">
        <v>0.13539999999999999</v>
      </c>
      <c r="L27" s="77">
        <v>0.1188</v>
      </c>
      <c r="M27" s="77"/>
      <c r="N27" s="77"/>
      <c r="O27" s="77">
        <v>0.12130000000000001</v>
      </c>
      <c r="P27" s="77"/>
      <c r="Q27" s="77"/>
      <c r="R27" s="77">
        <v>9.4299999999999995E-2</v>
      </c>
      <c r="S27" s="77"/>
      <c r="T27" s="77"/>
      <c r="U27" s="77">
        <v>7.1999999999999995E-2</v>
      </c>
      <c r="V27" s="77"/>
      <c r="W27" s="77"/>
      <c r="X27" s="77">
        <v>5.16E-2</v>
      </c>
      <c r="Y27" s="77"/>
      <c r="Z27" s="77"/>
      <c r="AA27" s="77"/>
      <c r="AB27" s="77"/>
      <c r="AC27" s="77"/>
      <c r="AD27" s="77"/>
      <c r="AE27" s="77"/>
    </row>
    <row r="28" spans="1:31" x14ac:dyDescent="0.25">
      <c r="A28" s="3" t="s">
        <v>29</v>
      </c>
      <c r="B28" s="4" t="s">
        <v>70</v>
      </c>
      <c r="C28" s="8" t="s">
        <v>95</v>
      </c>
      <c r="D28" s="1" t="s">
        <v>117</v>
      </c>
      <c r="E28" s="18" t="s">
        <v>118</v>
      </c>
      <c r="F28" s="70" t="s">
        <v>33</v>
      </c>
      <c r="G28" s="113" t="s">
        <v>827</v>
      </c>
      <c r="H28" s="77"/>
      <c r="I28" s="77">
        <v>0.26640000000000003</v>
      </c>
      <c r="J28" s="77">
        <v>0.10249999999999999</v>
      </c>
      <c r="K28" s="77">
        <v>0.13539999999999999</v>
      </c>
      <c r="L28" s="77">
        <v>0.1188</v>
      </c>
      <c r="M28" s="77"/>
      <c r="N28" s="77"/>
      <c r="O28" s="77">
        <v>0.12130000000000001</v>
      </c>
      <c r="P28" s="77"/>
      <c r="Q28" s="77"/>
      <c r="R28" s="77">
        <v>9.4299999999999995E-2</v>
      </c>
      <c r="S28" s="77"/>
      <c r="T28" s="77"/>
      <c r="U28" s="77">
        <v>7.1999999999999995E-2</v>
      </c>
      <c r="V28" s="77"/>
      <c r="W28" s="77"/>
      <c r="X28" s="77">
        <v>5.16E-2</v>
      </c>
      <c r="Y28" s="77"/>
      <c r="Z28" s="77"/>
      <c r="AA28" s="77"/>
      <c r="AB28" s="77"/>
      <c r="AC28" s="77"/>
      <c r="AD28" s="77"/>
      <c r="AE28" s="77"/>
    </row>
    <row r="29" spans="1:31" x14ac:dyDescent="0.25">
      <c r="A29" s="3" t="s">
        <v>29</v>
      </c>
      <c r="B29" s="4" t="s">
        <v>34</v>
      </c>
      <c r="C29" s="5" t="s">
        <v>51</v>
      </c>
      <c r="D29" s="2" t="s">
        <v>52</v>
      </c>
      <c r="E29" s="18" t="s">
        <v>53</v>
      </c>
      <c r="F29" s="70" t="s">
        <v>33</v>
      </c>
      <c r="G29" s="113" t="s">
        <v>827</v>
      </c>
      <c r="H29" s="77"/>
      <c r="I29" s="77">
        <v>0.26640000000000003</v>
      </c>
      <c r="J29" s="77">
        <v>0.10249999999999999</v>
      </c>
      <c r="K29" s="77">
        <v>0.13539999999999999</v>
      </c>
      <c r="L29" s="77">
        <v>0.1188</v>
      </c>
      <c r="M29" s="77"/>
      <c r="N29" s="77"/>
      <c r="O29" s="77">
        <v>0.12130000000000001</v>
      </c>
      <c r="P29" s="77"/>
      <c r="Q29" s="77"/>
      <c r="R29" s="77">
        <v>9.4299999999999995E-2</v>
      </c>
      <c r="S29" s="77"/>
      <c r="T29" s="77"/>
      <c r="U29" s="77">
        <v>7.1999999999999995E-2</v>
      </c>
      <c r="V29" s="77"/>
      <c r="W29" s="77"/>
      <c r="X29" s="77">
        <v>5.16E-2</v>
      </c>
      <c r="Y29" s="77"/>
      <c r="Z29" s="77"/>
      <c r="AA29" s="77"/>
      <c r="AB29" s="77"/>
      <c r="AC29" s="77"/>
      <c r="AD29" s="77"/>
      <c r="AE29" s="77"/>
    </row>
    <row r="30" spans="1:31" x14ac:dyDescent="0.25">
      <c r="A30" s="3" t="s">
        <v>29</v>
      </c>
      <c r="B30" s="4" t="s">
        <v>34</v>
      </c>
      <c r="C30" s="5" t="s">
        <v>51</v>
      </c>
      <c r="D30" s="2" t="s">
        <v>68</v>
      </c>
      <c r="E30" s="18" t="s">
        <v>69</v>
      </c>
      <c r="F30" s="70" t="s">
        <v>33</v>
      </c>
      <c r="G30" s="113" t="s">
        <v>827</v>
      </c>
      <c r="H30" s="77"/>
      <c r="I30" s="77">
        <v>0.26640000000000003</v>
      </c>
      <c r="J30" s="77">
        <v>0.10249999999999999</v>
      </c>
      <c r="K30" s="77">
        <v>0.13539999999999999</v>
      </c>
      <c r="L30" s="77">
        <v>0.1188</v>
      </c>
      <c r="M30" s="77"/>
      <c r="N30" s="77"/>
      <c r="O30" s="77">
        <v>0.12130000000000001</v>
      </c>
      <c r="P30" s="77"/>
      <c r="Q30" s="77"/>
      <c r="R30" s="77">
        <v>9.4299999999999995E-2</v>
      </c>
      <c r="S30" s="77"/>
      <c r="T30" s="77"/>
      <c r="U30" s="77">
        <v>7.1999999999999995E-2</v>
      </c>
      <c r="V30" s="77"/>
      <c r="W30" s="77"/>
      <c r="X30" s="77">
        <v>5.16E-2</v>
      </c>
      <c r="Y30" s="77"/>
      <c r="Z30" s="77"/>
      <c r="AA30" s="77"/>
      <c r="AB30" s="77"/>
      <c r="AC30" s="77"/>
      <c r="AD30" s="77"/>
      <c r="AE30" s="77"/>
    </row>
    <row r="31" spans="1:31" x14ac:dyDescent="0.25">
      <c r="A31" s="3" t="s">
        <v>29</v>
      </c>
      <c r="B31" s="4" t="s">
        <v>34</v>
      </c>
      <c r="C31" s="6" t="s">
        <v>51</v>
      </c>
      <c r="D31" s="1" t="s">
        <v>109</v>
      </c>
      <c r="E31" s="18" t="s">
        <v>110</v>
      </c>
      <c r="F31" s="70" t="s">
        <v>33</v>
      </c>
      <c r="G31" s="113" t="s">
        <v>827</v>
      </c>
      <c r="H31" s="77"/>
      <c r="I31" s="77">
        <v>0.26640000000000003</v>
      </c>
      <c r="J31" s="77">
        <v>0.10249999999999999</v>
      </c>
      <c r="K31" s="77">
        <v>0.13539999999999999</v>
      </c>
      <c r="L31" s="77">
        <v>0.1188</v>
      </c>
      <c r="M31" s="77"/>
      <c r="N31" s="77"/>
      <c r="O31" s="77">
        <v>0.12130000000000001</v>
      </c>
      <c r="P31" s="77"/>
      <c r="Q31" s="77"/>
      <c r="R31" s="77">
        <v>9.4299999999999995E-2</v>
      </c>
      <c r="S31" s="77"/>
      <c r="T31" s="77"/>
      <c r="U31" s="77">
        <v>7.1999999999999995E-2</v>
      </c>
      <c r="V31" s="77"/>
      <c r="W31" s="77"/>
      <c r="X31" s="77">
        <v>5.16E-2</v>
      </c>
      <c r="Y31" s="77"/>
      <c r="Z31" s="77"/>
      <c r="AA31" s="77"/>
      <c r="AB31" s="77"/>
      <c r="AC31" s="77"/>
      <c r="AD31" s="77"/>
      <c r="AE31" s="77"/>
    </row>
    <row r="32" spans="1:31" x14ac:dyDescent="0.25">
      <c r="A32" s="3" t="s">
        <v>29</v>
      </c>
      <c r="B32" s="4" t="s">
        <v>34</v>
      </c>
      <c r="C32" s="6" t="s">
        <v>51</v>
      </c>
      <c r="D32" s="2" t="s">
        <v>113</v>
      </c>
      <c r="E32" s="18" t="s">
        <v>114</v>
      </c>
      <c r="F32" s="70" t="s">
        <v>33</v>
      </c>
      <c r="G32" s="113" t="s">
        <v>827</v>
      </c>
      <c r="H32" s="77"/>
      <c r="I32" s="77">
        <v>0.26640000000000003</v>
      </c>
      <c r="J32" s="77">
        <v>0.10249999999999999</v>
      </c>
      <c r="K32" s="77">
        <v>0.13539999999999999</v>
      </c>
      <c r="L32" s="77">
        <v>0.1188</v>
      </c>
      <c r="M32" s="77"/>
      <c r="N32" s="77"/>
      <c r="O32" s="77">
        <v>0.12130000000000001</v>
      </c>
      <c r="P32" s="77"/>
      <c r="Q32" s="77"/>
      <c r="R32" s="77">
        <v>9.4299999999999995E-2</v>
      </c>
      <c r="S32" s="77"/>
      <c r="T32" s="77"/>
      <c r="U32" s="77">
        <v>7.1999999999999995E-2</v>
      </c>
      <c r="V32" s="77"/>
      <c r="W32" s="77"/>
      <c r="X32" s="77">
        <v>5.16E-2</v>
      </c>
      <c r="Y32" s="77"/>
      <c r="Z32" s="77"/>
      <c r="AA32" s="77"/>
      <c r="AB32" s="77"/>
      <c r="AC32" s="77"/>
      <c r="AD32" s="77"/>
      <c r="AE32" s="77"/>
    </row>
    <row r="33" spans="1:31" x14ac:dyDescent="0.25">
      <c r="A33" s="3" t="s">
        <v>29</v>
      </c>
      <c r="B33" s="4" t="s">
        <v>34</v>
      </c>
      <c r="C33" s="6" t="s">
        <v>51</v>
      </c>
      <c r="D33" s="2" t="s">
        <v>156</v>
      </c>
      <c r="E33" s="18" t="s">
        <v>157</v>
      </c>
      <c r="F33" s="70" t="s">
        <v>33</v>
      </c>
      <c r="G33" s="113" t="s">
        <v>827</v>
      </c>
      <c r="H33" s="77"/>
      <c r="I33" s="77">
        <v>0.26640000000000003</v>
      </c>
      <c r="J33" s="77">
        <v>0.10249999999999999</v>
      </c>
      <c r="K33" s="77">
        <v>0.13539999999999999</v>
      </c>
      <c r="L33" s="77">
        <v>0.1188</v>
      </c>
      <c r="M33" s="77"/>
      <c r="N33" s="77"/>
      <c r="O33" s="77">
        <v>0.12130000000000001</v>
      </c>
      <c r="P33" s="77"/>
      <c r="Q33" s="77"/>
      <c r="R33" s="77">
        <v>9.4299999999999995E-2</v>
      </c>
      <c r="S33" s="77"/>
      <c r="T33" s="77"/>
      <c r="U33" s="77">
        <v>7.1999999999999995E-2</v>
      </c>
      <c r="V33" s="77"/>
      <c r="W33" s="77"/>
      <c r="X33" s="77">
        <v>5.16E-2</v>
      </c>
      <c r="Y33" s="77"/>
      <c r="Z33" s="77"/>
      <c r="AA33" s="77"/>
      <c r="AB33" s="77"/>
      <c r="AC33" s="77"/>
      <c r="AD33" s="77"/>
      <c r="AE33" s="77"/>
    </row>
    <row r="34" spans="1:31" x14ac:dyDescent="0.25">
      <c r="A34" s="3" t="s">
        <v>29</v>
      </c>
      <c r="B34" s="4" t="s">
        <v>34</v>
      </c>
      <c r="C34" s="5" t="s">
        <v>51</v>
      </c>
      <c r="D34" s="118" t="s">
        <v>160</v>
      </c>
      <c r="E34" s="18" t="s">
        <v>161</v>
      </c>
      <c r="F34" s="70" t="s">
        <v>33</v>
      </c>
      <c r="G34" s="113" t="s">
        <v>827</v>
      </c>
      <c r="H34" s="77"/>
      <c r="I34" s="77">
        <v>0.26640000000000003</v>
      </c>
      <c r="J34" s="77">
        <v>0.10249999999999999</v>
      </c>
      <c r="K34" s="77">
        <v>0.13539999999999999</v>
      </c>
      <c r="L34" s="77">
        <v>0.1188</v>
      </c>
      <c r="M34" s="77"/>
      <c r="N34" s="77"/>
      <c r="O34" s="77">
        <v>0.12130000000000001</v>
      </c>
      <c r="P34" s="77"/>
      <c r="Q34" s="77"/>
      <c r="R34" s="77">
        <v>9.4299999999999995E-2</v>
      </c>
      <c r="S34" s="77"/>
      <c r="T34" s="77"/>
      <c r="U34" s="77">
        <v>7.1999999999999995E-2</v>
      </c>
      <c r="V34" s="77"/>
      <c r="W34" s="77"/>
      <c r="X34" s="77">
        <v>5.16E-2</v>
      </c>
      <c r="Y34" s="77"/>
      <c r="Z34" s="77"/>
      <c r="AA34" s="77"/>
      <c r="AB34" s="77"/>
      <c r="AC34" s="77"/>
      <c r="AD34" s="77"/>
      <c r="AE34" s="77"/>
    </row>
    <row r="35" spans="1:31" x14ac:dyDescent="0.25">
      <c r="A35" s="92" t="s">
        <v>29</v>
      </c>
      <c r="B35" s="93" t="s">
        <v>58</v>
      </c>
      <c r="C35" s="94" t="s">
        <v>59</v>
      </c>
      <c r="D35" s="96" t="s">
        <v>542</v>
      </c>
      <c r="E35" s="18" t="s">
        <v>701</v>
      </c>
      <c r="F35" s="70" t="s">
        <v>33</v>
      </c>
      <c r="G35" s="113" t="s">
        <v>827</v>
      </c>
      <c r="H35" s="77"/>
      <c r="I35" s="77">
        <v>0.26640000000000003</v>
      </c>
      <c r="J35" s="77">
        <v>0.10249999999999999</v>
      </c>
      <c r="K35" s="77">
        <v>0.13539999999999999</v>
      </c>
      <c r="L35" s="77">
        <v>0.1188</v>
      </c>
      <c r="M35" s="77"/>
      <c r="N35" s="77"/>
      <c r="O35" s="77">
        <v>0.12130000000000001</v>
      </c>
      <c r="P35" s="77"/>
      <c r="Q35" s="77"/>
      <c r="R35" s="77">
        <v>9.4299999999999995E-2</v>
      </c>
      <c r="S35" s="77"/>
      <c r="T35" s="77"/>
      <c r="U35" s="77">
        <v>7.1999999999999995E-2</v>
      </c>
      <c r="V35" s="77"/>
      <c r="W35" s="77"/>
      <c r="X35" s="77">
        <v>5.16E-2</v>
      </c>
      <c r="Y35" s="77"/>
      <c r="Z35" s="77"/>
      <c r="AA35" s="77"/>
      <c r="AB35" s="77"/>
      <c r="AC35" s="77"/>
      <c r="AD35" s="77"/>
      <c r="AE35" s="77"/>
    </row>
    <row r="36" spans="1:31" x14ac:dyDescent="0.25">
      <c r="A36" s="92" t="s">
        <v>29</v>
      </c>
      <c r="B36" s="93" t="s">
        <v>58</v>
      </c>
      <c r="C36" s="94" t="s">
        <v>59</v>
      </c>
      <c r="D36" s="117" t="s">
        <v>229</v>
      </c>
      <c r="E36" s="119" t="s">
        <v>230</v>
      </c>
      <c r="F36" s="70" t="s">
        <v>33</v>
      </c>
      <c r="G36" s="113" t="s">
        <v>827</v>
      </c>
      <c r="H36" s="77"/>
      <c r="I36" s="77">
        <v>0.26640000000000003</v>
      </c>
      <c r="J36" s="77">
        <v>0.10249999999999999</v>
      </c>
      <c r="K36" s="77">
        <v>0.13539999999999999</v>
      </c>
      <c r="L36" s="77">
        <v>0.1188</v>
      </c>
      <c r="M36" s="77"/>
      <c r="N36" s="77"/>
      <c r="O36" s="77">
        <v>0.12130000000000001</v>
      </c>
      <c r="P36" s="77"/>
      <c r="Q36" s="77"/>
      <c r="R36" s="77">
        <v>9.4299999999999995E-2</v>
      </c>
      <c r="S36" s="77"/>
      <c r="T36" s="77"/>
      <c r="U36" s="77">
        <v>7.1999999999999995E-2</v>
      </c>
      <c r="V36" s="77"/>
      <c r="W36" s="77"/>
      <c r="X36" s="77">
        <v>5.16E-2</v>
      </c>
      <c r="Y36" s="77"/>
      <c r="Z36" s="77"/>
      <c r="AA36" s="77"/>
      <c r="AB36" s="77"/>
      <c r="AC36" s="77"/>
      <c r="AD36" s="77"/>
      <c r="AE36" s="77"/>
    </row>
    <row r="37" spans="1:31" x14ac:dyDescent="0.25">
      <c r="A37" s="92" t="s">
        <v>29</v>
      </c>
      <c r="B37" s="93" t="s">
        <v>58</v>
      </c>
      <c r="C37" s="94" t="s">
        <v>59</v>
      </c>
      <c r="D37" s="115" t="s">
        <v>225</v>
      </c>
      <c r="E37" s="119" t="s">
        <v>226</v>
      </c>
      <c r="F37" s="70" t="s">
        <v>33</v>
      </c>
      <c r="G37" s="113" t="s">
        <v>827</v>
      </c>
      <c r="H37" s="77"/>
      <c r="I37" s="77">
        <v>0.26640000000000003</v>
      </c>
      <c r="J37" s="77">
        <v>0.10249999999999999</v>
      </c>
      <c r="K37" s="77">
        <v>0.13539999999999999</v>
      </c>
      <c r="L37" s="77">
        <v>0.1188</v>
      </c>
      <c r="M37" s="77"/>
      <c r="N37" s="77"/>
      <c r="O37" s="77">
        <v>0.12130000000000001</v>
      </c>
      <c r="P37" s="77"/>
      <c r="Q37" s="77"/>
      <c r="R37" s="77">
        <v>9.4299999999999995E-2</v>
      </c>
      <c r="S37" s="77"/>
      <c r="T37" s="77"/>
      <c r="U37" s="77">
        <v>7.1999999999999995E-2</v>
      </c>
      <c r="V37" s="77"/>
      <c r="W37" s="77"/>
      <c r="X37" s="77">
        <v>5.16E-2</v>
      </c>
      <c r="Y37" s="77"/>
      <c r="Z37" s="77"/>
      <c r="AA37" s="77"/>
      <c r="AB37" s="77"/>
      <c r="AC37" s="77"/>
      <c r="AD37" s="77"/>
      <c r="AE37" s="77"/>
    </row>
    <row r="38" spans="1:31" x14ac:dyDescent="0.25">
      <c r="A38" s="3" t="s">
        <v>29</v>
      </c>
      <c r="B38" s="4" t="s">
        <v>58</v>
      </c>
      <c r="C38" s="5" t="s">
        <v>59</v>
      </c>
      <c r="D38" s="2" t="s">
        <v>59</v>
      </c>
      <c r="E38" s="18" t="s">
        <v>60</v>
      </c>
      <c r="F38" s="70" t="s">
        <v>33</v>
      </c>
      <c r="G38" s="113" t="s">
        <v>827</v>
      </c>
      <c r="H38" s="77"/>
      <c r="I38" s="77">
        <v>0.26640000000000003</v>
      </c>
      <c r="J38" s="77">
        <v>0.10249999999999999</v>
      </c>
      <c r="K38" s="77">
        <v>0.13539999999999999</v>
      </c>
      <c r="L38" s="77">
        <v>0.1188</v>
      </c>
      <c r="M38" s="77"/>
      <c r="N38" s="77"/>
      <c r="O38" s="77">
        <v>0.12130000000000001</v>
      </c>
      <c r="P38" s="77"/>
      <c r="Q38" s="77"/>
      <c r="R38" s="77">
        <v>9.4299999999999995E-2</v>
      </c>
      <c r="S38" s="77"/>
      <c r="T38" s="77"/>
      <c r="U38" s="77">
        <v>7.1999999999999995E-2</v>
      </c>
      <c r="V38" s="77"/>
      <c r="W38" s="77"/>
      <c r="X38" s="77">
        <v>5.16E-2</v>
      </c>
      <c r="Y38" s="77"/>
      <c r="Z38" s="77"/>
      <c r="AA38" s="77"/>
      <c r="AB38" s="77"/>
      <c r="AC38" s="77"/>
      <c r="AD38" s="77"/>
      <c r="AE38" s="77"/>
    </row>
    <row r="39" spans="1:31" x14ac:dyDescent="0.25">
      <c r="A39" s="3" t="s">
        <v>29</v>
      </c>
      <c r="B39" s="4" t="s">
        <v>58</v>
      </c>
      <c r="C39" s="5" t="s">
        <v>59</v>
      </c>
      <c r="D39" s="1" t="s">
        <v>119</v>
      </c>
      <c r="E39" s="18" t="s">
        <v>120</v>
      </c>
      <c r="F39" s="70" t="s">
        <v>33</v>
      </c>
      <c r="G39" s="113" t="s">
        <v>827</v>
      </c>
      <c r="H39" s="77"/>
      <c r="I39" s="77">
        <v>0.26640000000000003</v>
      </c>
      <c r="J39" s="77">
        <v>0.10249999999999999</v>
      </c>
      <c r="K39" s="77">
        <v>0.13539999999999999</v>
      </c>
      <c r="L39" s="77">
        <v>0.1188</v>
      </c>
      <c r="M39" s="77"/>
      <c r="N39" s="77"/>
      <c r="O39" s="77">
        <v>0.12130000000000001</v>
      </c>
      <c r="P39" s="77"/>
      <c r="Q39" s="77"/>
      <c r="R39" s="77">
        <v>9.4299999999999995E-2</v>
      </c>
      <c r="S39" s="77"/>
      <c r="T39" s="77"/>
      <c r="U39" s="77">
        <v>7.1999999999999995E-2</v>
      </c>
      <c r="V39" s="77"/>
      <c r="W39" s="77"/>
      <c r="X39" s="77">
        <v>5.16E-2</v>
      </c>
      <c r="Y39" s="77"/>
      <c r="Z39" s="77"/>
      <c r="AA39" s="77"/>
      <c r="AB39" s="77"/>
      <c r="AC39" s="77"/>
      <c r="AD39" s="77"/>
      <c r="AE39" s="77"/>
    </row>
    <row r="40" spans="1:31" x14ac:dyDescent="0.25">
      <c r="A40" s="92" t="s">
        <v>29</v>
      </c>
      <c r="B40" s="93" t="s">
        <v>58</v>
      </c>
      <c r="C40" s="94" t="s">
        <v>59</v>
      </c>
      <c r="D40" s="95" t="s">
        <v>227</v>
      </c>
      <c r="E40" s="18" t="s">
        <v>228</v>
      </c>
      <c r="F40" s="70" t="s">
        <v>33</v>
      </c>
      <c r="G40" s="113" t="s">
        <v>827</v>
      </c>
      <c r="H40" s="77"/>
      <c r="I40" s="77">
        <v>0.26640000000000003</v>
      </c>
      <c r="J40" s="77">
        <v>0.10249999999999999</v>
      </c>
      <c r="K40" s="77">
        <v>0.13539999999999999</v>
      </c>
      <c r="L40" s="77">
        <v>0.1188</v>
      </c>
      <c r="M40" s="77"/>
      <c r="N40" s="77"/>
      <c r="O40" s="77">
        <v>0.12130000000000001</v>
      </c>
      <c r="P40" s="77"/>
      <c r="Q40" s="77"/>
      <c r="R40" s="77">
        <v>9.4299999999999995E-2</v>
      </c>
      <c r="S40" s="77"/>
      <c r="T40" s="77"/>
      <c r="U40" s="77">
        <v>7.1999999999999995E-2</v>
      </c>
      <c r="V40" s="77"/>
      <c r="W40" s="77"/>
      <c r="X40" s="77">
        <v>5.16E-2</v>
      </c>
      <c r="Y40" s="77"/>
      <c r="Z40" s="77"/>
      <c r="AA40" s="77"/>
      <c r="AB40" s="77"/>
      <c r="AC40" s="77"/>
      <c r="AD40" s="77"/>
      <c r="AE40" s="77"/>
    </row>
    <row r="41" spans="1:31" x14ac:dyDescent="0.25">
      <c r="A41" s="92" t="s">
        <v>29</v>
      </c>
      <c r="B41" s="93" t="s">
        <v>58</v>
      </c>
      <c r="C41" s="94" t="s">
        <v>59</v>
      </c>
      <c r="D41" s="96" t="s">
        <v>828</v>
      </c>
      <c r="E41" s="18" t="s">
        <v>712</v>
      </c>
      <c r="F41" s="70" t="s">
        <v>33</v>
      </c>
      <c r="G41" s="113" t="s">
        <v>827</v>
      </c>
      <c r="H41" s="77"/>
      <c r="I41" s="77">
        <v>0.26640000000000003</v>
      </c>
      <c r="J41" s="77">
        <v>0.10249999999999999</v>
      </c>
      <c r="K41" s="77">
        <v>0.13539999999999999</v>
      </c>
      <c r="L41" s="77">
        <v>0.1188</v>
      </c>
      <c r="M41" s="77"/>
      <c r="N41" s="77"/>
      <c r="O41" s="77">
        <v>0.12130000000000001</v>
      </c>
      <c r="P41" s="77"/>
      <c r="Q41" s="77"/>
      <c r="R41" s="77">
        <v>9.4299999999999995E-2</v>
      </c>
      <c r="S41" s="77"/>
      <c r="T41" s="77"/>
      <c r="U41" s="77">
        <v>7.1999999999999995E-2</v>
      </c>
      <c r="V41" s="77"/>
      <c r="W41" s="77"/>
      <c r="X41" s="77">
        <v>5.16E-2</v>
      </c>
      <c r="Y41" s="77"/>
      <c r="Z41" s="77"/>
      <c r="AA41" s="77"/>
      <c r="AB41" s="77"/>
      <c r="AC41" s="77"/>
      <c r="AD41" s="77"/>
      <c r="AE41" s="77"/>
    </row>
    <row r="42" spans="1:31" x14ac:dyDescent="0.25">
      <c r="A42" s="3" t="s">
        <v>29</v>
      </c>
      <c r="B42" s="4" t="s">
        <v>58</v>
      </c>
      <c r="C42" s="5" t="s">
        <v>59</v>
      </c>
      <c r="D42" s="1" t="s">
        <v>563</v>
      </c>
      <c r="E42" s="18" t="s">
        <v>134</v>
      </c>
      <c r="F42" s="70" t="s">
        <v>33</v>
      </c>
      <c r="G42" s="113" t="s">
        <v>827</v>
      </c>
      <c r="H42" s="77"/>
      <c r="I42" s="77">
        <v>0.26640000000000003</v>
      </c>
      <c r="J42" s="77">
        <v>0.10249999999999999</v>
      </c>
      <c r="K42" s="77">
        <v>0.13539999999999999</v>
      </c>
      <c r="L42" s="77">
        <v>0.1188</v>
      </c>
      <c r="M42" s="77"/>
      <c r="N42" s="77"/>
      <c r="O42" s="77">
        <v>0.12130000000000001</v>
      </c>
      <c r="P42" s="77"/>
      <c r="Q42" s="77"/>
      <c r="R42" s="77">
        <v>9.4299999999999995E-2</v>
      </c>
      <c r="S42" s="77"/>
      <c r="T42" s="77"/>
      <c r="U42" s="77">
        <v>7.1999999999999995E-2</v>
      </c>
      <c r="V42" s="77"/>
      <c r="W42" s="77"/>
      <c r="X42" s="77">
        <v>5.16E-2</v>
      </c>
      <c r="Y42" s="77"/>
      <c r="Z42" s="77"/>
      <c r="AA42" s="77"/>
      <c r="AB42" s="77"/>
      <c r="AC42" s="77"/>
      <c r="AD42" s="77"/>
      <c r="AE42" s="77"/>
    </row>
    <row r="43" spans="1:31" x14ac:dyDescent="0.25">
      <c r="A43" s="3" t="s">
        <v>29</v>
      </c>
      <c r="B43" s="4" t="s">
        <v>58</v>
      </c>
      <c r="C43" s="5" t="s">
        <v>59</v>
      </c>
      <c r="D43" s="1" t="s">
        <v>168</v>
      </c>
      <c r="E43" s="18" t="s">
        <v>169</v>
      </c>
      <c r="F43" s="70" t="s">
        <v>33</v>
      </c>
      <c r="G43" s="113" t="s">
        <v>827</v>
      </c>
      <c r="H43" s="77"/>
      <c r="I43" s="77">
        <v>0.26640000000000003</v>
      </c>
      <c r="J43" s="77">
        <v>0.10249999999999999</v>
      </c>
      <c r="K43" s="77">
        <v>0.13539999999999999</v>
      </c>
      <c r="L43" s="77">
        <v>0.1188</v>
      </c>
      <c r="M43" s="77"/>
      <c r="N43" s="77"/>
      <c r="O43" s="77">
        <v>0.12130000000000001</v>
      </c>
      <c r="P43" s="77"/>
      <c r="Q43" s="77"/>
      <c r="R43" s="77">
        <v>9.4299999999999995E-2</v>
      </c>
      <c r="S43" s="77"/>
      <c r="T43" s="77"/>
      <c r="U43" s="77">
        <v>7.1999999999999995E-2</v>
      </c>
      <c r="V43" s="77"/>
      <c r="W43" s="77"/>
      <c r="X43" s="77">
        <v>5.16E-2</v>
      </c>
      <c r="Y43" s="77"/>
      <c r="Z43" s="77"/>
      <c r="AA43" s="77"/>
      <c r="AB43" s="77"/>
      <c r="AC43" s="77"/>
      <c r="AD43" s="77"/>
      <c r="AE43" s="77"/>
    </row>
    <row r="44" spans="1:31" x14ac:dyDescent="0.25">
      <c r="A44" s="3" t="s">
        <v>29</v>
      </c>
      <c r="B44" s="4" t="s">
        <v>54</v>
      </c>
      <c r="C44" s="5" t="s">
        <v>55</v>
      </c>
      <c r="D44" s="1" t="s">
        <v>56</v>
      </c>
      <c r="E44" s="18" t="s">
        <v>57</v>
      </c>
      <c r="F44" s="70" t="s">
        <v>33</v>
      </c>
      <c r="G44" s="113" t="s">
        <v>827</v>
      </c>
      <c r="H44" s="77"/>
      <c r="I44" s="77">
        <v>0.26640000000000003</v>
      </c>
      <c r="J44" s="77">
        <v>0.10249999999999999</v>
      </c>
      <c r="K44" s="77">
        <v>0.13539999999999999</v>
      </c>
      <c r="L44" s="77">
        <v>0.1188</v>
      </c>
      <c r="M44" s="77"/>
      <c r="N44" s="77"/>
      <c r="O44" s="77">
        <v>0.12130000000000001</v>
      </c>
      <c r="P44" s="77"/>
      <c r="Q44" s="77"/>
      <c r="R44" s="77">
        <v>9.4299999999999995E-2</v>
      </c>
      <c r="S44" s="77"/>
      <c r="T44" s="77"/>
      <c r="U44" s="77">
        <v>7.1999999999999995E-2</v>
      </c>
      <c r="V44" s="77"/>
      <c r="W44" s="77"/>
      <c r="X44" s="77">
        <v>5.16E-2</v>
      </c>
      <c r="Y44" s="77"/>
      <c r="Z44" s="77"/>
      <c r="AA44" s="77"/>
      <c r="AB44" s="77"/>
      <c r="AC44" s="77"/>
      <c r="AD44" s="77"/>
      <c r="AE44" s="77"/>
    </row>
    <row r="45" spans="1:31" x14ac:dyDescent="0.25">
      <c r="A45" s="3" t="s">
        <v>29</v>
      </c>
      <c r="B45" s="4" t="s">
        <v>54</v>
      </c>
      <c r="C45" s="5" t="s">
        <v>55</v>
      </c>
      <c r="D45" s="1" t="s">
        <v>79</v>
      </c>
      <c r="E45" s="18" t="s">
        <v>80</v>
      </c>
      <c r="F45" s="70" t="s">
        <v>33</v>
      </c>
      <c r="G45" s="113" t="s">
        <v>827</v>
      </c>
      <c r="H45" s="77"/>
      <c r="I45" s="77">
        <v>0.26640000000000003</v>
      </c>
      <c r="J45" s="77">
        <v>0.10249999999999999</v>
      </c>
      <c r="K45" s="77">
        <v>0.13539999999999999</v>
      </c>
      <c r="L45" s="77">
        <v>0.1188</v>
      </c>
      <c r="M45" s="77"/>
      <c r="N45" s="77"/>
      <c r="O45" s="77">
        <v>0.12130000000000001</v>
      </c>
      <c r="P45" s="77"/>
      <c r="Q45" s="77"/>
      <c r="R45" s="77">
        <v>9.4299999999999995E-2</v>
      </c>
      <c r="S45" s="77"/>
      <c r="T45" s="77"/>
      <c r="U45" s="77">
        <v>7.1999999999999995E-2</v>
      </c>
      <c r="V45" s="77"/>
      <c r="W45" s="77"/>
      <c r="X45" s="77">
        <v>5.16E-2</v>
      </c>
      <c r="Y45" s="77"/>
      <c r="Z45" s="77"/>
      <c r="AA45" s="77"/>
      <c r="AB45" s="77"/>
      <c r="AC45" s="77"/>
      <c r="AD45" s="77"/>
      <c r="AE45" s="77"/>
    </row>
    <row r="46" spans="1:31" x14ac:dyDescent="0.25">
      <c r="A46" s="3" t="s">
        <v>29</v>
      </c>
      <c r="B46" s="4" t="s">
        <v>70</v>
      </c>
      <c r="C46" s="5" t="s">
        <v>71</v>
      </c>
      <c r="D46" s="2" t="s">
        <v>71</v>
      </c>
      <c r="E46" s="18" t="s">
        <v>72</v>
      </c>
      <c r="F46" s="70" t="s">
        <v>33</v>
      </c>
      <c r="G46" s="113" t="s">
        <v>827</v>
      </c>
      <c r="H46" s="77"/>
      <c r="I46" s="77">
        <v>0.26640000000000003</v>
      </c>
      <c r="J46" s="77">
        <v>0.10249999999999999</v>
      </c>
      <c r="K46" s="77">
        <v>0.13539999999999999</v>
      </c>
      <c r="L46" s="77">
        <v>0.1188</v>
      </c>
      <c r="M46" s="77"/>
      <c r="N46" s="77"/>
      <c r="O46" s="77">
        <v>0.12130000000000001</v>
      </c>
      <c r="P46" s="77"/>
      <c r="Q46" s="77"/>
      <c r="R46" s="77">
        <v>9.4299999999999995E-2</v>
      </c>
      <c r="S46" s="77"/>
      <c r="T46" s="77"/>
      <c r="U46" s="77">
        <v>7.1999999999999995E-2</v>
      </c>
      <c r="V46" s="77"/>
      <c r="W46" s="77"/>
      <c r="X46" s="77">
        <v>5.16E-2</v>
      </c>
      <c r="Y46" s="77"/>
      <c r="Z46" s="77"/>
      <c r="AA46" s="77"/>
      <c r="AB46" s="77"/>
      <c r="AC46" s="77"/>
      <c r="AD46" s="77"/>
      <c r="AE46" s="77"/>
    </row>
    <row r="47" spans="1:31" x14ac:dyDescent="0.25">
      <c r="A47" s="3" t="s">
        <v>29</v>
      </c>
      <c r="B47" s="4" t="s">
        <v>42</v>
      </c>
      <c r="C47" s="5" t="s">
        <v>148</v>
      </c>
      <c r="D47" s="2" t="s">
        <v>149</v>
      </c>
      <c r="E47" s="18" t="s">
        <v>150</v>
      </c>
      <c r="F47" s="70" t="s">
        <v>33</v>
      </c>
      <c r="G47" s="113" t="s">
        <v>827</v>
      </c>
      <c r="H47" s="77"/>
      <c r="I47" s="77">
        <v>0.26640000000000003</v>
      </c>
      <c r="J47" s="77">
        <v>0.10249999999999999</v>
      </c>
      <c r="K47" s="77">
        <v>0.13539999999999999</v>
      </c>
      <c r="L47" s="77">
        <v>0.1188</v>
      </c>
      <c r="M47" s="77"/>
      <c r="N47" s="77"/>
      <c r="O47" s="77">
        <v>0.12130000000000001</v>
      </c>
      <c r="P47" s="77"/>
      <c r="Q47" s="77"/>
      <c r="R47" s="77">
        <v>9.4299999999999995E-2</v>
      </c>
      <c r="S47" s="77"/>
      <c r="T47" s="77"/>
      <c r="U47" s="77">
        <v>7.1999999999999995E-2</v>
      </c>
      <c r="V47" s="77"/>
      <c r="W47" s="77"/>
      <c r="X47" s="77">
        <v>5.16E-2</v>
      </c>
      <c r="Y47" s="77"/>
      <c r="Z47" s="77"/>
      <c r="AA47" s="77"/>
      <c r="AB47" s="77"/>
      <c r="AC47" s="77"/>
      <c r="AD47" s="77"/>
      <c r="AE47" s="77"/>
    </row>
    <row r="48" spans="1:31" x14ac:dyDescent="0.25">
      <c r="A48" s="3" t="s">
        <v>29</v>
      </c>
      <c r="B48" s="4" t="s">
        <v>73</v>
      </c>
      <c r="C48" s="5" t="s">
        <v>74</v>
      </c>
      <c r="D48" s="1" t="s">
        <v>75</v>
      </c>
      <c r="E48" s="18" t="s">
        <v>76</v>
      </c>
      <c r="F48" s="70" t="s">
        <v>33</v>
      </c>
      <c r="G48" s="113" t="s">
        <v>827</v>
      </c>
      <c r="H48" s="77"/>
      <c r="I48" s="77">
        <v>0.26640000000000003</v>
      </c>
      <c r="J48" s="77">
        <v>0.10249999999999999</v>
      </c>
      <c r="K48" s="77">
        <v>0.13539999999999999</v>
      </c>
      <c r="L48" s="77">
        <v>0.1188</v>
      </c>
      <c r="M48" s="77"/>
      <c r="N48" s="77"/>
      <c r="O48" s="77">
        <v>0.12130000000000001</v>
      </c>
      <c r="P48" s="77"/>
      <c r="Q48" s="77"/>
      <c r="R48" s="77">
        <v>9.4299999999999995E-2</v>
      </c>
      <c r="S48" s="77"/>
      <c r="T48" s="77"/>
      <c r="U48" s="77">
        <v>7.1999999999999995E-2</v>
      </c>
      <c r="V48" s="77"/>
      <c r="W48" s="77"/>
      <c r="X48" s="77">
        <v>5.16E-2</v>
      </c>
      <c r="Y48" s="77"/>
      <c r="Z48" s="77"/>
      <c r="AA48" s="77"/>
      <c r="AB48" s="77"/>
      <c r="AC48" s="77"/>
      <c r="AD48" s="77"/>
      <c r="AE48" s="77"/>
    </row>
    <row r="49" spans="1:31" x14ac:dyDescent="0.25">
      <c r="A49" s="3" t="s">
        <v>29</v>
      </c>
      <c r="B49" s="4" t="s">
        <v>73</v>
      </c>
      <c r="C49" s="5" t="s">
        <v>74</v>
      </c>
      <c r="D49" s="2" t="s">
        <v>152</v>
      </c>
      <c r="E49" s="18" t="s">
        <v>153</v>
      </c>
      <c r="F49" s="70" t="s">
        <v>33</v>
      </c>
      <c r="G49" s="113" t="s">
        <v>827</v>
      </c>
      <c r="H49" s="77"/>
      <c r="I49" s="77">
        <v>0.26640000000000003</v>
      </c>
      <c r="J49" s="77">
        <v>0.10249999999999999</v>
      </c>
      <c r="K49" s="77">
        <v>0.13539999999999999</v>
      </c>
      <c r="L49" s="77">
        <v>0.1188</v>
      </c>
      <c r="M49" s="77"/>
      <c r="N49" s="77"/>
      <c r="O49" s="77">
        <v>0.12130000000000001</v>
      </c>
      <c r="P49" s="77"/>
      <c r="Q49" s="77"/>
      <c r="R49" s="77">
        <v>9.4299999999999995E-2</v>
      </c>
      <c r="S49" s="77"/>
      <c r="T49" s="77"/>
      <c r="U49" s="77">
        <v>7.1999999999999995E-2</v>
      </c>
      <c r="V49" s="77"/>
      <c r="W49" s="77"/>
      <c r="X49" s="77">
        <v>5.16E-2</v>
      </c>
      <c r="Y49" s="77"/>
      <c r="Z49" s="77"/>
      <c r="AA49" s="77"/>
      <c r="AB49" s="77"/>
      <c r="AC49" s="77"/>
      <c r="AD49" s="77"/>
      <c r="AE49" s="77"/>
    </row>
    <row r="50" spans="1:31" x14ac:dyDescent="0.25">
      <c r="A50" s="3" t="s">
        <v>29</v>
      </c>
      <c r="B50" s="4" t="s">
        <v>58</v>
      </c>
      <c r="C50" s="5" t="s">
        <v>85</v>
      </c>
      <c r="D50" s="2" t="s">
        <v>85</v>
      </c>
      <c r="E50" s="18" t="s">
        <v>86</v>
      </c>
      <c r="F50" s="70" t="s">
        <v>33</v>
      </c>
      <c r="G50" s="113" t="s">
        <v>827</v>
      </c>
      <c r="H50" s="77"/>
      <c r="I50" s="77">
        <v>0.26640000000000003</v>
      </c>
      <c r="J50" s="77">
        <v>0.10249999999999999</v>
      </c>
      <c r="K50" s="77">
        <v>0.13539999999999999</v>
      </c>
      <c r="L50" s="77">
        <v>0.1188</v>
      </c>
      <c r="M50" s="77"/>
      <c r="N50" s="77"/>
      <c r="O50" s="77">
        <v>0.12130000000000001</v>
      </c>
      <c r="P50" s="77"/>
      <c r="Q50" s="77"/>
      <c r="R50" s="77">
        <v>9.4299999999999995E-2</v>
      </c>
      <c r="S50" s="77"/>
      <c r="T50" s="77"/>
      <c r="U50" s="77">
        <v>7.1999999999999995E-2</v>
      </c>
      <c r="V50" s="77"/>
      <c r="W50" s="77"/>
      <c r="X50" s="77">
        <v>5.16E-2</v>
      </c>
      <c r="Y50" s="77"/>
      <c r="Z50" s="77"/>
      <c r="AA50" s="77"/>
      <c r="AB50" s="77"/>
      <c r="AC50" s="77"/>
      <c r="AD50" s="77"/>
      <c r="AE50" s="77"/>
    </row>
    <row r="51" spans="1:31" x14ac:dyDescent="0.25">
      <c r="A51" s="3" t="s">
        <v>29</v>
      </c>
      <c r="B51" s="4" t="s">
        <v>90</v>
      </c>
      <c r="C51" s="5" t="s">
        <v>91</v>
      </c>
      <c r="D51" s="1" t="s">
        <v>231</v>
      </c>
      <c r="E51" s="18" t="s">
        <v>232</v>
      </c>
      <c r="F51" s="70" t="s">
        <v>33</v>
      </c>
      <c r="G51" s="113" t="s">
        <v>827</v>
      </c>
      <c r="H51" s="77"/>
      <c r="I51" s="77">
        <v>0.26640000000000003</v>
      </c>
      <c r="J51" s="77">
        <v>0.10249999999999999</v>
      </c>
      <c r="K51" s="77">
        <v>0.13539999999999999</v>
      </c>
      <c r="L51" s="77">
        <v>0.1188</v>
      </c>
      <c r="M51" s="77"/>
      <c r="N51" s="77"/>
      <c r="O51" s="77">
        <v>0.12130000000000001</v>
      </c>
      <c r="P51" s="77"/>
      <c r="Q51" s="77"/>
      <c r="R51" s="77">
        <v>9.4299999999999995E-2</v>
      </c>
      <c r="S51" s="77"/>
      <c r="T51" s="77"/>
      <c r="U51" s="77">
        <v>7.1999999999999995E-2</v>
      </c>
      <c r="V51" s="77"/>
      <c r="W51" s="77"/>
      <c r="X51" s="77">
        <v>5.16E-2</v>
      </c>
      <c r="Y51" s="77"/>
      <c r="Z51" s="77"/>
      <c r="AA51" s="77"/>
      <c r="AB51" s="77"/>
      <c r="AC51" s="77"/>
      <c r="AD51" s="77"/>
      <c r="AE51" s="77"/>
    </row>
    <row r="52" spans="1:31" x14ac:dyDescent="0.25">
      <c r="A52" s="92" t="s">
        <v>29</v>
      </c>
      <c r="B52" s="93" t="s">
        <v>90</v>
      </c>
      <c r="C52" s="94" t="s">
        <v>91</v>
      </c>
      <c r="D52" s="96" t="s">
        <v>233</v>
      </c>
      <c r="E52" s="18" t="s">
        <v>234</v>
      </c>
      <c r="F52" s="70" t="s">
        <v>33</v>
      </c>
      <c r="G52" s="113" t="s">
        <v>827</v>
      </c>
      <c r="H52" s="77"/>
      <c r="I52" s="77">
        <v>0.26640000000000003</v>
      </c>
      <c r="J52" s="77">
        <v>0.10249999999999999</v>
      </c>
      <c r="K52" s="77">
        <v>0.13539999999999999</v>
      </c>
      <c r="L52" s="77">
        <v>0.1188</v>
      </c>
      <c r="M52" s="77"/>
      <c r="N52" s="77"/>
      <c r="O52" s="77">
        <v>0.12130000000000001</v>
      </c>
      <c r="P52" s="77"/>
      <c r="Q52" s="77"/>
      <c r="R52" s="77">
        <v>9.4299999999999995E-2</v>
      </c>
      <c r="S52" s="77"/>
      <c r="T52" s="77"/>
      <c r="U52" s="77">
        <v>7.1999999999999995E-2</v>
      </c>
      <c r="V52" s="77"/>
      <c r="W52" s="77"/>
      <c r="X52" s="77">
        <v>5.16E-2</v>
      </c>
      <c r="Y52" s="77"/>
      <c r="Z52" s="77"/>
      <c r="AA52" s="77"/>
      <c r="AB52" s="77"/>
      <c r="AC52" s="77"/>
      <c r="AD52" s="77"/>
      <c r="AE52" s="77"/>
    </row>
    <row r="53" spans="1:31" x14ac:dyDescent="0.25">
      <c r="A53" s="92" t="s">
        <v>29</v>
      </c>
      <c r="B53" s="93" t="s">
        <v>90</v>
      </c>
      <c r="C53" s="94" t="s">
        <v>91</v>
      </c>
      <c r="D53" s="95" t="s">
        <v>235</v>
      </c>
      <c r="E53" s="18" t="s">
        <v>236</v>
      </c>
      <c r="F53" s="70" t="s">
        <v>33</v>
      </c>
      <c r="G53" s="113" t="s">
        <v>827</v>
      </c>
      <c r="H53" s="77"/>
      <c r="I53" s="77">
        <v>0.26640000000000003</v>
      </c>
      <c r="J53" s="77">
        <v>0.10249999999999999</v>
      </c>
      <c r="K53" s="77">
        <v>0.13539999999999999</v>
      </c>
      <c r="L53" s="77">
        <v>0.1188</v>
      </c>
      <c r="M53" s="77"/>
      <c r="N53" s="77"/>
      <c r="O53" s="77">
        <v>0.12130000000000001</v>
      </c>
      <c r="P53" s="77"/>
      <c r="Q53" s="77"/>
      <c r="R53" s="77">
        <v>9.4299999999999995E-2</v>
      </c>
      <c r="S53" s="77"/>
      <c r="T53" s="77"/>
      <c r="U53" s="77">
        <v>7.1999999999999995E-2</v>
      </c>
      <c r="V53" s="77"/>
      <c r="W53" s="77"/>
      <c r="X53" s="77">
        <v>5.16E-2</v>
      </c>
      <c r="Y53" s="77"/>
      <c r="Z53" s="77"/>
      <c r="AA53" s="77"/>
      <c r="AB53" s="77"/>
      <c r="AC53" s="77"/>
      <c r="AD53" s="77"/>
      <c r="AE53" s="77"/>
    </row>
    <row r="54" spans="1:31" x14ac:dyDescent="0.25">
      <c r="A54" s="3" t="s">
        <v>29</v>
      </c>
      <c r="B54" s="4" t="s">
        <v>90</v>
      </c>
      <c r="C54" s="5" t="s">
        <v>91</v>
      </c>
      <c r="D54" s="1" t="s">
        <v>91</v>
      </c>
      <c r="E54" s="18" t="s">
        <v>92</v>
      </c>
      <c r="F54" s="70" t="s">
        <v>33</v>
      </c>
      <c r="G54" s="113" t="s">
        <v>827</v>
      </c>
      <c r="H54" s="77"/>
      <c r="I54" s="77">
        <v>0.26640000000000003</v>
      </c>
      <c r="J54" s="77">
        <v>0.10249999999999999</v>
      </c>
      <c r="K54" s="77">
        <v>0.13539999999999999</v>
      </c>
      <c r="L54" s="77">
        <v>0.1188</v>
      </c>
      <c r="M54" s="77"/>
      <c r="N54" s="77"/>
      <c r="O54" s="77">
        <v>0.12130000000000001</v>
      </c>
      <c r="P54" s="77"/>
      <c r="Q54" s="77"/>
      <c r="R54" s="77">
        <v>9.4299999999999995E-2</v>
      </c>
      <c r="S54" s="77"/>
      <c r="T54" s="77"/>
      <c r="U54" s="77">
        <v>7.1999999999999995E-2</v>
      </c>
      <c r="V54" s="77"/>
      <c r="W54" s="77"/>
      <c r="X54" s="77">
        <v>5.16E-2</v>
      </c>
      <c r="Y54" s="77"/>
      <c r="Z54" s="77"/>
      <c r="AA54" s="77"/>
      <c r="AB54" s="77"/>
      <c r="AC54" s="77"/>
      <c r="AD54" s="77"/>
      <c r="AE54" s="77"/>
    </row>
    <row r="55" spans="1:31" x14ac:dyDescent="0.25">
      <c r="A55" s="92" t="s">
        <v>29</v>
      </c>
      <c r="B55" s="93" t="s">
        <v>90</v>
      </c>
      <c r="C55" s="94" t="s">
        <v>91</v>
      </c>
      <c r="D55" s="96" t="s">
        <v>239</v>
      </c>
      <c r="E55" s="18" t="s">
        <v>240</v>
      </c>
      <c r="F55" s="70" t="s">
        <v>33</v>
      </c>
      <c r="G55" s="113" t="s">
        <v>827</v>
      </c>
      <c r="H55" s="77"/>
      <c r="I55" s="77">
        <v>0.26640000000000003</v>
      </c>
      <c r="J55" s="77">
        <v>0.10249999999999999</v>
      </c>
      <c r="K55" s="77">
        <v>0.13539999999999999</v>
      </c>
      <c r="L55" s="77">
        <v>0.1188</v>
      </c>
      <c r="M55" s="77"/>
      <c r="N55" s="77"/>
      <c r="O55" s="77">
        <v>0.12130000000000001</v>
      </c>
      <c r="P55" s="77"/>
      <c r="Q55" s="77"/>
      <c r="R55" s="77">
        <v>9.4299999999999995E-2</v>
      </c>
      <c r="S55" s="77"/>
      <c r="T55" s="77"/>
      <c r="U55" s="77">
        <v>7.1999999999999995E-2</v>
      </c>
      <c r="V55" s="77"/>
      <c r="W55" s="77"/>
      <c r="X55" s="77">
        <v>5.16E-2</v>
      </c>
      <c r="Y55" s="77"/>
      <c r="Z55" s="77"/>
      <c r="AA55" s="77"/>
      <c r="AB55" s="77"/>
      <c r="AC55" s="77"/>
      <c r="AD55" s="77"/>
      <c r="AE55" s="77"/>
    </row>
    <row r="56" spans="1:31" x14ac:dyDescent="0.25">
      <c r="A56" s="3" t="s">
        <v>29</v>
      </c>
      <c r="B56" s="4" t="s">
        <v>90</v>
      </c>
      <c r="C56" s="5" t="s">
        <v>91</v>
      </c>
      <c r="D56" s="2" t="s">
        <v>146</v>
      </c>
      <c r="E56" s="18" t="s">
        <v>147</v>
      </c>
      <c r="F56" s="70" t="s">
        <v>33</v>
      </c>
      <c r="G56" s="113" t="s">
        <v>827</v>
      </c>
      <c r="H56" s="77"/>
      <c r="I56" s="77">
        <v>0.26640000000000003</v>
      </c>
      <c r="J56" s="77">
        <v>0.10249999999999999</v>
      </c>
      <c r="K56" s="77">
        <v>0.13539999999999999</v>
      </c>
      <c r="L56" s="77">
        <v>0.1188</v>
      </c>
      <c r="M56" s="77"/>
      <c r="N56" s="77"/>
      <c r="O56" s="77">
        <v>0.12130000000000001</v>
      </c>
      <c r="P56" s="77"/>
      <c r="Q56" s="77"/>
      <c r="R56" s="77">
        <v>9.4299999999999995E-2</v>
      </c>
      <c r="S56" s="77"/>
      <c r="T56" s="77"/>
      <c r="U56" s="77">
        <v>7.1999999999999995E-2</v>
      </c>
      <c r="V56" s="77"/>
      <c r="W56" s="77"/>
      <c r="X56" s="77">
        <v>5.16E-2</v>
      </c>
      <c r="Y56" s="77"/>
      <c r="Z56" s="77"/>
      <c r="AA56" s="77"/>
      <c r="AB56" s="77"/>
      <c r="AC56" s="77"/>
      <c r="AD56" s="77"/>
      <c r="AE56" s="77"/>
    </row>
    <row r="57" spans="1:31" x14ac:dyDescent="0.25">
      <c r="A57" s="3" t="s">
        <v>29</v>
      </c>
      <c r="B57" s="4" t="s">
        <v>70</v>
      </c>
      <c r="C57" s="5" t="s">
        <v>104</v>
      </c>
      <c r="D57" s="2" t="s">
        <v>105</v>
      </c>
      <c r="E57" s="18" t="s">
        <v>106</v>
      </c>
      <c r="F57" s="70" t="s">
        <v>33</v>
      </c>
      <c r="G57" s="113" t="s">
        <v>827</v>
      </c>
      <c r="H57" s="77"/>
      <c r="I57" s="77">
        <v>0.26640000000000003</v>
      </c>
      <c r="J57" s="77">
        <v>0.10249999999999999</v>
      </c>
      <c r="K57" s="77">
        <v>0.13539999999999999</v>
      </c>
      <c r="L57" s="77">
        <v>0.1188</v>
      </c>
      <c r="M57" s="77"/>
      <c r="N57" s="77"/>
      <c r="O57" s="77">
        <v>0.12130000000000001</v>
      </c>
      <c r="P57" s="77"/>
      <c r="Q57" s="77"/>
      <c r="R57" s="77">
        <v>9.4299999999999995E-2</v>
      </c>
      <c r="S57" s="77"/>
      <c r="T57" s="77"/>
      <c r="U57" s="77">
        <v>7.1999999999999995E-2</v>
      </c>
      <c r="V57" s="77"/>
      <c r="W57" s="77"/>
      <c r="X57" s="77">
        <v>5.16E-2</v>
      </c>
      <c r="Y57" s="77"/>
      <c r="Z57" s="77"/>
      <c r="AA57" s="77"/>
      <c r="AB57" s="77"/>
      <c r="AC57" s="77"/>
      <c r="AD57" s="77"/>
      <c r="AE57" s="77"/>
    </row>
    <row r="58" spans="1:31" x14ac:dyDescent="0.25">
      <c r="A58" s="3" t="s">
        <v>29</v>
      </c>
      <c r="B58" s="4" t="s">
        <v>30</v>
      </c>
      <c r="C58" s="5" t="s">
        <v>93</v>
      </c>
      <c r="D58" s="1" t="s">
        <v>48</v>
      </c>
      <c r="E58" s="18" t="s">
        <v>94</v>
      </c>
      <c r="F58" s="70" t="s">
        <v>33</v>
      </c>
      <c r="G58" s="113" t="s">
        <v>827</v>
      </c>
      <c r="H58" s="77"/>
      <c r="I58" s="77">
        <v>0.26640000000000003</v>
      </c>
      <c r="J58" s="77">
        <v>0.10249999999999999</v>
      </c>
      <c r="K58" s="77">
        <v>0.13539999999999999</v>
      </c>
      <c r="L58" s="77">
        <v>0.1188</v>
      </c>
      <c r="M58" s="77"/>
      <c r="N58" s="77"/>
      <c r="O58" s="77">
        <v>0.12130000000000001</v>
      </c>
      <c r="P58" s="77"/>
      <c r="Q58" s="77"/>
      <c r="R58" s="77">
        <v>9.4299999999999995E-2</v>
      </c>
      <c r="S58" s="77"/>
      <c r="T58" s="77"/>
      <c r="U58" s="77">
        <v>7.1999999999999995E-2</v>
      </c>
      <c r="V58" s="77"/>
      <c r="W58" s="77"/>
      <c r="X58" s="77">
        <v>5.16E-2</v>
      </c>
      <c r="Y58" s="77"/>
      <c r="Z58" s="77"/>
      <c r="AA58" s="77"/>
      <c r="AB58" s="77"/>
      <c r="AC58" s="77"/>
      <c r="AD58" s="77"/>
      <c r="AE58" s="77"/>
    </row>
    <row r="59" spans="1:31" x14ac:dyDescent="0.25">
      <c r="A59" s="3" t="s">
        <v>29</v>
      </c>
      <c r="B59" s="4" t="s">
        <v>30</v>
      </c>
      <c r="C59" s="5" t="s">
        <v>48</v>
      </c>
      <c r="D59" s="2" t="s">
        <v>49</v>
      </c>
      <c r="E59" s="18" t="s">
        <v>50</v>
      </c>
      <c r="F59" s="70" t="s">
        <v>33</v>
      </c>
      <c r="G59" s="113" t="s">
        <v>827</v>
      </c>
      <c r="H59" s="77"/>
      <c r="I59" s="77">
        <v>0.26640000000000003</v>
      </c>
      <c r="J59" s="77">
        <v>0.10249999999999999</v>
      </c>
      <c r="K59" s="77">
        <v>0.13539999999999999</v>
      </c>
      <c r="L59" s="77">
        <v>0.1188</v>
      </c>
      <c r="M59" s="77"/>
      <c r="N59" s="77"/>
      <c r="O59" s="77">
        <v>0.12130000000000001</v>
      </c>
      <c r="P59" s="77"/>
      <c r="Q59" s="77"/>
      <c r="R59" s="77">
        <v>9.4299999999999995E-2</v>
      </c>
      <c r="S59" s="77"/>
      <c r="T59" s="77"/>
      <c r="U59" s="77">
        <v>7.1999999999999995E-2</v>
      </c>
      <c r="V59" s="77"/>
      <c r="W59" s="77"/>
      <c r="X59" s="77">
        <v>5.16E-2</v>
      </c>
      <c r="Y59" s="77"/>
      <c r="Z59" s="77"/>
      <c r="AA59" s="77"/>
      <c r="AB59" s="77"/>
      <c r="AC59" s="77"/>
      <c r="AD59" s="77"/>
      <c r="AE59" s="77"/>
    </row>
    <row r="60" spans="1:31" x14ac:dyDescent="0.25">
      <c r="A60" s="3" t="s">
        <v>29</v>
      </c>
      <c r="B60" s="4" t="s">
        <v>30</v>
      </c>
      <c r="C60" s="5" t="s">
        <v>48</v>
      </c>
      <c r="D60" s="2" t="s">
        <v>63</v>
      </c>
      <c r="E60" s="18" t="s">
        <v>50</v>
      </c>
      <c r="F60" s="70" t="s">
        <v>33</v>
      </c>
      <c r="G60" s="113" t="s">
        <v>827</v>
      </c>
      <c r="H60" s="77"/>
      <c r="I60" s="77">
        <v>0.26640000000000003</v>
      </c>
      <c r="J60" s="77">
        <v>0.10249999999999999</v>
      </c>
      <c r="K60" s="77">
        <v>0.13539999999999999</v>
      </c>
      <c r="L60" s="77">
        <v>0.1188</v>
      </c>
      <c r="M60" s="77"/>
      <c r="N60" s="77"/>
      <c r="O60" s="77">
        <v>0.12130000000000001</v>
      </c>
      <c r="P60" s="77"/>
      <c r="Q60" s="77"/>
      <c r="R60" s="77">
        <v>9.4299999999999995E-2</v>
      </c>
      <c r="S60" s="77"/>
      <c r="T60" s="77"/>
      <c r="U60" s="77">
        <v>7.1999999999999995E-2</v>
      </c>
      <c r="V60" s="77"/>
      <c r="W60" s="77"/>
      <c r="X60" s="77">
        <v>5.16E-2</v>
      </c>
      <c r="Y60" s="77"/>
      <c r="Z60" s="77"/>
      <c r="AA60" s="77"/>
      <c r="AB60" s="77"/>
      <c r="AC60" s="77"/>
      <c r="AD60" s="77"/>
      <c r="AE60" s="77"/>
    </row>
    <row r="61" spans="1:31" x14ac:dyDescent="0.25">
      <c r="A61" s="3" t="s">
        <v>29</v>
      </c>
      <c r="B61" s="4" t="s">
        <v>30</v>
      </c>
      <c r="C61" s="5" t="s">
        <v>48</v>
      </c>
      <c r="D61" s="2" t="s">
        <v>84</v>
      </c>
      <c r="E61" s="18" t="s">
        <v>50</v>
      </c>
      <c r="F61" s="70" t="s">
        <v>33</v>
      </c>
      <c r="G61" s="113" t="s">
        <v>827</v>
      </c>
      <c r="H61" s="77"/>
      <c r="I61" s="77">
        <v>0.26640000000000003</v>
      </c>
      <c r="J61" s="77">
        <v>0.10249999999999999</v>
      </c>
      <c r="K61" s="77">
        <v>0.13539999999999999</v>
      </c>
      <c r="L61" s="77">
        <v>0.1188</v>
      </c>
      <c r="M61" s="77"/>
      <c r="N61" s="77"/>
      <c r="O61" s="77">
        <v>0.12130000000000001</v>
      </c>
      <c r="P61" s="77"/>
      <c r="Q61" s="77"/>
      <c r="R61" s="77">
        <v>9.4299999999999995E-2</v>
      </c>
      <c r="S61" s="77"/>
      <c r="T61" s="77"/>
      <c r="U61" s="77">
        <v>7.1999999999999995E-2</v>
      </c>
      <c r="V61" s="77"/>
      <c r="W61" s="77"/>
      <c r="X61" s="77">
        <v>5.16E-2</v>
      </c>
      <c r="Y61" s="77"/>
      <c r="Z61" s="77"/>
      <c r="AA61" s="77"/>
      <c r="AB61" s="77"/>
      <c r="AC61" s="77"/>
      <c r="AD61" s="77"/>
      <c r="AE61" s="77"/>
    </row>
    <row r="62" spans="1:31" x14ac:dyDescent="0.25">
      <c r="A62" s="3" t="s">
        <v>29</v>
      </c>
      <c r="B62" s="4" t="s">
        <v>30</v>
      </c>
      <c r="C62" s="6" t="s">
        <v>48</v>
      </c>
      <c r="D62" s="1" t="s">
        <v>141</v>
      </c>
      <c r="E62" s="18" t="s">
        <v>142</v>
      </c>
      <c r="F62" s="70" t="s">
        <v>33</v>
      </c>
      <c r="G62" s="113" t="s">
        <v>827</v>
      </c>
      <c r="H62" s="77"/>
      <c r="I62" s="77">
        <v>0.26640000000000003</v>
      </c>
      <c r="J62" s="77">
        <v>0.10249999999999999</v>
      </c>
      <c r="K62" s="77">
        <v>0.13539999999999999</v>
      </c>
      <c r="L62" s="77">
        <v>0.1188</v>
      </c>
      <c r="M62" s="77"/>
      <c r="N62" s="77"/>
      <c r="O62" s="77">
        <v>0.12130000000000001</v>
      </c>
      <c r="P62" s="77"/>
      <c r="Q62" s="77"/>
      <c r="R62" s="77">
        <v>9.4299999999999995E-2</v>
      </c>
      <c r="S62" s="77"/>
      <c r="T62" s="77"/>
      <c r="U62" s="77">
        <v>7.1999999999999995E-2</v>
      </c>
      <c r="V62" s="77"/>
      <c r="W62" s="77"/>
      <c r="X62" s="77">
        <v>5.16E-2</v>
      </c>
      <c r="Y62" s="77"/>
      <c r="Z62" s="77"/>
      <c r="AA62" s="77"/>
      <c r="AB62" s="77"/>
      <c r="AC62" s="77"/>
      <c r="AD62" s="77"/>
      <c r="AE62" s="77"/>
    </row>
    <row r="63" spans="1:31" x14ac:dyDescent="0.25">
      <c r="A63" s="3" t="s">
        <v>29</v>
      </c>
      <c r="B63" s="4" t="s">
        <v>30</v>
      </c>
      <c r="C63" s="6" t="s">
        <v>48</v>
      </c>
      <c r="D63" s="2" t="s">
        <v>174</v>
      </c>
      <c r="E63" s="18" t="s">
        <v>175</v>
      </c>
      <c r="F63" s="70" t="s">
        <v>33</v>
      </c>
      <c r="G63" s="113" t="s">
        <v>827</v>
      </c>
      <c r="H63" s="77"/>
      <c r="I63" s="77">
        <v>0.26640000000000003</v>
      </c>
      <c r="J63" s="77">
        <v>0.10249999999999999</v>
      </c>
      <c r="K63" s="77">
        <v>0.13539999999999999</v>
      </c>
      <c r="L63" s="77">
        <v>0.1188</v>
      </c>
      <c r="M63" s="77"/>
      <c r="N63" s="77"/>
      <c r="O63" s="77">
        <v>0.12130000000000001</v>
      </c>
      <c r="P63" s="77"/>
      <c r="Q63" s="77"/>
      <c r="R63" s="77">
        <v>9.4299999999999995E-2</v>
      </c>
      <c r="S63" s="77"/>
      <c r="T63" s="77"/>
      <c r="U63" s="77">
        <v>7.1999999999999995E-2</v>
      </c>
      <c r="V63" s="77"/>
      <c r="W63" s="77"/>
      <c r="X63" s="77">
        <v>5.16E-2</v>
      </c>
      <c r="Y63" s="77"/>
      <c r="Z63" s="77"/>
      <c r="AA63" s="77"/>
      <c r="AB63" s="77"/>
      <c r="AC63" s="77"/>
      <c r="AD63" s="77"/>
      <c r="AE63" s="77"/>
    </row>
    <row r="64" spans="1:31" x14ac:dyDescent="0.25">
      <c r="A64" s="3" t="s">
        <v>29</v>
      </c>
      <c r="B64" s="4" t="s">
        <v>30</v>
      </c>
      <c r="C64" s="5" t="s">
        <v>45</v>
      </c>
      <c r="D64" s="1" t="s">
        <v>46</v>
      </c>
      <c r="E64" s="18" t="s">
        <v>47</v>
      </c>
      <c r="F64" s="70" t="s">
        <v>33</v>
      </c>
      <c r="G64" s="113" t="s">
        <v>827</v>
      </c>
      <c r="H64" s="77"/>
      <c r="I64" s="77">
        <v>0.26640000000000003</v>
      </c>
      <c r="J64" s="77">
        <v>0.10249999999999999</v>
      </c>
      <c r="K64" s="77">
        <v>0.13539999999999999</v>
      </c>
      <c r="L64" s="77">
        <v>0.1188</v>
      </c>
      <c r="M64" s="77"/>
      <c r="N64" s="77"/>
      <c r="O64" s="77">
        <v>0.12130000000000001</v>
      </c>
      <c r="P64" s="77"/>
      <c r="Q64" s="77"/>
      <c r="R64" s="77">
        <v>9.4299999999999995E-2</v>
      </c>
      <c r="S64" s="77"/>
      <c r="T64" s="77"/>
      <c r="U64" s="77">
        <v>7.1999999999999995E-2</v>
      </c>
      <c r="V64" s="77"/>
      <c r="W64" s="77"/>
      <c r="X64" s="77">
        <v>5.16E-2</v>
      </c>
      <c r="Y64" s="77"/>
      <c r="Z64" s="77"/>
      <c r="AA64" s="77"/>
      <c r="AB64" s="77"/>
      <c r="AC64" s="77"/>
      <c r="AD64" s="77"/>
      <c r="AE64" s="77"/>
    </row>
    <row r="65" spans="1:31" x14ac:dyDescent="0.25">
      <c r="A65" s="3" t="s">
        <v>29</v>
      </c>
      <c r="B65" s="4" t="s">
        <v>30</v>
      </c>
      <c r="C65" s="5" t="s">
        <v>45</v>
      </c>
      <c r="D65" s="2" t="s">
        <v>64</v>
      </c>
      <c r="E65" s="18" t="s">
        <v>65</v>
      </c>
      <c r="F65" s="70" t="s">
        <v>33</v>
      </c>
      <c r="G65" s="113" t="s">
        <v>827</v>
      </c>
      <c r="H65" s="77"/>
      <c r="I65" s="77">
        <v>0.26640000000000003</v>
      </c>
      <c r="J65" s="77">
        <v>0.10249999999999999</v>
      </c>
      <c r="K65" s="77">
        <v>0.13539999999999999</v>
      </c>
      <c r="L65" s="77">
        <v>0.1188</v>
      </c>
      <c r="M65" s="77"/>
      <c r="N65" s="77"/>
      <c r="O65" s="77">
        <v>0.12130000000000001</v>
      </c>
      <c r="P65" s="77"/>
      <c r="Q65" s="77"/>
      <c r="R65" s="77">
        <v>9.4299999999999995E-2</v>
      </c>
      <c r="S65" s="77"/>
      <c r="T65" s="77"/>
      <c r="U65" s="77">
        <v>7.1999999999999995E-2</v>
      </c>
      <c r="V65" s="77"/>
      <c r="W65" s="77"/>
      <c r="X65" s="77">
        <v>5.16E-2</v>
      </c>
      <c r="Y65" s="77"/>
      <c r="Z65" s="77"/>
      <c r="AA65" s="77"/>
      <c r="AB65" s="77"/>
      <c r="AC65" s="77"/>
      <c r="AD65" s="77"/>
      <c r="AE65" s="77"/>
    </row>
    <row r="66" spans="1:31" x14ac:dyDescent="0.25">
      <c r="A66" s="3" t="s">
        <v>29</v>
      </c>
      <c r="B66" s="4" t="s">
        <v>30</v>
      </c>
      <c r="C66" s="5" t="s">
        <v>45</v>
      </c>
      <c r="D66" s="1" t="s">
        <v>77</v>
      </c>
      <c r="E66" s="18" t="s">
        <v>78</v>
      </c>
      <c r="F66" s="70" t="s">
        <v>33</v>
      </c>
      <c r="G66" s="113" t="s">
        <v>827</v>
      </c>
      <c r="H66" s="77"/>
      <c r="I66" s="77">
        <v>0.26640000000000003</v>
      </c>
      <c r="J66" s="77">
        <v>0.10249999999999999</v>
      </c>
      <c r="K66" s="77">
        <v>0.13539999999999999</v>
      </c>
      <c r="L66" s="77">
        <v>0.1188</v>
      </c>
      <c r="M66" s="77"/>
      <c r="N66" s="77"/>
      <c r="O66" s="77">
        <v>0.12130000000000001</v>
      </c>
      <c r="P66" s="77"/>
      <c r="Q66" s="77"/>
      <c r="R66" s="77">
        <v>9.4299999999999995E-2</v>
      </c>
      <c r="S66" s="77"/>
      <c r="T66" s="77"/>
      <c r="U66" s="77">
        <v>7.1999999999999995E-2</v>
      </c>
      <c r="V66" s="77"/>
      <c r="W66" s="77"/>
      <c r="X66" s="77">
        <v>5.16E-2</v>
      </c>
      <c r="Y66" s="77"/>
      <c r="Z66" s="77"/>
      <c r="AA66" s="77"/>
      <c r="AB66" s="77"/>
      <c r="AC66" s="77"/>
      <c r="AD66" s="77"/>
      <c r="AE66" s="77"/>
    </row>
    <row r="67" spans="1:31" x14ac:dyDescent="0.25">
      <c r="A67" s="3" t="s">
        <v>29</v>
      </c>
      <c r="B67" s="4" t="s">
        <v>30</v>
      </c>
      <c r="C67" s="5" t="s">
        <v>45</v>
      </c>
      <c r="D67" s="2" t="s">
        <v>132</v>
      </c>
      <c r="E67" s="18" t="s">
        <v>133</v>
      </c>
      <c r="F67" s="70" t="s">
        <v>33</v>
      </c>
      <c r="G67" s="113" t="s">
        <v>827</v>
      </c>
      <c r="H67" s="77"/>
      <c r="I67" s="77">
        <v>0.26640000000000003</v>
      </c>
      <c r="J67" s="77">
        <v>0.10249999999999999</v>
      </c>
      <c r="K67" s="77">
        <v>0.13539999999999999</v>
      </c>
      <c r="L67" s="77">
        <v>0.1188</v>
      </c>
      <c r="M67" s="77"/>
      <c r="N67" s="77"/>
      <c r="O67" s="77">
        <v>0.12130000000000001</v>
      </c>
      <c r="P67" s="77"/>
      <c r="Q67" s="77"/>
      <c r="R67" s="77">
        <v>9.4299999999999995E-2</v>
      </c>
      <c r="S67" s="77"/>
      <c r="T67" s="77"/>
      <c r="U67" s="77">
        <v>7.1999999999999995E-2</v>
      </c>
      <c r="V67" s="77"/>
      <c r="W67" s="77"/>
      <c r="X67" s="77">
        <v>5.16E-2</v>
      </c>
      <c r="Y67" s="77"/>
      <c r="Z67" s="77"/>
      <c r="AA67" s="77"/>
      <c r="AB67" s="77"/>
      <c r="AC67" s="77"/>
      <c r="AD67" s="77"/>
      <c r="AE67" s="77"/>
    </row>
    <row r="68" spans="1:31" x14ac:dyDescent="0.25">
      <c r="A68" s="3" t="s">
        <v>29</v>
      </c>
      <c r="B68" s="4" t="s">
        <v>30</v>
      </c>
      <c r="C68" s="5" t="s">
        <v>45</v>
      </c>
      <c r="D68" s="1" t="s">
        <v>166</v>
      </c>
      <c r="E68" s="18" t="s">
        <v>167</v>
      </c>
      <c r="F68" s="70" t="s">
        <v>33</v>
      </c>
      <c r="G68" s="113" t="s">
        <v>827</v>
      </c>
      <c r="H68" s="77"/>
      <c r="I68" s="77">
        <v>0.26640000000000003</v>
      </c>
      <c r="J68" s="77">
        <v>0.10249999999999999</v>
      </c>
      <c r="K68" s="77">
        <v>0.13539999999999999</v>
      </c>
      <c r="L68" s="77">
        <v>0.1188</v>
      </c>
      <c r="M68" s="77"/>
      <c r="N68" s="77"/>
      <c r="O68" s="77">
        <v>0.12130000000000001</v>
      </c>
      <c r="P68" s="77"/>
      <c r="Q68" s="77"/>
      <c r="R68" s="77">
        <v>9.4299999999999995E-2</v>
      </c>
      <c r="S68" s="77"/>
      <c r="T68" s="77"/>
      <c r="U68" s="77">
        <v>7.1999999999999995E-2</v>
      </c>
      <c r="V68" s="77"/>
      <c r="W68" s="77"/>
      <c r="X68" s="77">
        <v>5.16E-2</v>
      </c>
      <c r="Y68" s="77"/>
      <c r="Z68" s="77"/>
      <c r="AA68" s="77"/>
      <c r="AB68" s="77"/>
      <c r="AC68" s="77"/>
      <c r="AD68" s="77"/>
      <c r="AE68" s="77"/>
    </row>
    <row r="69" spans="1:31" x14ac:dyDescent="0.25">
      <c r="A69" s="3" t="s">
        <v>29</v>
      </c>
      <c r="B69" s="4" t="s">
        <v>30</v>
      </c>
      <c r="C69" s="5" t="s">
        <v>45</v>
      </c>
      <c r="D69" s="2" t="s">
        <v>172</v>
      </c>
      <c r="E69" s="18" t="s">
        <v>173</v>
      </c>
      <c r="F69" s="70" t="s">
        <v>33</v>
      </c>
      <c r="G69" s="113" t="s">
        <v>827</v>
      </c>
      <c r="H69" s="77"/>
      <c r="I69" s="77">
        <v>0.26640000000000003</v>
      </c>
      <c r="J69" s="77">
        <v>0.10249999999999999</v>
      </c>
      <c r="K69" s="77">
        <v>0.13539999999999999</v>
      </c>
      <c r="L69" s="77">
        <v>0.1188</v>
      </c>
      <c r="M69" s="77"/>
      <c r="N69" s="77"/>
      <c r="O69" s="77">
        <v>0.12130000000000001</v>
      </c>
      <c r="P69" s="77"/>
      <c r="Q69" s="77"/>
      <c r="R69" s="77">
        <v>9.4299999999999995E-2</v>
      </c>
      <c r="S69" s="77"/>
      <c r="T69" s="77"/>
      <c r="U69" s="77">
        <v>7.1999999999999995E-2</v>
      </c>
      <c r="V69" s="77"/>
      <c r="W69" s="77"/>
      <c r="X69" s="77">
        <v>5.16E-2</v>
      </c>
      <c r="Y69" s="77"/>
      <c r="Z69" s="77"/>
      <c r="AA69" s="77"/>
      <c r="AB69" s="77"/>
      <c r="AC69" s="77"/>
      <c r="AD69" s="77"/>
      <c r="AE69" s="77"/>
    </row>
    <row r="70" spans="1:31" x14ac:dyDescent="0.25">
      <c r="A70" s="103" t="s">
        <v>29</v>
      </c>
      <c r="B70" s="104" t="s">
        <v>42</v>
      </c>
      <c r="C70" s="105" t="s">
        <v>130</v>
      </c>
      <c r="D70" s="106" t="s">
        <v>455</v>
      </c>
      <c r="E70" s="107" t="s">
        <v>755</v>
      </c>
      <c r="F70" s="70" t="s">
        <v>33</v>
      </c>
      <c r="G70" s="113" t="s">
        <v>827</v>
      </c>
      <c r="H70" s="77"/>
      <c r="I70" s="77">
        <v>0.26640000000000003</v>
      </c>
      <c r="J70" s="77">
        <v>0.10249999999999999</v>
      </c>
      <c r="K70" s="77">
        <v>0.13539999999999999</v>
      </c>
      <c r="L70" s="77">
        <v>0.1188</v>
      </c>
      <c r="M70" s="77"/>
      <c r="N70" s="77"/>
      <c r="O70" s="77">
        <v>0.12130000000000001</v>
      </c>
      <c r="P70" s="77"/>
      <c r="Q70" s="77"/>
      <c r="R70" s="77">
        <v>9.4299999999999995E-2</v>
      </c>
      <c r="S70" s="77"/>
      <c r="T70" s="77"/>
      <c r="U70" s="77">
        <v>7.1999999999999995E-2</v>
      </c>
      <c r="V70" s="77"/>
      <c r="W70" s="77"/>
      <c r="X70" s="77">
        <v>5.16E-2</v>
      </c>
      <c r="Y70" s="77"/>
      <c r="Z70" s="77"/>
      <c r="AA70" s="77"/>
      <c r="AB70" s="77"/>
      <c r="AC70" s="77"/>
      <c r="AD70" s="77"/>
      <c r="AE70" s="77"/>
    </row>
    <row r="71" spans="1:31" x14ac:dyDescent="0.25">
      <c r="A71" s="3" t="s">
        <v>29</v>
      </c>
      <c r="B71" s="4" t="s">
        <v>42</v>
      </c>
      <c r="C71" s="5" t="s">
        <v>130</v>
      </c>
      <c r="D71" s="1" t="s">
        <v>130</v>
      </c>
      <c r="E71" s="18" t="s">
        <v>131</v>
      </c>
      <c r="F71" s="70" t="s">
        <v>33</v>
      </c>
      <c r="G71" s="113" t="s">
        <v>827</v>
      </c>
      <c r="H71" s="77"/>
      <c r="I71" s="77">
        <v>0.26640000000000003</v>
      </c>
      <c r="J71" s="77">
        <v>0.10249999999999999</v>
      </c>
      <c r="K71" s="77">
        <v>0.13539999999999999</v>
      </c>
      <c r="L71" s="77">
        <v>0.1188</v>
      </c>
      <c r="M71" s="77"/>
      <c r="N71" s="77"/>
      <c r="O71" s="77">
        <v>0.12130000000000001</v>
      </c>
      <c r="P71" s="77"/>
      <c r="Q71" s="77"/>
      <c r="R71" s="77">
        <v>9.4299999999999995E-2</v>
      </c>
      <c r="S71" s="77"/>
      <c r="T71" s="77"/>
      <c r="U71" s="77">
        <v>7.1999999999999995E-2</v>
      </c>
      <c r="V71" s="77"/>
      <c r="W71" s="77"/>
      <c r="X71" s="77">
        <v>5.16E-2</v>
      </c>
      <c r="Y71" s="77"/>
      <c r="Z71" s="77"/>
      <c r="AA71" s="77"/>
      <c r="AB71" s="77"/>
      <c r="AC71" s="77"/>
      <c r="AD71" s="77"/>
      <c r="AE71" s="77"/>
    </row>
    <row r="72" spans="1:31" x14ac:dyDescent="0.25">
      <c r="A72" s="3" t="s">
        <v>29</v>
      </c>
      <c r="B72" s="4" t="s">
        <v>90</v>
      </c>
      <c r="C72" s="5" t="s">
        <v>135</v>
      </c>
      <c r="D72" s="2" t="s">
        <v>136</v>
      </c>
      <c r="E72" s="18" t="s">
        <v>137</v>
      </c>
      <c r="F72" t="s">
        <v>33</v>
      </c>
      <c r="G72" s="113" t="s">
        <v>827</v>
      </c>
      <c r="H72" s="77"/>
      <c r="I72" s="77">
        <v>0.26640000000000003</v>
      </c>
      <c r="J72" s="77">
        <v>0.10249999999999999</v>
      </c>
      <c r="K72" s="77">
        <v>0.13539999999999999</v>
      </c>
      <c r="L72" s="77">
        <v>0.1188</v>
      </c>
      <c r="M72" s="77"/>
      <c r="N72" s="77"/>
      <c r="O72" s="77">
        <v>0.12130000000000001</v>
      </c>
      <c r="P72" s="77"/>
      <c r="Q72" s="77"/>
      <c r="R72" s="77">
        <v>9.4299999999999995E-2</v>
      </c>
      <c r="S72" s="77"/>
      <c r="T72" s="77"/>
      <c r="U72" s="77">
        <v>7.1999999999999995E-2</v>
      </c>
      <c r="V72" s="77"/>
      <c r="W72" s="77"/>
      <c r="X72" s="77">
        <v>5.16E-2</v>
      </c>
      <c r="Y72" s="77"/>
      <c r="Z72" s="77"/>
      <c r="AA72" s="77"/>
      <c r="AB72" s="77"/>
      <c r="AC72" s="77"/>
      <c r="AD72" s="77"/>
      <c r="AE72" s="77"/>
    </row>
    <row r="73" spans="1:31" x14ac:dyDescent="0.25">
      <c r="A73" s="3" t="s">
        <v>29</v>
      </c>
      <c r="B73" s="4" t="s">
        <v>90</v>
      </c>
      <c r="C73" s="5" t="s">
        <v>138</v>
      </c>
      <c r="D73" s="2" t="s">
        <v>139</v>
      </c>
      <c r="E73" s="18" t="s">
        <v>140</v>
      </c>
      <c r="F73" t="s">
        <v>33</v>
      </c>
      <c r="G73" s="113" t="s">
        <v>827</v>
      </c>
      <c r="H73" s="77"/>
      <c r="I73" s="77">
        <v>0.26640000000000003</v>
      </c>
      <c r="J73" s="77">
        <v>0.10249999999999999</v>
      </c>
      <c r="K73" s="77">
        <v>0.13539999999999999</v>
      </c>
      <c r="L73" s="77">
        <v>0.1188</v>
      </c>
      <c r="M73" s="77"/>
      <c r="N73" s="77"/>
      <c r="O73" s="77">
        <v>0.12130000000000001</v>
      </c>
      <c r="P73" s="77"/>
      <c r="Q73" s="77"/>
      <c r="R73" s="77">
        <v>9.4299999999999995E-2</v>
      </c>
      <c r="S73" s="77"/>
      <c r="T73" s="77"/>
      <c r="U73" s="77">
        <v>7.1999999999999995E-2</v>
      </c>
      <c r="V73" s="77"/>
      <c r="W73" s="77"/>
      <c r="X73" s="77">
        <v>5.16E-2</v>
      </c>
      <c r="Y73" s="77"/>
      <c r="Z73" s="77"/>
      <c r="AA73" s="77"/>
      <c r="AB73" s="77"/>
      <c r="AC73" s="77"/>
      <c r="AD73" s="77"/>
      <c r="AE73" s="77"/>
    </row>
    <row r="74" spans="1:31" x14ac:dyDescent="0.25">
      <c r="A74" s="3" t="s">
        <v>29</v>
      </c>
      <c r="B74" s="4" t="s">
        <v>90</v>
      </c>
      <c r="C74" s="5" t="s">
        <v>138</v>
      </c>
      <c r="D74" s="1" t="s">
        <v>170</v>
      </c>
      <c r="E74" s="18" t="s">
        <v>171</v>
      </c>
      <c r="F74" t="s">
        <v>33</v>
      </c>
      <c r="G74" s="113" t="s">
        <v>827</v>
      </c>
      <c r="H74" s="77"/>
      <c r="I74" s="77">
        <v>0.26640000000000003</v>
      </c>
      <c r="J74" s="77">
        <v>0.10249999999999999</v>
      </c>
      <c r="K74" s="77">
        <v>0.13539999999999999</v>
      </c>
      <c r="L74" s="77">
        <v>0.1188</v>
      </c>
      <c r="M74" s="77"/>
      <c r="N74" s="77"/>
      <c r="O74" s="77">
        <v>0.12130000000000001</v>
      </c>
      <c r="P74" s="77"/>
      <c r="Q74" s="77"/>
      <c r="R74" s="77">
        <v>9.4299999999999995E-2</v>
      </c>
      <c r="S74" s="77"/>
      <c r="T74" s="77"/>
      <c r="U74" s="77">
        <v>7.1999999999999995E-2</v>
      </c>
      <c r="V74" s="77"/>
      <c r="W74" s="77"/>
      <c r="X74" s="77">
        <v>5.16E-2</v>
      </c>
      <c r="Y74" s="77"/>
      <c r="Z74" s="77"/>
      <c r="AA74" s="77"/>
      <c r="AB74" s="77"/>
      <c r="AC74" s="77"/>
      <c r="AD74" s="77"/>
      <c r="AE74" s="77"/>
    </row>
    <row r="75" spans="1:31" x14ac:dyDescent="0.25">
      <c r="A75" s="3" t="s">
        <v>29</v>
      </c>
      <c r="B75" s="4" t="s">
        <v>34</v>
      </c>
      <c r="C75" s="5" t="s">
        <v>35</v>
      </c>
      <c r="D75" s="1" t="s">
        <v>36</v>
      </c>
      <c r="E75" s="18" t="s">
        <v>37</v>
      </c>
      <c r="F75" t="s">
        <v>33</v>
      </c>
      <c r="G75" s="113" t="s">
        <v>827</v>
      </c>
      <c r="H75" s="77"/>
      <c r="I75" s="77">
        <v>0.26640000000000003</v>
      </c>
      <c r="J75" s="77">
        <v>0.10249999999999999</v>
      </c>
      <c r="K75" s="77">
        <v>0.13539999999999999</v>
      </c>
      <c r="L75" s="77">
        <v>0.1188</v>
      </c>
      <c r="M75" s="77"/>
      <c r="N75" s="77"/>
      <c r="O75" s="77">
        <v>0.12130000000000001</v>
      </c>
      <c r="P75" s="77"/>
      <c r="Q75" s="77"/>
      <c r="R75" s="77">
        <v>9.4299999999999995E-2</v>
      </c>
      <c r="S75" s="77"/>
      <c r="T75" s="77"/>
      <c r="U75" s="77">
        <v>7.1999999999999995E-2</v>
      </c>
      <c r="V75" s="77"/>
      <c r="W75" s="77"/>
      <c r="X75" s="77">
        <v>5.16E-2</v>
      </c>
      <c r="Y75" s="77"/>
      <c r="Z75" s="77"/>
      <c r="AA75" s="77"/>
      <c r="AB75" s="77"/>
      <c r="AC75" s="77"/>
      <c r="AD75" s="77"/>
      <c r="AE75" s="77"/>
    </row>
    <row r="76" spans="1:31" x14ac:dyDescent="0.25">
      <c r="A76" s="3" t="s">
        <v>29</v>
      </c>
      <c r="B76" s="4" t="s">
        <v>34</v>
      </c>
      <c r="C76" s="5" t="s">
        <v>35</v>
      </c>
      <c r="D76" s="2" t="s">
        <v>61</v>
      </c>
      <c r="E76" s="18" t="s">
        <v>62</v>
      </c>
      <c r="F76" t="s">
        <v>33</v>
      </c>
      <c r="G76" s="113" t="s">
        <v>827</v>
      </c>
      <c r="H76" s="77"/>
      <c r="I76" s="77">
        <v>0.26640000000000003</v>
      </c>
      <c r="J76" s="77">
        <v>0.10249999999999999</v>
      </c>
      <c r="K76" s="77">
        <v>0.13539999999999999</v>
      </c>
      <c r="L76" s="77">
        <v>0.1188</v>
      </c>
      <c r="M76" s="77"/>
      <c r="N76" s="77"/>
      <c r="O76" s="77">
        <v>0.12130000000000001</v>
      </c>
      <c r="P76" s="77"/>
      <c r="Q76" s="77"/>
      <c r="R76" s="77">
        <v>9.4299999999999995E-2</v>
      </c>
      <c r="S76" s="77"/>
      <c r="T76" s="77"/>
      <c r="U76" s="77">
        <v>7.1999999999999995E-2</v>
      </c>
      <c r="V76" s="77"/>
      <c r="W76" s="77"/>
      <c r="X76" s="77">
        <v>5.16E-2</v>
      </c>
      <c r="Y76" s="77"/>
      <c r="Z76" s="77"/>
      <c r="AA76" s="77"/>
      <c r="AB76" s="77"/>
      <c r="AC76" s="77"/>
      <c r="AD76" s="77"/>
      <c r="AE76" s="77"/>
    </row>
    <row r="77" spans="1:31" x14ac:dyDescent="0.25">
      <c r="A77" s="3" t="s">
        <v>29</v>
      </c>
      <c r="B77" s="4" t="s">
        <v>34</v>
      </c>
      <c r="C77" s="5" t="s">
        <v>35</v>
      </c>
      <c r="D77" s="2" t="s">
        <v>66</v>
      </c>
      <c r="E77" s="18" t="s">
        <v>67</v>
      </c>
      <c r="F77" t="s">
        <v>33</v>
      </c>
      <c r="G77" s="113" t="s">
        <v>827</v>
      </c>
      <c r="H77" s="77"/>
      <c r="I77" s="77">
        <v>0.26640000000000003</v>
      </c>
      <c r="J77" s="77">
        <v>0.10249999999999999</v>
      </c>
      <c r="K77" s="77">
        <v>0.13539999999999999</v>
      </c>
      <c r="L77" s="77">
        <v>0.1188</v>
      </c>
      <c r="M77" s="77"/>
      <c r="N77" s="77"/>
      <c r="O77" s="77">
        <v>0.12130000000000001</v>
      </c>
      <c r="P77" s="77"/>
      <c r="Q77" s="77"/>
      <c r="R77" s="77">
        <v>9.4299999999999995E-2</v>
      </c>
      <c r="S77" s="77"/>
      <c r="T77" s="77"/>
      <c r="U77" s="77">
        <v>7.1999999999999995E-2</v>
      </c>
      <c r="V77" s="77"/>
      <c r="W77" s="77"/>
      <c r="X77" s="77">
        <v>5.16E-2</v>
      </c>
      <c r="Y77" s="77"/>
      <c r="Z77" s="77"/>
      <c r="AA77" s="77"/>
      <c r="AB77" s="77"/>
      <c r="AC77" s="77"/>
      <c r="AD77" s="77"/>
      <c r="AE77" s="77"/>
    </row>
    <row r="78" spans="1:31" x14ac:dyDescent="0.25">
      <c r="A78" s="3" t="s">
        <v>29</v>
      </c>
      <c r="B78" s="4" t="s">
        <v>34</v>
      </c>
      <c r="C78" s="5" t="s">
        <v>35</v>
      </c>
      <c r="D78" s="2" t="s">
        <v>100</v>
      </c>
      <c r="E78" s="18" t="s">
        <v>101</v>
      </c>
      <c r="F78" t="s">
        <v>33</v>
      </c>
      <c r="G78" s="113" t="s">
        <v>827</v>
      </c>
      <c r="H78" s="77"/>
      <c r="I78" s="77">
        <v>0.26640000000000003</v>
      </c>
      <c r="J78" s="77">
        <v>0.10249999999999999</v>
      </c>
      <c r="K78" s="77">
        <v>0.13539999999999999</v>
      </c>
      <c r="L78" s="77">
        <v>0.1188</v>
      </c>
      <c r="M78" s="77"/>
      <c r="N78" s="77"/>
      <c r="O78" s="77">
        <v>0.12130000000000001</v>
      </c>
      <c r="P78" s="77"/>
      <c r="Q78" s="77"/>
      <c r="R78" s="77">
        <v>9.4299999999999995E-2</v>
      </c>
      <c r="S78" s="77"/>
      <c r="T78" s="77"/>
      <c r="U78" s="77">
        <v>7.1999999999999995E-2</v>
      </c>
      <c r="V78" s="77"/>
      <c r="W78" s="77"/>
      <c r="X78" s="77">
        <v>5.16E-2</v>
      </c>
      <c r="Y78" s="77"/>
      <c r="Z78" s="77"/>
      <c r="AA78" s="77"/>
      <c r="AB78" s="77"/>
      <c r="AC78" s="77"/>
      <c r="AD78" s="77"/>
      <c r="AE78" s="77"/>
    </row>
    <row r="79" spans="1:31" x14ac:dyDescent="0.25">
      <c r="A79" s="3" t="s">
        <v>29</v>
      </c>
      <c r="B79" s="4" t="s">
        <v>34</v>
      </c>
      <c r="C79" s="5" t="s">
        <v>35</v>
      </c>
      <c r="D79" s="1" t="s">
        <v>102</v>
      </c>
      <c r="E79" s="18" t="s">
        <v>103</v>
      </c>
      <c r="F79" t="s">
        <v>33</v>
      </c>
      <c r="G79" s="113" t="s">
        <v>827</v>
      </c>
      <c r="H79" s="77"/>
      <c r="I79" s="77">
        <v>0.26640000000000003</v>
      </c>
      <c r="J79" s="77">
        <v>0.10249999999999999</v>
      </c>
      <c r="K79" s="77">
        <v>0.13539999999999999</v>
      </c>
      <c r="L79" s="77">
        <v>0.1188</v>
      </c>
      <c r="M79" s="77"/>
      <c r="N79" s="77"/>
      <c r="O79" s="77">
        <v>0.12130000000000001</v>
      </c>
      <c r="P79" s="77"/>
      <c r="Q79" s="77"/>
      <c r="R79" s="77">
        <v>9.4299999999999995E-2</v>
      </c>
      <c r="S79" s="77"/>
      <c r="T79" s="77"/>
      <c r="U79" s="77">
        <v>7.1999999999999995E-2</v>
      </c>
      <c r="V79" s="77"/>
      <c r="W79" s="77"/>
      <c r="X79" s="77">
        <v>5.16E-2</v>
      </c>
      <c r="Y79" s="77"/>
      <c r="Z79" s="77"/>
      <c r="AA79" s="77"/>
      <c r="AB79" s="77"/>
      <c r="AC79" s="77"/>
      <c r="AD79" s="77"/>
      <c r="AE79" s="77"/>
    </row>
    <row r="80" spans="1:31" x14ac:dyDescent="0.25">
      <c r="A80" s="3" t="s">
        <v>29</v>
      </c>
      <c r="B80" s="4" t="s">
        <v>34</v>
      </c>
      <c r="C80" s="5" t="s">
        <v>35</v>
      </c>
      <c r="D80" s="1" t="s">
        <v>107</v>
      </c>
      <c r="E80" s="18" t="s">
        <v>108</v>
      </c>
      <c r="F80" t="s">
        <v>33</v>
      </c>
      <c r="G80" s="113" t="s">
        <v>827</v>
      </c>
      <c r="H80" s="77"/>
      <c r="I80" s="77">
        <v>0.26640000000000003</v>
      </c>
      <c r="J80" s="77">
        <v>0.10249999999999999</v>
      </c>
      <c r="K80" s="77">
        <v>0.13539999999999999</v>
      </c>
      <c r="L80" s="77">
        <v>0.1188</v>
      </c>
      <c r="M80" s="77"/>
      <c r="N80" s="77"/>
      <c r="O80" s="77">
        <v>0.12130000000000001</v>
      </c>
      <c r="P80" s="77"/>
      <c r="Q80" s="77"/>
      <c r="R80" s="77">
        <v>9.4299999999999995E-2</v>
      </c>
      <c r="S80" s="77"/>
      <c r="T80" s="77"/>
      <c r="U80" s="77">
        <v>7.1999999999999995E-2</v>
      </c>
      <c r="V80" s="77"/>
      <c r="W80" s="77"/>
      <c r="X80" s="77">
        <v>5.16E-2</v>
      </c>
      <c r="Y80" s="77"/>
      <c r="Z80" s="77"/>
      <c r="AA80" s="77"/>
      <c r="AB80" s="77"/>
      <c r="AC80" s="77"/>
      <c r="AD80" s="77"/>
      <c r="AE80" s="77"/>
    </row>
    <row r="81" spans="1:31" x14ac:dyDescent="0.25">
      <c r="A81" s="3" t="s">
        <v>29</v>
      </c>
      <c r="B81" s="4" t="s">
        <v>34</v>
      </c>
      <c r="C81" s="5" t="s">
        <v>35</v>
      </c>
      <c r="D81" s="2" t="s">
        <v>111</v>
      </c>
      <c r="E81" s="18" t="s">
        <v>112</v>
      </c>
      <c r="F81" t="s">
        <v>33</v>
      </c>
      <c r="G81" s="113" t="s">
        <v>827</v>
      </c>
      <c r="H81" s="77"/>
      <c r="I81" s="77">
        <v>0.26640000000000003</v>
      </c>
      <c r="J81" s="77">
        <v>0.10249999999999999</v>
      </c>
      <c r="K81" s="77">
        <v>0.13539999999999999</v>
      </c>
      <c r="L81" s="77">
        <v>0.1188</v>
      </c>
      <c r="M81" s="77"/>
      <c r="N81" s="77"/>
      <c r="O81" s="77">
        <v>0.12130000000000001</v>
      </c>
      <c r="P81" s="77"/>
      <c r="Q81" s="77"/>
      <c r="R81" s="77">
        <v>9.4299999999999995E-2</v>
      </c>
      <c r="S81" s="77"/>
      <c r="T81" s="77"/>
      <c r="U81" s="77">
        <v>7.1999999999999995E-2</v>
      </c>
      <c r="V81" s="77"/>
      <c r="W81" s="77"/>
      <c r="X81" s="77">
        <v>5.16E-2</v>
      </c>
      <c r="Y81" s="77"/>
      <c r="Z81" s="77"/>
      <c r="AA81" s="77"/>
      <c r="AB81" s="77"/>
      <c r="AC81" s="77"/>
      <c r="AD81" s="77"/>
      <c r="AE81" s="77"/>
    </row>
    <row r="82" spans="1:31" x14ac:dyDescent="0.25">
      <c r="A82" s="3" t="s">
        <v>29</v>
      </c>
      <c r="B82" s="4" t="s">
        <v>34</v>
      </c>
      <c r="C82" s="5" t="s">
        <v>35</v>
      </c>
      <c r="D82" s="1" t="s">
        <v>121</v>
      </c>
      <c r="E82" s="18" t="s">
        <v>122</v>
      </c>
      <c r="F82" t="s">
        <v>33</v>
      </c>
      <c r="G82" s="113" t="s">
        <v>827</v>
      </c>
      <c r="H82" s="77"/>
      <c r="I82" s="77">
        <v>0.26640000000000003</v>
      </c>
      <c r="J82" s="77">
        <v>0.10249999999999999</v>
      </c>
      <c r="K82" s="77">
        <v>0.13539999999999999</v>
      </c>
      <c r="L82" s="77">
        <v>0.1188</v>
      </c>
      <c r="M82" s="77"/>
      <c r="N82" s="77"/>
      <c r="O82" s="77">
        <v>0.12130000000000001</v>
      </c>
      <c r="P82" s="77"/>
      <c r="Q82" s="77"/>
      <c r="R82" s="77">
        <v>9.4299999999999995E-2</v>
      </c>
      <c r="S82" s="77"/>
      <c r="T82" s="77"/>
      <c r="U82" s="77">
        <v>7.1999999999999995E-2</v>
      </c>
      <c r="V82" s="77"/>
      <c r="W82" s="77"/>
      <c r="X82" s="77">
        <v>5.16E-2</v>
      </c>
      <c r="Y82" s="77"/>
      <c r="Z82" s="77"/>
      <c r="AA82" s="77"/>
      <c r="AB82" s="77"/>
      <c r="AC82" s="77"/>
      <c r="AD82" s="77"/>
      <c r="AE82" s="77"/>
    </row>
    <row r="83" spans="1:31" x14ac:dyDescent="0.25">
      <c r="A83" s="3" t="s">
        <v>29</v>
      </c>
      <c r="B83" s="4" t="s">
        <v>34</v>
      </c>
      <c r="C83" s="5" t="s">
        <v>35</v>
      </c>
      <c r="D83" s="2" t="s">
        <v>126</v>
      </c>
      <c r="E83" s="18" t="s">
        <v>127</v>
      </c>
      <c r="F83" t="s">
        <v>33</v>
      </c>
      <c r="G83" s="113" t="s">
        <v>827</v>
      </c>
      <c r="H83" s="77"/>
      <c r="I83" s="77">
        <v>0.26640000000000003</v>
      </c>
      <c r="J83" s="77">
        <v>0.10249999999999999</v>
      </c>
      <c r="K83" s="77">
        <v>0.13539999999999999</v>
      </c>
      <c r="L83" s="77">
        <v>0.1188</v>
      </c>
      <c r="M83" s="77"/>
      <c r="N83" s="77"/>
      <c r="O83" s="77">
        <v>0.12130000000000001</v>
      </c>
      <c r="P83" s="77"/>
      <c r="Q83" s="77"/>
      <c r="R83" s="77">
        <v>9.4299999999999995E-2</v>
      </c>
      <c r="S83" s="77"/>
      <c r="T83" s="77"/>
      <c r="U83" s="77">
        <v>7.1999999999999995E-2</v>
      </c>
      <c r="V83" s="77"/>
      <c r="W83" s="77"/>
      <c r="X83" s="77">
        <v>5.16E-2</v>
      </c>
      <c r="Y83" s="77"/>
      <c r="Z83" s="77"/>
      <c r="AA83" s="77"/>
      <c r="AB83" s="77"/>
      <c r="AC83" s="77"/>
      <c r="AD83" s="77"/>
      <c r="AE83" s="77"/>
    </row>
    <row r="84" spans="1:31" x14ac:dyDescent="0.25">
      <c r="A84" s="3" t="s">
        <v>29</v>
      </c>
      <c r="B84" s="4" t="s">
        <v>38</v>
      </c>
      <c r="C84" s="5" t="s">
        <v>39</v>
      </c>
      <c r="D84" s="2" t="s">
        <v>40</v>
      </c>
      <c r="E84" s="18" t="s">
        <v>41</v>
      </c>
      <c r="F84" t="s">
        <v>33</v>
      </c>
      <c r="G84" s="113" t="s">
        <v>827</v>
      </c>
      <c r="H84" s="77"/>
      <c r="I84" s="77">
        <v>0.26640000000000003</v>
      </c>
      <c r="J84" s="77">
        <v>0.10249999999999999</v>
      </c>
      <c r="K84" s="77">
        <v>0.13539999999999999</v>
      </c>
      <c r="L84" s="77">
        <v>0.1188</v>
      </c>
      <c r="M84" s="77"/>
      <c r="N84" s="77"/>
      <c r="O84" s="77">
        <v>0.12130000000000001</v>
      </c>
      <c r="P84" s="77"/>
      <c r="Q84" s="77"/>
      <c r="R84" s="77">
        <v>9.4299999999999995E-2</v>
      </c>
      <c r="S84" s="77"/>
      <c r="T84" s="77"/>
      <c r="U84" s="77">
        <v>7.1999999999999995E-2</v>
      </c>
      <c r="V84" s="77"/>
      <c r="W84" s="77"/>
      <c r="X84" s="77">
        <v>5.16E-2</v>
      </c>
      <c r="Y84" s="77"/>
      <c r="Z84" s="77"/>
      <c r="AA84" s="77"/>
      <c r="AB84" s="77"/>
      <c r="AC84" s="77"/>
      <c r="AD84" s="77"/>
      <c r="AE84" s="77"/>
    </row>
    <row r="85" spans="1:31" x14ac:dyDescent="0.25">
      <c r="A85" s="92" t="s">
        <v>29</v>
      </c>
      <c r="B85" s="4" t="s">
        <v>38</v>
      </c>
      <c r="C85" s="5" t="s">
        <v>39</v>
      </c>
      <c r="D85" s="1" t="s">
        <v>257</v>
      </c>
      <c r="E85" s="18" t="s">
        <v>258</v>
      </c>
      <c r="F85" t="s">
        <v>33</v>
      </c>
      <c r="G85" s="113" t="s">
        <v>827</v>
      </c>
      <c r="H85" s="77"/>
      <c r="I85" s="77">
        <v>0.26640000000000003</v>
      </c>
      <c r="J85" s="77">
        <v>0.10249999999999999</v>
      </c>
      <c r="K85" s="77">
        <v>0.13539999999999999</v>
      </c>
      <c r="L85" s="77">
        <v>0.1188</v>
      </c>
      <c r="M85" s="77"/>
      <c r="N85" s="77"/>
      <c r="O85" s="77">
        <v>0.12130000000000001</v>
      </c>
      <c r="P85" s="77"/>
      <c r="Q85" s="77"/>
      <c r="R85" s="77">
        <v>9.4299999999999995E-2</v>
      </c>
      <c r="S85" s="77"/>
      <c r="T85" s="77"/>
      <c r="U85" s="77">
        <v>7.1999999999999995E-2</v>
      </c>
      <c r="V85" s="77"/>
      <c r="W85" s="77"/>
      <c r="X85" s="77">
        <v>5.16E-2</v>
      </c>
      <c r="Y85" s="77"/>
      <c r="Z85" s="77"/>
      <c r="AA85" s="77"/>
      <c r="AB85" s="77"/>
      <c r="AC85" s="77"/>
      <c r="AD85" s="77"/>
      <c r="AE85" s="77"/>
    </row>
    <row r="86" spans="1:31" x14ac:dyDescent="0.25">
      <c r="A86" s="3" t="s">
        <v>29</v>
      </c>
      <c r="B86" s="4" t="s">
        <v>38</v>
      </c>
      <c r="C86" s="5" t="s">
        <v>39</v>
      </c>
      <c r="D86" s="2" t="s">
        <v>406</v>
      </c>
      <c r="E86" s="18" t="s">
        <v>116</v>
      </c>
      <c r="F86" t="s">
        <v>33</v>
      </c>
      <c r="G86" s="113" t="s">
        <v>827</v>
      </c>
      <c r="H86" s="77"/>
      <c r="I86" s="77">
        <v>0.26640000000000003</v>
      </c>
      <c r="J86" s="77">
        <v>0.10249999999999999</v>
      </c>
      <c r="K86" s="77">
        <v>0.13539999999999999</v>
      </c>
      <c r="L86" s="77">
        <v>0.1188</v>
      </c>
      <c r="M86" s="77"/>
      <c r="N86" s="77"/>
      <c r="O86" s="77">
        <v>0.12130000000000001</v>
      </c>
      <c r="P86" s="77"/>
      <c r="Q86" s="77"/>
      <c r="R86" s="77">
        <v>9.4299999999999995E-2</v>
      </c>
      <c r="S86" s="77"/>
      <c r="T86" s="77"/>
      <c r="U86" s="77">
        <v>7.1999999999999995E-2</v>
      </c>
      <c r="V86" s="77"/>
      <c r="W86" s="77"/>
      <c r="X86" s="77">
        <v>5.16E-2</v>
      </c>
      <c r="Y86" s="77"/>
      <c r="Z86" s="77"/>
      <c r="AA86" s="77"/>
      <c r="AB86" s="77"/>
      <c r="AC86" s="77"/>
      <c r="AD86" s="77"/>
      <c r="AE86" s="77"/>
    </row>
    <row r="87" spans="1:31" x14ac:dyDescent="0.25">
      <c r="A87" s="3" t="s">
        <v>29</v>
      </c>
      <c r="B87" s="4" t="s">
        <v>38</v>
      </c>
      <c r="C87" s="5" t="s">
        <v>39</v>
      </c>
      <c r="D87" s="1" t="s">
        <v>128</v>
      </c>
      <c r="E87" s="18" t="s">
        <v>129</v>
      </c>
      <c r="F87" t="s">
        <v>33</v>
      </c>
      <c r="G87" s="113" t="s">
        <v>827</v>
      </c>
      <c r="H87" s="77"/>
      <c r="I87" s="77">
        <v>0.26640000000000003</v>
      </c>
      <c r="J87" s="77">
        <v>0.10249999999999999</v>
      </c>
      <c r="K87" s="77">
        <v>0.13539999999999999</v>
      </c>
      <c r="L87" s="77">
        <v>0.1188</v>
      </c>
      <c r="M87" s="77"/>
      <c r="N87" s="77"/>
      <c r="O87" s="77">
        <v>0.12130000000000001</v>
      </c>
      <c r="P87" s="77"/>
      <c r="Q87" s="77"/>
      <c r="R87" s="77">
        <v>9.4299999999999995E-2</v>
      </c>
      <c r="S87" s="77"/>
      <c r="T87" s="77"/>
      <c r="U87" s="77">
        <v>7.1999999999999995E-2</v>
      </c>
      <c r="V87" s="77"/>
      <c r="W87" s="77"/>
      <c r="X87" s="77">
        <v>5.16E-2</v>
      </c>
      <c r="Y87" s="77"/>
      <c r="Z87" s="77"/>
      <c r="AA87" s="77"/>
      <c r="AB87" s="77"/>
      <c r="AC87" s="77"/>
      <c r="AD87" s="77"/>
      <c r="AE87" s="77"/>
    </row>
    <row r="88" spans="1:31" x14ac:dyDescent="0.25">
      <c r="A88" s="92" t="s">
        <v>29</v>
      </c>
      <c r="B88" s="93" t="s">
        <v>38</v>
      </c>
      <c r="C88" s="94" t="s">
        <v>39</v>
      </c>
      <c r="D88" s="96" t="s">
        <v>411</v>
      </c>
      <c r="E88" s="18" t="s">
        <v>771</v>
      </c>
      <c r="F88" t="s">
        <v>33</v>
      </c>
      <c r="G88" s="113" t="s">
        <v>827</v>
      </c>
      <c r="H88" s="77"/>
      <c r="I88" s="77">
        <v>0.26640000000000003</v>
      </c>
      <c r="J88" s="77">
        <v>0.10249999999999999</v>
      </c>
      <c r="K88" s="77">
        <v>0.13539999999999999</v>
      </c>
      <c r="L88" s="77">
        <v>0.1188</v>
      </c>
      <c r="M88" s="77"/>
      <c r="N88" s="77"/>
      <c r="O88" s="77">
        <v>0.12130000000000001</v>
      </c>
      <c r="P88" s="77"/>
      <c r="Q88" s="77"/>
      <c r="R88" s="77">
        <v>9.4299999999999995E-2</v>
      </c>
      <c r="S88" s="77"/>
      <c r="T88" s="77"/>
      <c r="U88" s="77">
        <v>7.1999999999999995E-2</v>
      </c>
      <c r="V88" s="77"/>
      <c r="W88" s="77"/>
      <c r="X88" s="77">
        <v>5.16E-2</v>
      </c>
      <c r="Y88" s="77"/>
      <c r="Z88" s="77"/>
      <c r="AA88" s="77"/>
      <c r="AB88" s="77"/>
      <c r="AC88" s="77"/>
      <c r="AD88" s="77"/>
      <c r="AE88" s="77"/>
    </row>
    <row r="89" spans="1:31" x14ac:dyDescent="0.25">
      <c r="A89" s="3" t="s">
        <v>29</v>
      </c>
      <c r="B89" s="4" t="s">
        <v>38</v>
      </c>
      <c r="C89" s="5" t="s">
        <v>39</v>
      </c>
      <c r="D89" s="1" t="s">
        <v>39</v>
      </c>
      <c r="E89" s="18" t="s">
        <v>151</v>
      </c>
      <c r="F89" t="s">
        <v>33</v>
      </c>
      <c r="G89" s="113" t="s">
        <v>827</v>
      </c>
      <c r="H89" s="77"/>
      <c r="I89" s="77">
        <v>0.26640000000000003</v>
      </c>
      <c r="J89" s="77">
        <v>0.10249999999999999</v>
      </c>
      <c r="K89" s="77">
        <v>0.13539999999999999</v>
      </c>
      <c r="L89" s="77">
        <v>0.1188</v>
      </c>
      <c r="M89" s="77"/>
      <c r="N89" s="77"/>
      <c r="O89" s="77">
        <v>0.12130000000000001</v>
      </c>
      <c r="P89" s="77"/>
      <c r="Q89" s="77"/>
      <c r="R89" s="77">
        <v>9.4299999999999995E-2</v>
      </c>
      <c r="S89" s="77"/>
      <c r="T89" s="77"/>
      <c r="U89" s="77">
        <v>7.1999999999999995E-2</v>
      </c>
      <c r="V89" s="77"/>
      <c r="W89" s="77"/>
      <c r="X89" s="77">
        <v>5.16E-2</v>
      </c>
      <c r="Y89" s="77"/>
      <c r="Z89" s="77"/>
      <c r="AA89" s="77"/>
      <c r="AB89" s="77"/>
      <c r="AC89" s="77"/>
      <c r="AD89" s="77"/>
      <c r="AE89" s="77"/>
    </row>
    <row r="90" spans="1:31" x14ac:dyDescent="0.25">
      <c r="A90" s="3" t="s">
        <v>29</v>
      </c>
      <c r="B90" s="4" t="s">
        <v>38</v>
      </c>
      <c r="C90" s="5" t="s">
        <v>39</v>
      </c>
      <c r="D90" s="1" t="s">
        <v>164</v>
      </c>
      <c r="E90" s="67" t="s">
        <v>165</v>
      </c>
      <c r="F90" t="s">
        <v>33</v>
      </c>
      <c r="G90" s="113" t="s">
        <v>827</v>
      </c>
      <c r="H90" s="77"/>
      <c r="I90" s="77">
        <v>0.26640000000000003</v>
      </c>
      <c r="J90" s="77">
        <v>0.10249999999999999</v>
      </c>
      <c r="K90" s="77">
        <v>0.13539999999999999</v>
      </c>
      <c r="L90" s="77">
        <v>0.1188</v>
      </c>
      <c r="M90" s="77"/>
      <c r="N90" s="77"/>
      <c r="O90" s="77">
        <v>0.12130000000000001</v>
      </c>
      <c r="P90" s="77"/>
      <c r="Q90" s="77"/>
      <c r="R90" s="77">
        <v>9.4299999999999995E-2</v>
      </c>
      <c r="S90" s="77"/>
      <c r="T90" s="77"/>
      <c r="U90" s="77">
        <v>7.1999999999999995E-2</v>
      </c>
      <c r="V90" s="77"/>
      <c r="W90" s="77"/>
      <c r="X90" s="77">
        <v>5.16E-2</v>
      </c>
      <c r="Y90" s="77"/>
      <c r="Z90" s="77"/>
      <c r="AA90" s="77"/>
      <c r="AB90" s="77"/>
      <c r="AC90" s="77"/>
      <c r="AD90" s="77"/>
      <c r="AE90" s="77"/>
    </row>
    <row r="91" spans="1:31" x14ac:dyDescent="0.25">
      <c r="A91" s="3" t="s">
        <v>29</v>
      </c>
      <c r="B91" s="4" t="s">
        <v>42</v>
      </c>
      <c r="C91" s="5" t="s">
        <v>154</v>
      </c>
      <c r="D91" s="1" t="s">
        <v>154</v>
      </c>
      <c r="E91" s="67" t="s">
        <v>155</v>
      </c>
      <c r="F91" s="70" t="s">
        <v>33</v>
      </c>
      <c r="G91" s="113" t="s">
        <v>827</v>
      </c>
      <c r="H91" s="77"/>
      <c r="I91" s="77">
        <v>0.26640000000000003</v>
      </c>
      <c r="J91" s="77">
        <v>0.10249999999999999</v>
      </c>
      <c r="K91" s="77">
        <v>0.13539999999999999</v>
      </c>
      <c r="L91" s="77">
        <v>0.1188</v>
      </c>
      <c r="M91" s="77"/>
      <c r="N91" s="77"/>
      <c r="O91" s="77">
        <v>0.12130000000000001</v>
      </c>
      <c r="P91" s="77"/>
      <c r="Q91" s="77"/>
      <c r="R91" s="77">
        <v>9.4299999999999995E-2</v>
      </c>
      <c r="S91" s="77"/>
      <c r="T91" s="77"/>
      <c r="U91" s="77">
        <v>7.1999999999999995E-2</v>
      </c>
      <c r="V91" s="77"/>
      <c r="W91" s="77"/>
      <c r="X91" s="77">
        <v>5.16E-2</v>
      </c>
      <c r="Y91" s="77"/>
      <c r="Z91" s="77"/>
      <c r="AA91" s="77"/>
      <c r="AB91" s="77"/>
      <c r="AC91" s="77"/>
      <c r="AD91" s="77"/>
      <c r="AE91" s="77"/>
    </row>
    <row r="92" spans="1:31" x14ac:dyDescent="0.25">
      <c r="A92" s="3" t="s">
        <v>29</v>
      </c>
      <c r="B92" s="4" t="s">
        <v>34</v>
      </c>
      <c r="C92" s="5" t="s">
        <v>123</v>
      </c>
      <c r="D92" s="1" t="s">
        <v>124</v>
      </c>
      <c r="E92" s="67" t="s">
        <v>125</v>
      </c>
      <c r="F92" s="70" t="s">
        <v>33</v>
      </c>
      <c r="G92" s="113" t="s">
        <v>827</v>
      </c>
      <c r="H92" s="77"/>
      <c r="I92" s="77">
        <v>0.26640000000000003</v>
      </c>
      <c r="J92" s="77">
        <v>0.10249999999999999</v>
      </c>
      <c r="K92" s="77">
        <v>0.13539999999999999</v>
      </c>
      <c r="L92" s="77">
        <v>0.1188</v>
      </c>
      <c r="M92" s="77"/>
      <c r="N92" s="77"/>
      <c r="O92" s="77">
        <v>0.12130000000000001</v>
      </c>
      <c r="P92" s="77"/>
      <c r="Q92" s="77"/>
      <c r="R92" s="77">
        <v>9.4299999999999995E-2</v>
      </c>
      <c r="S92" s="77"/>
      <c r="T92" s="77"/>
      <c r="U92" s="77">
        <v>7.1999999999999995E-2</v>
      </c>
      <c r="V92" s="77"/>
      <c r="W92" s="77"/>
      <c r="X92" s="77">
        <v>5.16E-2</v>
      </c>
      <c r="Y92" s="77"/>
      <c r="Z92" s="77"/>
      <c r="AA92" s="77"/>
      <c r="AB92" s="77"/>
      <c r="AC92" s="77"/>
      <c r="AD92" s="77"/>
      <c r="AE92" s="77"/>
    </row>
    <row r="93" spans="1:31" x14ac:dyDescent="0.25">
      <c r="A93" s="3" t="s">
        <v>29</v>
      </c>
      <c r="B93" s="4" t="s">
        <v>34</v>
      </c>
      <c r="C93" s="5" t="s">
        <v>123</v>
      </c>
      <c r="D93" s="1" t="s">
        <v>162</v>
      </c>
      <c r="E93" s="67" t="s">
        <v>163</v>
      </c>
      <c r="F93" s="70" t="s">
        <v>33</v>
      </c>
      <c r="G93" s="113" t="s">
        <v>827</v>
      </c>
      <c r="H93" s="77"/>
      <c r="I93" s="77">
        <v>0.26640000000000003</v>
      </c>
      <c r="J93" s="77">
        <v>0.10249999999999999</v>
      </c>
      <c r="K93" s="77">
        <v>0.13539999999999999</v>
      </c>
      <c r="L93" s="77">
        <v>0.1188</v>
      </c>
      <c r="M93" s="77"/>
      <c r="N93" s="77"/>
      <c r="O93" s="77">
        <v>0.12130000000000001</v>
      </c>
      <c r="P93" s="77"/>
      <c r="Q93" s="77"/>
      <c r="R93" s="77">
        <v>9.4299999999999995E-2</v>
      </c>
      <c r="S93" s="77"/>
      <c r="T93" s="77"/>
      <c r="U93" s="77">
        <v>7.1999999999999995E-2</v>
      </c>
      <c r="V93" s="77"/>
      <c r="W93" s="77"/>
      <c r="X93" s="77">
        <v>5.16E-2</v>
      </c>
      <c r="Y93" s="77"/>
      <c r="Z93" s="77"/>
      <c r="AA93" s="77"/>
      <c r="AB93" s="77"/>
      <c r="AC93" s="77"/>
      <c r="AD93" s="77"/>
      <c r="AE93" s="77"/>
    </row>
    <row r="94" spans="1:31" x14ac:dyDescent="0.25">
      <c r="A94" s="3" t="s">
        <v>29</v>
      </c>
      <c r="B94" s="4" t="s">
        <v>42</v>
      </c>
      <c r="C94" s="5" t="s">
        <v>143</v>
      </c>
      <c r="D94" s="1" t="s">
        <v>144</v>
      </c>
      <c r="E94" s="67" t="s">
        <v>145</v>
      </c>
      <c r="F94" s="70" t="s">
        <v>33</v>
      </c>
      <c r="G94" s="113" t="s">
        <v>827</v>
      </c>
      <c r="H94" s="77"/>
      <c r="I94" s="77">
        <v>0.26640000000000003</v>
      </c>
      <c r="J94" s="77">
        <v>0.10249999999999999</v>
      </c>
      <c r="K94" s="77">
        <v>0.13539999999999999</v>
      </c>
      <c r="L94" s="77">
        <v>0.1188</v>
      </c>
      <c r="M94" s="77"/>
      <c r="N94" s="77"/>
      <c r="O94" s="77">
        <v>0.12130000000000001</v>
      </c>
      <c r="P94" s="77"/>
      <c r="Q94" s="77"/>
      <c r="R94" s="77">
        <v>9.4299999999999995E-2</v>
      </c>
      <c r="S94" s="77"/>
      <c r="T94" s="77"/>
      <c r="U94" s="77">
        <v>7.1999999999999995E-2</v>
      </c>
      <c r="V94" s="77"/>
      <c r="W94" s="77"/>
      <c r="X94" s="77">
        <v>5.16E-2</v>
      </c>
      <c r="Y94" s="77"/>
      <c r="Z94" s="77"/>
      <c r="AA94" s="77"/>
      <c r="AB94" s="77"/>
      <c r="AC94" s="77"/>
      <c r="AD94" s="77"/>
      <c r="AE94" s="77"/>
    </row>
    <row r="95" spans="1:31" x14ac:dyDescent="0.25">
      <c r="A95" s="3" t="s">
        <v>829</v>
      </c>
      <c r="B95" s="4" t="s">
        <v>177</v>
      </c>
      <c r="C95" s="5" t="s">
        <v>81</v>
      </c>
      <c r="D95" s="1" t="s">
        <v>178</v>
      </c>
      <c r="E95" s="67" t="s">
        <v>179</v>
      </c>
      <c r="F95" s="67" t="s">
        <v>180</v>
      </c>
      <c r="G95" s="113" t="s">
        <v>832</v>
      </c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>
        <v>3.5400000000000001E-2</v>
      </c>
      <c r="AB95" s="77"/>
      <c r="AC95" s="77"/>
      <c r="AD95" s="77"/>
      <c r="AE95" s="77"/>
    </row>
    <row r="96" spans="1:31" x14ac:dyDescent="0.25">
      <c r="A96" s="3" t="s">
        <v>181</v>
      </c>
      <c r="B96" s="4" t="s">
        <v>177</v>
      </c>
      <c r="C96" s="5" t="s">
        <v>81</v>
      </c>
      <c r="D96" s="1" t="s">
        <v>182</v>
      </c>
      <c r="E96" s="67" t="s">
        <v>183</v>
      </c>
      <c r="F96" s="67" t="s">
        <v>180</v>
      </c>
      <c r="G96" s="113" t="s">
        <v>831</v>
      </c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</row>
    <row r="97" spans="1:31" x14ac:dyDescent="0.25">
      <c r="A97" s="3" t="s">
        <v>184</v>
      </c>
      <c r="B97" s="4" t="s">
        <v>177</v>
      </c>
      <c r="C97" s="5" t="s">
        <v>81</v>
      </c>
      <c r="D97" s="2" t="s">
        <v>31</v>
      </c>
      <c r="E97" s="67" t="s">
        <v>32</v>
      </c>
      <c r="F97" s="70" t="s">
        <v>33</v>
      </c>
      <c r="G97" s="113" t="s">
        <v>848</v>
      </c>
      <c r="H97" s="77"/>
      <c r="I97" s="77"/>
      <c r="J97" s="77">
        <v>0.3</v>
      </c>
      <c r="K97" s="77"/>
      <c r="L97" s="77"/>
      <c r="M97" s="77"/>
      <c r="N97" s="77">
        <v>0.21740000000000001</v>
      </c>
      <c r="O97" s="77"/>
      <c r="P97" s="77"/>
      <c r="Q97" s="77">
        <v>0.1056</v>
      </c>
      <c r="R97" s="77"/>
      <c r="S97" s="74"/>
      <c r="T97" s="77">
        <v>5.3699999999999998E-2</v>
      </c>
      <c r="U97" s="77"/>
      <c r="V97" s="77"/>
      <c r="W97" s="77">
        <v>0.06</v>
      </c>
      <c r="X97" s="77"/>
      <c r="Y97" s="77"/>
      <c r="Z97" s="77">
        <v>0.03</v>
      </c>
      <c r="AA97" s="77"/>
      <c r="AB97" s="77"/>
      <c r="AC97" s="77">
        <v>0.1056</v>
      </c>
      <c r="AD97" s="77"/>
      <c r="AE97" s="77"/>
    </row>
    <row r="98" spans="1:31" x14ac:dyDescent="0.25">
      <c r="A98" s="3" t="s">
        <v>184</v>
      </c>
      <c r="B98" s="4" t="s">
        <v>177</v>
      </c>
      <c r="C98" s="5" t="s">
        <v>81</v>
      </c>
      <c r="D98" s="1" t="s">
        <v>191</v>
      </c>
      <c r="E98" s="67" t="s">
        <v>192</v>
      </c>
      <c r="F98" s="70" t="s">
        <v>33</v>
      </c>
      <c r="G98" s="113" t="s">
        <v>848</v>
      </c>
      <c r="H98" s="77"/>
      <c r="I98" s="77"/>
      <c r="J98" s="77">
        <v>0.3</v>
      </c>
      <c r="K98" s="77"/>
      <c r="L98" s="77"/>
      <c r="M98" s="77"/>
      <c r="N98" s="77">
        <v>0.21740000000000001</v>
      </c>
      <c r="O98" s="77"/>
      <c r="P98" s="77"/>
      <c r="Q98" s="77">
        <v>0.1056</v>
      </c>
      <c r="R98" s="77"/>
      <c r="S98" s="74"/>
      <c r="T98" s="77">
        <v>5.3699999999999998E-2</v>
      </c>
      <c r="U98" s="77"/>
      <c r="V98" s="77"/>
      <c r="W98" s="77">
        <v>0.06</v>
      </c>
      <c r="X98" s="77"/>
      <c r="Y98" s="77"/>
      <c r="Z98" s="77">
        <v>0.03</v>
      </c>
      <c r="AA98" s="77"/>
      <c r="AB98" s="77"/>
      <c r="AC98" s="77">
        <v>0.1056</v>
      </c>
      <c r="AD98" s="77"/>
      <c r="AE98" s="77"/>
    </row>
    <row r="99" spans="1:31" x14ac:dyDescent="0.25">
      <c r="A99" s="3" t="s">
        <v>184</v>
      </c>
      <c r="B99" s="4" t="s">
        <v>177</v>
      </c>
      <c r="C99" s="5" t="s">
        <v>81</v>
      </c>
      <c r="D99" s="2" t="s">
        <v>197</v>
      </c>
      <c r="E99" s="67" t="s">
        <v>198</v>
      </c>
      <c r="F99" s="70" t="s">
        <v>33</v>
      </c>
      <c r="G99" s="113" t="s">
        <v>848</v>
      </c>
      <c r="H99" s="77"/>
      <c r="I99" s="77"/>
      <c r="J99" s="77">
        <v>0.3</v>
      </c>
      <c r="K99" s="77"/>
      <c r="L99" s="77"/>
      <c r="M99" s="77"/>
      <c r="N99" s="77">
        <v>0.21740000000000001</v>
      </c>
      <c r="O99" s="77"/>
      <c r="P99" s="77"/>
      <c r="Q99" s="77">
        <v>0.1056</v>
      </c>
      <c r="R99" s="77"/>
      <c r="S99" s="74"/>
      <c r="T99" s="77">
        <v>5.3699999999999998E-2</v>
      </c>
      <c r="U99" s="77"/>
      <c r="V99" s="77"/>
      <c r="W99" s="77">
        <v>0.06</v>
      </c>
      <c r="X99" s="77"/>
      <c r="Y99" s="77"/>
      <c r="Z99" s="77">
        <v>0.03</v>
      </c>
      <c r="AA99" s="77"/>
      <c r="AB99" s="77"/>
      <c r="AC99" s="77">
        <v>0.1056</v>
      </c>
      <c r="AD99" s="77"/>
      <c r="AE99" s="77"/>
    </row>
    <row r="100" spans="1:31" x14ac:dyDescent="0.25">
      <c r="A100" s="3" t="s">
        <v>184</v>
      </c>
      <c r="B100" s="4" t="s">
        <v>177</v>
      </c>
      <c r="C100" s="5" t="s">
        <v>81</v>
      </c>
      <c r="D100" s="1" t="s">
        <v>205</v>
      </c>
      <c r="E100" s="67" t="s">
        <v>206</v>
      </c>
      <c r="F100" s="70" t="s">
        <v>33</v>
      </c>
      <c r="G100" s="113" t="s">
        <v>848</v>
      </c>
      <c r="H100" s="77"/>
      <c r="I100" s="77"/>
      <c r="J100" s="77">
        <v>0.3</v>
      </c>
      <c r="K100" s="77"/>
      <c r="L100" s="77"/>
      <c r="M100" s="77"/>
      <c r="N100" s="77">
        <v>0.21740000000000001</v>
      </c>
      <c r="O100" s="77"/>
      <c r="P100" s="77"/>
      <c r="Q100" s="77">
        <v>0.1056</v>
      </c>
      <c r="R100" s="77"/>
      <c r="S100" s="74"/>
      <c r="T100" s="77">
        <v>5.3699999999999998E-2</v>
      </c>
      <c r="U100" s="77"/>
      <c r="V100" s="77"/>
      <c r="W100" s="77">
        <v>0.06</v>
      </c>
      <c r="X100" s="77"/>
      <c r="Y100" s="77"/>
      <c r="Z100" s="77">
        <v>0.03</v>
      </c>
      <c r="AA100" s="77"/>
      <c r="AB100" s="77"/>
      <c r="AC100" s="77">
        <v>0.1056</v>
      </c>
      <c r="AD100" s="77"/>
      <c r="AE100" s="77"/>
    </row>
    <row r="101" spans="1:31" x14ac:dyDescent="0.25">
      <c r="A101" s="3" t="s">
        <v>184</v>
      </c>
      <c r="B101" s="4" t="s">
        <v>34</v>
      </c>
      <c r="C101" s="5" t="s">
        <v>51</v>
      </c>
      <c r="D101" s="1" t="s">
        <v>52</v>
      </c>
      <c r="E101" s="67" t="s">
        <v>53</v>
      </c>
      <c r="F101" s="70" t="s">
        <v>33</v>
      </c>
      <c r="G101" s="113" t="s">
        <v>848</v>
      </c>
      <c r="H101" s="77"/>
      <c r="I101" s="77"/>
      <c r="J101" s="77">
        <v>0.3</v>
      </c>
      <c r="K101" s="77"/>
      <c r="L101" s="77"/>
      <c r="M101" s="77"/>
      <c r="N101" s="77">
        <v>0.21740000000000001</v>
      </c>
      <c r="O101" s="77"/>
      <c r="P101" s="77"/>
      <c r="Q101" s="77">
        <v>0.1056</v>
      </c>
      <c r="R101" s="77"/>
      <c r="S101" s="74"/>
      <c r="T101" s="77">
        <v>5.3699999999999998E-2</v>
      </c>
      <c r="U101" s="77"/>
      <c r="V101" s="77"/>
      <c r="W101" s="77">
        <v>0.06</v>
      </c>
      <c r="X101" s="77"/>
      <c r="Y101" s="77"/>
      <c r="Z101" s="77">
        <v>0.03</v>
      </c>
      <c r="AA101" s="77"/>
      <c r="AB101" s="77"/>
      <c r="AC101" s="77">
        <v>0.1056</v>
      </c>
      <c r="AD101" s="77"/>
      <c r="AE101" s="77"/>
    </row>
    <row r="102" spans="1:31" x14ac:dyDescent="0.25">
      <c r="A102" s="3" t="s">
        <v>184</v>
      </c>
      <c r="B102" s="4" t="s">
        <v>34</v>
      </c>
      <c r="C102" s="5" t="s">
        <v>51</v>
      </c>
      <c r="D102" s="2" t="s">
        <v>68</v>
      </c>
      <c r="E102" s="67" t="s">
        <v>69</v>
      </c>
      <c r="F102" s="70" t="s">
        <v>33</v>
      </c>
      <c r="G102" s="113" t="s">
        <v>848</v>
      </c>
      <c r="H102" s="77"/>
      <c r="I102" s="77"/>
      <c r="J102" s="77">
        <v>0.3</v>
      </c>
      <c r="K102" s="77"/>
      <c r="L102" s="77"/>
      <c r="M102" s="77"/>
      <c r="N102" s="77">
        <v>0.21740000000000001</v>
      </c>
      <c r="O102" s="77"/>
      <c r="P102" s="77"/>
      <c r="Q102" s="77">
        <v>0.1056</v>
      </c>
      <c r="R102" s="77"/>
      <c r="S102" s="74"/>
      <c r="T102" s="77">
        <v>5.3699999999999998E-2</v>
      </c>
      <c r="U102" s="77"/>
      <c r="V102" s="77"/>
      <c r="W102" s="77">
        <v>0.06</v>
      </c>
      <c r="X102" s="77"/>
      <c r="Y102" s="77"/>
      <c r="Z102" s="77">
        <v>0.03</v>
      </c>
      <c r="AA102" s="77"/>
      <c r="AB102" s="77"/>
      <c r="AC102" s="77">
        <v>0.1056</v>
      </c>
      <c r="AD102" s="77"/>
      <c r="AE102" s="77"/>
    </row>
    <row r="103" spans="1:31" x14ac:dyDescent="0.25">
      <c r="A103" s="3" t="s">
        <v>184</v>
      </c>
      <c r="B103" s="4" t="s">
        <v>34</v>
      </c>
      <c r="C103" s="5" t="s">
        <v>51</v>
      </c>
      <c r="D103" s="1" t="s">
        <v>199</v>
      </c>
      <c r="E103" s="67" t="s">
        <v>200</v>
      </c>
      <c r="F103" s="70" t="s">
        <v>33</v>
      </c>
      <c r="G103" s="113" t="s">
        <v>848</v>
      </c>
      <c r="H103" s="77"/>
      <c r="I103" s="77"/>
      <c r="J103" s="77">
        <v>0.3</v>
      </c>
      <c r="K103" s="77"/>
      <c r="L103" s="77"/>
      <c r="M103" s="77"/>
      <c r="N103" s="77">
        <v>0.21740000000000001</v>
      </c>
      <c r="O103" s="77"/>
      <c r="P103" s="77"/>
      <c r="Q103" s="77">
        <v>0.1056</v>
      </c>
      <c r="R103" s="77"/>
      <c r="S103" s="74"/>
      <c r="T103" s="77">
        <v>5.3699999999999998E-2</v>
      </c>
      <c r="U103" s="77"/>
      <c r="V103" s="77"/>
      <c r="W103" s="77">
        <v>0.06</v>
      </c>
      <c r="X103" s="77"/>
      <c r="Y103" s="77"/>
      <c r="Z103" s="77">
        <v>0.03</v>
      </c>
      <c r="AA103" s="77"/>
      <c r="AB103" s="77"/>
      <c r="AC103" s="77">
        <v>0.1056</v>
      </c>
      <c r="AD103" s="77"/>
      <c r="AE103" s="77"/>
    </row>
    <row r="104" spans="1:31" x14ac:dyDescent="0.25">
      <c r="A104" s="3" t="s">
        <v>184</v>
      </c>
      <c r="B104" s="4" t="s">
        <v>34</v>
      </c>
      <c r="C104" s="6" t="s">
        <v>51</v>
      </c>
      <c r="D104" s="1" t="s">
        <v>109</v>
      </c>
      <c r="E104" s="67" t="s">
        <v>110</v>
      </c>
      <c r="F104" s="70" t="s">
        <v>33</v>
      </c>
      <c r="G104" s="113" t="s">
        <v>848</v>
      </c>
      <c r="H104" s="77"/>
      <c r="I104" s="77"/>
      <c r="J104" s="77">
        <v>0.3</v>
      </c>
      <c r="K104" s="77"/>
      <c r="L104" s="77"/>
      <c r="M104" s="77"/>
      <c r="N104" s="77">
        <v>0.21740000000000001</v>
      </c>
      <c r="O104" s="77"/>
      <c r="P104" s="77"/>
      <c r="Q104" s="77">
        <v>0.1056</v>
      </c>
      <c r="R104" s="77"/>
      <c r="S104" s="74"/>
      <c r="T104" s="77">
        <v>5.3699999999999998E-2</v>
      </c>
      <c r="U104" s="77"/>
      <c r="V104" s="77"/>
      <c r="W104" s="77">
        <v>0.06</v>
      </c>
      <c r="X104" s="77"/>
      <c r="Y104" s="77"/>
      <c r="Z104" s="77">
        <v>0.03</v>
      </c>
      <c r="AA104" s="77"/>
      <c r="AB104" s="77"/>
      <c r="AC104" s="77">
        <v>0.1056</v>
      </c>
      <c r="AD104" s="77"/>
      <c r="AE104" s="77"/>
    </row>
    <row r="105" spans="1:31" x14ac:dyDescent="0.25">
      <c r="A105" s="3" t="s">
        <v>184</v>
      </c>
      <c r="B105" s="4" t="s">
        <v>34</v>
      </c>
      <c r="C105" s="6" t="s">
        <v>51</v>
      </c>
      <c r="D105" s="2" t="s">
        <v>113</v>
      </c>
      <c r="E105" s="67" t="s">
        <v>114</v>
      </c>
      <c r="F105" s="70" t="s">
        <v>33</v>
      </c>
      <c r="G105" s="113" t="s">
        <v>848</v>
      </c>
      <c r="H105" s="77"/>
      <c r="I105" s="77"/>
      <c r="J105" s="77">
        <v>0.3</v>
      </c>
      <c r="K105" s="77"/>
      <c r="L105" s="77"/>
      <c r="M105" s="77"/>
      <c r="N105" s="77">
        <v>0.21740000000000001</v>
      </c>
      <c r="O105" s="77"/>
      <c r="P105" s="77"/>
      <c r="Q105" s="77">
        <v>0.1056</v>
      </c>
      <c r="R105" s="77"/>
      <c r="S105" s="74"/>
      <c r="T105" s="77">
        <v>5.3699999999999998E-2</v>
      </c>
      <c r="U105" s="77"/>
      <c r="V105" s="77"/>
      <c r="W105" s="77">
        <v>0.06</v>
      </c>
      <c r="X105" s="77"/>
      <c r="Y105" s="77"/>
      <c r="Z105" s="77">
        <v>0.03</v>
      </c>
      <c r="AA105" s="77"/>
      <c r="AB105" s="77"/>
      <c r="AC105" s="77">
        <v>0.1056</v>
      </c>
      <c r="AD105" s="77"/>
      <c r="AE105" s="77"/>
    </row>
    <row r="106" spans="1:31" x14ac:dyDescent="0.25">
      <c r="A106" s="3" t="s">
        <v>184</v>
      </c>
      <c r="B106" s="4" t="s">
        <v>34</v>
      </c>
      <c r="C106" s="6" t="s">
        <v>51</v>
      </c>
      <c r="D106" s="1" t="s">
        <v>203</v>
      </c>
      <c r="E106" s="67" t="s">
        <v>204</v>
      </c>
      <c r="F106" s="70" t="s">
        <v>33</v>
      </c>
      <c r="G106" s="113" t="s">
        <v>848</v>
      </c>
      <c r="H106" s="77"/>
      <c r="I106" s="77"/>
      <c r="J106" s="77">
        <v>0.3</v>
      </c>
      <c r="K106" s="77"/>
      <c r="L106" s="77"/>
      <c r="M106" s="77"/>
      <c r="N106" s="77">
        <v>0.21740000000000001</v>
      </c>
      <c r="O106" s="77"/>
      <c r="P106" s="77"/>
      <c r="Q106" s="77">
        <v>0.1056</v>
      </c>
      <c r="R106" s="77"/>
      <c r="S106" s="74"/>
      <c r="T106" s="77">
        <v>5.3699999999999998E-2</v>
      </c>
      <c r="U106" s="77"/>
      <c r="V106" s="77"/>
      <c r="W106" s="77">
        <v>0.06</v>
      </c>
      <c r="X106" s="77"/>
      <c r="Y106" s="77"/>
      <c r="Z106" s="77">
        <v>0.03</v>
      </c>
      <c r="AA106" s="77"/>
      <c r="AB106" s="77"/>
      <c r="AC106" s="77">
        <v>0.1056</v>
      </c>
      <c r="AD106" s="77"/>
      <c r="AE106" s="77"/>
    </row>
    <row r="107" spans="1:31" x14ac:dyDescent="0.25">
      <c r="A107" s="3" t="s">
        <v>184</v>
      </c>
      <c r="B107" s="4" t="s">
        <v>34</v>
      </c>
      <c r="C107" s="6" t="s">
        <v>51</v>
      </c>
      <c r="D107" s="2" t="s">
        <v>156</v>
      </c>
      <c r="E107" s="67" t="s">
        <v>157</v>
      </c>
      <c r="F107" s="70" t="s">
        <v>33</v>
      </c>
      <c r="G107" s="113" t="s">
        <v>848</v>
      </c>
      <c r="H107" s="77"/>
      <c r="I107" s="77"/>
      <c r="J107" s="77">
        <v>0.3</v>
      </c>
      <c r="K107" s="77"/>
      <c r="L107" s="77"/>
      <c r="M107" s="77"/>
      <c r="N107" s="77">
        <v>0.21740000000000001</v>
      </c>
      <c r="O107" s="77"/>
      <c r="P107" s="77"/>
      <c r="Q107" s="77">
        <v>0.1056</v>
      </c>
      <c r="R107" s="77"/>
      <c r="S107" s="74"/>
      <c r="T107" s="77">
        <v>5.3699999999999998E-2</v>
      </c>
      <c r="U107" s="77"/>
      <c r="V107" s="77"/>
      <c r="W107" s="77">
        <v>0.06</v>
      </c>
      <c r="X107" s="77"/>
      <c r="Y107" s="77"/>
      <c r="Z107" s="77">
        <v>0.03</v>
      </c>
      <c r="AA107" s="77"/>
      <c r="AB107" s="77"/>
      <c r="AC107" s="77">
        <v>0.1056</v>
      </c>
      <c r="AD107" s="77"/>
      <c r="AE107" s="77"/>
    </row>
    <row r="108" spans="1:31" x14ac:dyDescent="0.25">
      <c r="A108" s="3" t="s">
        <v>184</v>
      </c>
      <c r="B108" s="4" t="s">
        <v>34</v>
      </c>
      <c r="C108" s="6" t="s">
        <v>51</v>
      </c>
      <c r="D108" s="2" t="s">
        <v>160</v>
      </c>
      <c r="E108" s="67" t="s">
        <v>161</v>
      </c>
      <c r="F108" s="70" t="s">
        <v>33</v>
      </c>
      <c r="G108" s="113" t="s">
        <v>848</v>
      </c>
      <c r="H108" s="77"/>
      <c r="I108" s="77"/>
      <c r="J108" s="77">
        <v>0.3</v>
      </c>
      <c r="K108" s="77"/>
      <c r="L108" s="77"/>
      <c r="M108" s="77"/>
      <c r="N108" s="77">
        <v>0.21740000000000001</v>
      </c>
      <c r="O108" s="77"/>
      <c r="P108" s="77"/>
      <c r="Q108" s="77">
        <v>0.1056</v>
      </c>
      <c r="R108" s="77"/>
      <c r="S108" s="74"/>
      <c r="T108" s="77">
        <v>5.3699999999999998E-2</v>
      </c>
      <c r="U108" s="77"/>
      <c r="V108" s="77"/>
      <c r="W108" s="77">
        <v>0.06</v>
      </c>
      <c r="X108" s="77"/>
      <c r="Y108" s="77"/>
      <c r="Z108" s="77">
        <v>0.03</v>
      </c>
      <c r="AA108" s="77"/>
      <c r="AB108" s="77"/>
      <c r="AC108" s="77">
        <v>0.1056</v>
      </c>
      <c r="AD108" s="77"/>
      <c r="AE108" s="77"/>
    </row>
    <row r="109" spans="1:31" x14ac:dyDescent="0.25">
      <c r="A109" s="3" t="s">
        <v>184</v>
      </c>
      <c r="B109" s="4" t="s">
        <v>30</v>
      </c>
      <c r="C109" s="6" t="s">
        <v>48</v>
      </c>
      <c r="D109" s="2" t="s">
        <v>186</v>
      </c>
      <c r="E109" s="67" t="s">
        <v>187</v>
      </c>
      <c r="F109" s="70" t="s">
        <v>33</v>
      </c>
      <c r="G109" s="113" t="s">
        <v>848</v>
      </c>
      <c r="H109" s="77"/>
      <c r="I109" s="77"/>
      <c r="J109" s="77">
        <v>0.3</v>
      </c>
      <c r="K109" s="77"/>
      <c r="L109" s="77"/>
      <c r="M109" s="77"/>
      <c r="N109" s="77">
        <v>0.21740000000000001</v>
      </c>
      <c r="O109" s="77"/>
      <c r="P109" s="77"/>
      <c r="Q109" s="77">
        <v>0.1056</v>
      </c>
      <c r="R109" s="77"/>
      <c r="S109" s="74"/>
      <c r="T109" s="77">
        <v>5.3699999999999998E-2</v>
      </c>
      <c r="U109" s="77"/>
      <c r="V109" s="77"/>
      <c r="W109" s="77">
        <v>0.06</v>
      </c>
      <c r="X109" s="77"/>
      <c r="Y109" s="77"/>
      <c r="Z109" s="77">
        <v>0.03</v>
      </c>
      <c r="AA109" s="77"/>
      <c r="AB109" s="77"/>
      <c r="AC109" s="77">
        <v>0.1056</v>
      </c>
      <c r="AD109" s="77"/>
      <c r="AE109" s="77"/>
    </row>
    <row r="110" spans="1:31" x14ac:dyDescent="0.25">
      <c r="A110" s="3" t="s">
        <v>184</v>
      </c>
      <c r="B110" s="4" t="s">
        <v>30</v>
      </c>
      <c r="C110" s="6" t="s">
        <v>48</v>
      </c>
      <c r="D110" s="2" t="s">
        <v>48</v>
      </c>
      <c r="E110" s="67" t="s">
        <v>94</v>
      </c>
      <c r="F110" s="70" t="s">
        <v>33</v>
      </c>
      <c r="G110" s="113" t="s">
        <v>848</v>
      </c>
      <c r="H110" s="77"/>
      <c r="I110" s="77"/>
      <c r="J110" s="77">
        <v>0.3</v>
      </c>
      <c r="K110" s="77"/>
      <c r="L110" s="77"/>
      <c r="M110" s="77"/>
      <c r="N110" s="77">
        <v>0.21740000000000001</v>
      </c>
      <c r="O110" s="77"/>
      <c r="P110" s="77"/>
      <c r="Q110" s="77">
        <v>0.1056</v>
      </c>
      <c r="R110" s="77"/>
      <c r="S110" s="74"/>
      <c r="T110" s="77">
        <v>5.3699999999999998E-2</v>
      </c>
      <c r="U110" s="77"/>
      <c r="V110" s="77"/>
      <c r="W110" s="77">
        <v>0.06</v>
      </c>
      <c r="X110" s="77"/>
      <c r="Y110" s="77"/>
      <c r="Z110" s="77">
        <v>0.03</v>
      </c>
      <c r="AA110" s="77"/>
      <c r="AB110" s="77"/>
      <c r="AC110" s="77">
        <v>0.1056</v>
      </c>
      <c r="AD110" s="77"/>
      <c r="AE110" s="77"/>
    </row>
    <row r="111" spans="1:31" x14ac:dyDescent="0.25">
      <c r="A111" s="3" t="s">
        <v>184</v>
      </c>
      <c r="B111" s="4" t="s">
        <v>30</v>
      </c>
      <c r="C111" s="6" t="s">
        <v>48</v>
      </c>
      <c r="D111" s="1" t="s">
        <v>141</v>
      </c>
      <c r="E111" s="67" t="s">
        <v>142</v>
      </c>
      <c r="F111" s="70" t="s">
        <v>33</v>
      </c>
      <c r="G111" s="113" t="s">
        <v>848</v>
      </c>
      <c r="H111" s="77"/>
      <c r="I111" s="77"/>
      <c r="J111" s="77">
        <v>0.3</v>
      </c>
      <c r="K111" s="77"/>
      <c r="L111" s="77"/>
      <c r="M111" s="77"/>
      <c r="N111" s="77">
        <v>0.21740000000000001</v>
      </c>
      <c r="O111" s="77"/>
      <c r="P111" s="77"/>
      <c r="Q111" s="77">
        <v>0.1056</v>
      </c>
      <c r="R111" s="77"/>
      <c r="S111" s="74"/>
      <c r="T111" s="77">
        <v>5.3699999999999998E-2</v>
      </c>
      <c r="U111" s="77"/>
      <c r="V111" s="77"/>
      <c r="W111" s="77">
        <v>0.06</v>
      </c>
      <c r="X111" s="77"/>
      <c r="Y111" s="77"/>
      <c r="Z111" s="77">
        <v>0.03</v>
      </c>
      <c r="AA111" s="77"/>
      <c r="AB111" s="77"/>
      <c r="AC111" s="77">
        <v>0.1056</v>
      </c>
      <c r="AD111" s="77"/>
      <c r="AE111" s="77"/>
    </row>
    <row r="112" spans="1:31" x14ac:dyDescent="0.25">
      <c r="A112" s="3" t="s">
        <v>184</v>
      </c>
      <c r="B112" s="4" t="s">
        <v>30</v>
      </c>
      <c r="C112" s="6" t="s">
        <v>48</v>
      </c>
      <c r="D112" s="2" t="s">
        <v>174</v>
      </c>
      <c r="E112" s="67" t="s">
        <v>175</v>
      </c>
      <c r="F112" s="70" t="s">
        <v>33</v>
      </c>
      <c r="G112" s="113" t="s">
        <v>848</v>
      </c>
      <c r="H112" s="77"/>
      <c r="I112" s="77"/>
      <c r="J112" s="77">
        <v>0.3</v>
      </c>
      <c r="K112" s="77"/>
      <c r="L112" s="77"/>
      <c r="M112" s="77"/>
      <c r="N112" s="77">
        <v>0.21740000000000001</v>
      </c>
      <c r="O112" s="77"/>
      <c r="P112" s="77"/>
      <c r="Q112" s="77">
        <v>0.1056</v>
      </c>
      <c r="R112" s="77"/>
      <c r="S112" s="74"/>
      <c r="T112" s="77">
        <v>5.3699999999999998E-2</v>
      </c>
      <c r="U112" s="77"/>
      <c r="V112" s="77"/>
      <c r="W112" s="77">
        <v>0.06</v>
      </c>
      <c r="X112" s="77"/>
      <c r="Y112" s="77"/>
      <c r="Z112" s="77">
        <v>0.03</v>
      </c>
      <c r="AA112" s="77"/>
      <c r="AB112" s="77"/>
      <c r="AC112" s="77">
        <v>0.1056</v>
      </c>
      <c r="AD112" s="77"/>
      <c r="AE112" s="77"/>
    </row>
    <row r="113" spans="1:31" x14ac:dyDescent="0.25">
      <c r="A113" s="3" t="s">
        <v>184</v>
      </c>
      <c r="B113" s="4" t="s">
        <v>30</v>
      </c>
      <c r="C113" s="5" t="s">
        <v>45</v>
      </c>
      <c r="D113" s="2" t="s">
        <v>46</v>
      </c>
      <c r="E113" s="67" t="s">
        <v>47</v>
      </c>
      <c r="F113" s="70" t="s">
        <v>33</v>
      </c>
      <c r="G113" s="113" t="s">
        <v>848</v>
      </c>
      <c r="H113" s="77"/>
      <c r="I113" s="77"/>
      <c r="J113" s="77">
        <v>0.3</v>
      </c>
      <c r="K113" s="77"/>
      <c r="L113" s="77"/>
      <c r="M113" s="77"/>
      <c r="N113" s="77">
        <v>0.21740000000000001</v>
      </c>
      <c r="O113" s="77"/>
      <c r="P113" s="77"/>
      <c r="Q113" s="77">
        <v>0.1056</v>
      </c>
      <c r="R113" s="77"/>
      <c r="S113" s="74"/>
      <c r="T113" s="77">
        <v>5.3699999999999998E-2</v>
      </c>
      <c r="U113" s="77"/>
      <c r="V113" s="77"/>
      <c r="W113" s="77">
        <v>0.06</v>
      </c>
      <c r="X113" s="77"/>
      <c r="Y113" s="77"/>
      <c r="Z113" s="77">
        <v>0.03</v>
      </c>
      <c r="AA113" s="77"/>
      <c r="AB113" s="77"/>
      <c r="AC113" s="77">
        <v>0.1056</v>
      </c>
      <c r="AD113" s="77"/>
      <c r="AE113" s="77"/>
    </row>
    <row r="114" spans="1:31" x14ac:dyDescent="0.25">
      <c r="A114" s="3" t="s">
        <v>184</v>
      </c>
      <c r="B114" s="4" t="s">
        <v>30</v>
      </c>
      <c r="C114" s="5" t="s">
        <v>45</v>
      </c>
      <c r="D114" s="2" t="s">
        <v>189</v>
      </c>
      <c r="E114" s="67" t="s">
        <v>190</v>
      </c>
      <c r="F114" s="70" t="s">
        <v>33</v>
      </c>
      <c r="G114" s="113" t="s">
        <v>848</v>
      </c>
      <c r="H114" s="77"/>
      <c r="I114" s="77"/>
      <c r="J114" s="77">
        <v>0.3</v>
      </c>
      <c r="K114" s="77"/>
      <c r="L114" s="77"/>
      <c r="M114" s="77"/>
      <c r="N114" s="77">
        <v>0.21740000000000001</v>
      </c>
      <c r="O114" s="77"/>
      <c r="P114" s="77"/>
      <c r="Q114" s="77">
        <v>0.1056</v>
      </c>
      <c r="R114" s="77"/>
      <c r="S114" s="74"/>
      <c r="T114" s="77">
        <v>5.3699999999999998E-2</v>
      </c>
      <c r="U114" s="77"/>
      <c r="V114" s="77"/>
      <c r="W114" s="77">
        <v>0.06</v>
      </c>
      <c r="X114" s="77"/>
      <c r="Y114" s="77"/>
      <c r="Z114" s="77">
        <v>0.03</v>
      </c>
      <c r="AA114" s="77"/>
      <c r="AB114" s="77"/>
      <c r="AC114" s="77">
        <v>0.1056</v>
      </c>
      <c r="AD114" s="77"/>
      <c r="AE114" s="77"/>
    </row>
    <row r="115" spans="1:31" x14ac:dyDescent="0.25">
      <c r="A115" s="3" t="s">
        <v>184</v>
      </c>
      <c r="B115" s="4" t="s">
        <v>30</v>
      </c>
      <c r="C115" s="5" t="s">
        <v>45</v>
      </c>
      <c r="D115" s="1" t="s">
        <v>64</v>
      </c>
      <c r="E115" s="67" t="s">
        <v>65</v>
      </c>
      <c r="F115" s="70" t="s">
        <v>33</v>
      </c>
      <c r="G115" s="113" t="s">
        <v>848</v>
      </c>
      <c r="H115" s="77"/>
      <c r="I115" s="77"/>
      <c r="J115" s="77">
        <v>0.3</v>
      </c>
      <c r="K115" s="77"/>
      <c r="L115" s="77"/>
      <c r="M115" s="77"/>
      <c r="N115" s="77">
        <v>0.21740000000000001</v>
      </c>
      <c r="O115" s="77"/>
      <c r="P115" s="77"/>
      <c r="Q115" s="77">
        <v>0.1056</v>
      </c>
      <c r="R115" s="77"/>
      <c r="S115" s="74"/>
      <c r="T115" s="77">
        <v>5.3699999999999998E-2</v>
      </c>
      <c r="U115" s="77"/>
      <c r="V115" s="77"/>
      <c r="W115" s="77">
        <v>0.06</v>
      </c>
      <c r="X115" s="77"/>
      <c r="Y115" s="77"/>
      <c r="Z115" s="77">
        <v>0.03</v>
      </c>
      <c r="AA115" s="77"/>
      <c r="AB115" s="77"/>
      <c r="AC115" s="77">
        <v>0.1056</v>
      </c>
      <c r="AD115" s="77"/>
      <c r="AE115" s="77"/>
    </row>
    <row r="116" spans="1:31" x14ac:dyDescent="0.25">
      <c r="A116" s="3" t="s">
        <v>184</v>
      </c>
      <c r="B116" s="4" t="s">
        <v>30</v>
      </c>
      <c r="C116" s="5" t="s">
        <v>45</v>
      </c>
      <c r="D116" s="1" t="s">
        <v>77</v>
      </c>
      <c r="E116" s="67" t="s">
        <v>78</v>
      </c>
      <c r="F116" s="70" t="s">
        <v>33</v>
      </c>
      <c r="G116" s="113" t="s">
        <v>848</v>
      </c>
      <c r="H116" s="77"/>
      <c r="I116" s="77"/>
      <c r="J116" s="77">
        <v>0.3</v>
      </c>
      <c r="K116" s="77"/>
      <c r="L116" s="77"/>
      <c r="M116" s="77"/>
      <c r="N116" s="77">
        <v>0.21740000000000001</v>
      </c>
      <c r="O116" s="77"/>
      <c r="P116" s="77"/>
      <c r="Q116" s="77">
        <v>0.1056</v>
      </c>
      <c r="R116" s="77"/>
      <c r="S116" s="74"/>
      <c r="T116" s="77">
        <v>5.3699999999999998E-2</v>
      </c>
      <c r="U116" s="77"/>
      <c r="V116" s="77"/>
      <c r="W116" s="77">
        <v>0.06</v>
      </c>
      <c r="X116" s="77"/>
      <c r="Y116" s="77"/>
      <c r="Z116" s="77">
        <v>0.03</v>
      </c>
      <c r="AA116" s="77"/>
      <c r="AB116" s="77"/>
      <c r="AC116" s="77">
        <v>0.1056</v>
      </c>
      <c r="AD116" s="77"/>
      <c r="AE116" s="77"/>
    </row>
    <row r="117" spans="1:31" x14ac:dyDescent="0.25">
      <c r="A117" s="3" t="s">
        <v>184</v>
      </c>
      <c r="B117" s="4" t="s">
        <v>30</v>
      </c>
      <c r="C117" s="5" t="s">
        <v>45</v>
      </c>
      <c r="D117" s="63" t="s">
        <v>132</v>
      </c>
      <c r="E117" s="67" t="s">
        <v>133</v>
      </c>
      <c r="F117" s="70" t="s">
        <v>33</v>
      </c>
      <c r="G117" s="113" t="s">
        <v>848</v>
      </c>
      <c r="H117" s="77"/>
      <c r="I117" s="77"/>
      <c r="J117" s="77">
        <v>0.3</v>
      </c>
      <c r="K117" s="77"/>
      <c r="L117" s="77"/>
      <c r="M117" s="77"/>
      <c r="N117" s="77">
        <v>0.21740000000000001</v>
      </c>
      <c r="O117" s="77"/>
      <c r="P117" s="77"/>
      <c r="Q117" s="77">
        <v>0.1056</v>
      </c>
      <c r="R117" s="77"/>
      <c r="S117" s="74"/>
      <c r="T117" s="77">
        <v>5.3699999999999998E-2</v>
      </c>
      <c r="U117" s="77"/>
      <c r="V117" s="77"/>
      <c r="W117" s="77">
        <v>0.06</v>
      </c>
      <c r="X117" s="77"/>
      <c r="Y117" s="77"/>
      <c r="Z117" s="77">
        <v>0.03</v>
      </c>
      <c r="AA117" s="77"/>
      <c r="AB117" s="77"/>
      <c r="AC117" s="77">
        <v>0.1056</v>
      </c>
      <c r="AD117" s="77"/>
      <c r="AE117" s="77"/>
    </row>
    <row r="118" spans="1:31" x14ac:dyDescent="0.25">
      <c r="A118" s="3" t="s">
        <v>184</v>
      </c>
      <c r="B118" s="4" t="s">
        <v>30</v>
      </c>
      <c r="C118" s="5" t="s">
        <v>45</v>
      </c>
      <c r="D118" s="1" t="s">
        <v>166</v>
      </c>
      <c r="E118" s="67" t="s">
        <v>167</v>
      </c>
      <c r="F118" s="70" t="s">
        <v>33</v>
      </c>
      <c r="G118" s="113" t="s">
        <v>848</v>
      </c>
      <c r="H118" s="77"/>
      <c r="I118" s="77"/>
      <c r="J118" s="77">
        <v>0.3</v>
      </c>
      <c r="K118" s="77"/>
      <c r="L118" s="77"/>
      <c r="M118" s="77"/>
      <c r="N118" s="77">
        <v>0.21740000000000001</v>
      </c>
      <c r="O118" s="77"/>
      <c r="P118" s="77"/>
      <c r="Q118" s="77">
        <v>0.1056</v>
      </c>
      <c r="R118" s="77"/>
      <c r="S118" s="74"/>
      <c r="T118" s="77">
        <v>5.3699999999999998E-2</v>
      </c>
      <c r="U118" s="77"/>
      <c r="V118" s="77"/>
      <c r="W118" s="77">
        <v>0.06</v>
      </c>
      <c r="X118" s="77"/>
      <c r="Y118" s="77"/>
      <c r="Z118" s="77">
        <v>0.03</v>
      </c>
      <c r="AA118" s="77"/>
      <c r="AB118" s="77"/>
      <c r="AC118" s="77">
        <v>0.1056</v>
      </c>
      <c r="AD118" s="77"/>
      <c r="AE118" s="77"/>
    </row>
    <row r="119" spans="1:31" x14ac:dyDescent="0.25">
      <c r="A119" s="3" t="s">
        <v>184</v>
      </c>
      <c r="B119" s="4" t="s">
        <v>30</v>
      </c>
      <c r="C119" s="5" t="s">
        <v>45</v>
      </c>
      <c r="D119" s="2" t="s">
        <v>172</v>
      </c>
      <c r="E119" s="67" t="s">
        <v>173</v>
      </c>
      <c r="F119" s="70" t="s">
        <v>33</v>
      </c>
      <c r="G119" s="113" t="s">
        <v>848</v>
      </c>
      <c r="H119" s="77"/>
      <c r="I119" s="77"/>
      <c r="J119" s="77">
        <v>0.3</v>
      </c>
      <c r="K119" s="77"/>
      <c r="L119" s="77"/>
      <c r="M119" s="77"/>
      <c r="N119" s="77">
        <v>0.21740000000000001</v>
      </c>
      <c r="O119" s="77"/>
      <c r="P119" s="77"/>
      <c r="Q119" s="77">
        <v>0.1056</v>
      </c>
      <c r="R119" s="77"/>
      <c r="S119" s="74"/>
      <c r="T119" s="77">
        <v>5.3699999999999998E-2</v>
      </c>
      <c r="U119" s="77"/>
      <c r="V119" s="77"/>
      <c r="W119" s="77">
        <v>0.06</v>
      </c>
      <c r="X119" s="77"/>
      <c r="Y119" s="77"/>
      <c r="Z119" s="77">
        <v>0.03</v>
      </c>
      <c r="AA119" s="77"/>
      <c r="AB119" s="77"/>
      <c r="AC119" s="77">
        <v>0.1056</v>
      </c>
      <c r="AD119" s="77"/>
      <c r="AE119" s="77"/>
    </row>
    <row r="120" spans="1:31" x14ac:dyDescent="0.25">
      <c r="A120" s="3" t="s">
        <v>184</v>
      </c>
      <c r="B120" s="4" t="s">
        <v>34</v>
      </c>
      <c r="C120" s="5" t="s">
        <v>35</v>
      </c>
      <c r="D120" s="64" t="s">
        <v>36</v>
      </c>
      <c r="E120" s="67" t="s">
        <v>37</v>
      </c>
      <c r="F120" s="70" t="s">
        <v>33</v>
      </c>
      <c r="G120" s="113" t="s">
        <v>848</v>
      </c>
      <c r="H120" s="77"/>
      <c r="I120" s="77"/>
      <c r="J120" s="77">
        <v>0.3</v>
      </c>
      <c r="K120" s="77"/>
      <c r="L120" s="77"/>
      <c r="M120" s="77"/>
      <c r="N120" s="77">
        <v>0.21740000000000001</v>
      </c>
      <c r="O120" s="77"/>
      <c r="P120" s="77"/>
      <c r="Q120" s="77">
        <v>0.1056</v>
      </c>
      <c r="R120" s="77"/>
      <c r="S120" s="74"/>
      <c r="T120" s="77">
        <v>5.3699999999999998E-2</v>
      </c>
      <c r="U120" s="77"/>
      <c r="V120" s="77"/>
      <c r="W120" s="77">
        <v>0.06</v>
      </c>
      <c r="X120" s="77"/>
      <c r="Y120" s="77"/>
      <c r="Z120" s="77">
        <v>0.03</v>
      </c>
      <c r="AA120" s="77"/>
      <c r="AB120" s="77"/>
      <c r="AC120" s="77">
        <v>0.1056</v>
      </c>
      <c r="AD120" s="77"/>
      <c r="AE120" s="77"/>
    </row>
    <row r="121" spans="1:31" x14ac:dyDescent="0.25">
      <c r="A121" s="3" t="s">
        <v>184</v>
      </c>
      <c r="B121" s="4" t="s">
        <v>34</v>
      </c>
      <c r="C121" s="5" t="s">
        <v>35</v>
      </c>
      <c r="D121" s="2" t="s">
        <v>61</v>
      </c>
      <c r="E121" s="67" t="s">
        <v>62</v>
      </c>
      <c r="F121" s="70" t="s">
        <v>33</v>
      </c>
      <c r="G121" s="113" t="s">
        <v>848</v>
      </c>
      <c r="H121" s="77"/>
      <c r="I121" s="77"/>
      <c r="J121" s="77">
        <v>0.3</v>
      </c>
      <c r="K121" s="77"/>
      <c r="L121" s="77"/>
      <c r="M121" s="77"/>
      <c r="N121" s="77">
        <v>0.21740000000000001</v>
      </c>
      <c r="O121" s="77"/>
      <c r="P121" s="77"/>
      <c r="Q121" s="77">
        <v>0.1056</v>
      </c>
      <c r="R121" s="77"/>
      <c r="S121" s="74"/>
      <c r="T121" s="77">
        <v>5.3699999999999998E-2</v>
      </c>
      <c r="U121" s="77"/>
      <c r="V121" s="77"/>
      <c r="W121" s="77">
        <v>0.06</v>
      </c>
      <c r="X121" s="77"/>
      <c r="Y121" s="77"/>
      <c r="Z121" s="77">
        <v>0.03</v>
      </c>
      <c r="AA121" s="77"/>
      <c r="AB121" s="77"/>
      <c r="AC121" s="77">
        <v>0.1056</v>
      </c>
      <c r="AD121" s="77"/>
      <c r="AE121" s="77"/>
    </row>
    <row r="122" spans="1:31" x14ac:dyDescent="0.25">
      <c r="A122" s="3" t="s">
        <v>184</v>
      </c>
      <c r="B122" s="4" t="s">
        <v>34</v>
      </c>
      <c r="C122" s="5" t="s">
        <v>35</v>
      </c>
      <c r="D122" s="2" t="s">
        <v>66</v>
      </c>
      <c r="E122" s="67" t="s">
        <v>67</v>
      </c>
      <c r="F122" s="70" t="s">
        <v>33</v>
      </c>
      <c r="G122" s="113" t="s">
        <v>848</v>
      </c>
      <c r="H122" s="77"/>
      <c r="I122" s="77"/>
      <c r="J122" s="77">
        <v>0.3</v>
      </c>
      <c r="K122" s="77"/>
      <c r="L122" s="77"/>
      <c r="M122" s="77"/>
      <c r="N122" s="77">
        <v>0.21740000000000001</v>
      </c>
      <c r="O122" s="77"/>
      <c r="P122" s="77"/>
      <c r="Q122" s="77">
        <v>0.1056</v>
      </c>
      <c r="R122" s="77"/>
      <c r="S122" s="74"/>
      <c r="T122" s="77">
        <v>5.3699999999999998E-2</v>
      </c>
      <c r="U122" s="77"/>
      <c r="V122" s="77"/>
      <c r="W122" s="77">
        <v>0.06</v>
      </c>
      <c r="X122" s="77"/>
      <c r="Y122" s="77"/>
      <c r="Z122" s="77">
        <v>0.03</v>
      </c>
      <c r="AA122" s="77"/>
      <c r="AB122" s="77"/>
      <c r="AC122" s="77">
        <v>0.1056</v>
      </c>
      <c r="AD122" s="77"/>
      <c r="AE122" s="77"/>
    </row>
    <row r="123" spans="1:31" x14ac:dyDescent="0.25">
      <c r="A123" s="3" t="s">
        <v>184</v>
      </c>
      <c r="B123" s="4" t="s">
        <v>34</v>
      </c>
      <c r="C123" s="5" t="s">
        <v>35</v>
      </c>
      <c r="D123" s="1" t="s">
        <v>193</v>
      </c>
      <c r="E123" s="67" t="s">
        <v>194</v>
      </c>
      <c r="F123" s="70" t="s">
        <v>33</v>
      </c>
      <c r="G123" s="113" t="s">
        <v>848</v>
      </c>
      <c r="H123" s="77"/>
      <c r="I123" s="77"/>
      <c r="J123" s="77">
        <v>0.3</v>
      </c>
      <c r="K123" s="77"/>
      <c r="L123" s="77"/>
      <c r="M123" s="77"/>
      <c r="N123" s="77">
        <v>0.21740000000000001</v>
      </c>
      <c r="O123" s="77"/>
      <c r="P123" s="77"/>
      <c r="Q123" s="77">
        <v>0.1056</v>
      </c>
      <c r="R123" s="77"/>
      <c r="S123" s="74"/>
      <c r="T123" s="77">
        <v>5.3699999999999998E-2</v>
      </c>
      <c r="U123" s="77"/>
      <c r="V123" s="77"/>
      <c r="W123" s="77">
        <v>0.06</v>
      </c>
      <c r="X123" s="77"/>
      <c r="Y123" s="77"/>
      <c r="Z123" s="77">
        <v>0.03</v>
      </c>
      <c r="AA123" s="77"/>
      <c r="AB123" s="77"/>
      <c r="AC123" s="77">
        <v>0.1056</v>
      </c>
      <c r="AD123" s="77"/>
      <c r="AE123" s="77"/>
    </row>
    <row r="124" spans="1:31" x14ac:dyDescent="0.25">
      <c r="A124" s="3" t="s">
        <v>184</v>
      </c>
      <c r="B124" s="4" t="s">
        <v>34</v>
      </c>
      <c r="C124" s="5" t="s">
        <v>35</v>
      </c>
      <c r="D124" s="1" t="s">
        <v>195</v>
      </c>
      <c r="E124" s="67" t="s">
        <v>196</v>
      </c>
      <c r="F124" s="70" t="s">
        <v>33</v>
      </c>
      <c r="G124" s="113" t="s">
        <v>848</v>
      </c>
      <c r="H124" s="77"/>
      <c r="I124" s="77"/>
      <c r="J124" s="77">
        <v>0.3</v>
      </c>
      <c r="K124" s="77"/>
      <c r="L124" s="77"/>
      <c r="M124" s="77"/>
      <c r="N124" s="77">
        <v>0.21740000000000001</v>
      </c>
      <c r="O124" s="77"/>
      <c r="P124" s="77"/>
      <c r="Q124" s="77">
        <v>0.1056</v>
      </c>
      <c r="R124" s="77"/>
      <c r="S124" s="74"/>
      <c r="T124" s="77">
        <v>5.3699999999999998E-2</v>
      </c>
      <c r="U124" s="77"/>
      <c r="V124" s="77"/>
      <c r="W124" s="77">
        <v>0.06</v>
      </c>
      <c r="X124" s="77"/>
      <c r="Y124" s="77"/>
      <c r="Z124" s="77">
        <v>0.03</v>
      </c>
      <c r="AA124" s="77"/>
      <c r="AB124" s="77"/>
      <c r="AC124" s="77">
        <v>0.1056</v>
      </c>
      <c r="AD124" s="77"/>
      <c r="AE124" s="77"/>
    </row>
    <row r="125" spans="1:31" x14ac:dyDescent="0.25">
      <c r="A125" s="3" t="s">
        <v>184</v>
      </c>
      <c r="B125" s="4" t="s">
        <v>34</v>
      </c>
      <c r="C125" s="5" t="s">
        <v>35</v>
      </c>
      <c r="D125" s="1" t="s">
        <v>100</v>
      </c>
      <c r="E125" s="67" t="s">
        <v>101</v>
      </c>
      <c r="F125" s="70" t="s">
        <v>33</v>
      </c>
      <c r="G125" s="113" t="s">
        <v>848</v>
      </c>
      <c r="H125" s="77"/>
      <c r="I125" s="77"/>
      <c r="J125" s="77">
        <v>0.3</v>
      </c>
      <c r="K125" s="77"/>
      <c r="L125" s="77"/>
      <c r="M125" s="77"/>
      <c r="N125" s="77">
        <v>0.21740000000000001</v>
      </c>
      <c r="O125" s="77"/>
      <c r="P125" s="77"/>
      <c r="Q125" s="77">
        <v>0.1056</v>
      </c>
      <c r="R125" s="77"/>
      <c r="S125" s="74"/>
      <c r="T125" s="77">
        <v>5.3699999999999998E-2</v>
      </c>
      <c r="U125" s="77"/>
      <c r="V125" s="77"/>
      <c r="W125" s="77">
        <v>0.06</v>
      </c>
      <c r="X125" s="77"/>
      <c r="Y125" s="77"/>
      <c r="Z125" s="77">
        <v>0.03</v>
      </c>
      <c r="AA125" s="77"/>
      <c r="AB125" s="77"/>
      <c r="AC125" s="77">
        <v>0.1056</v>
      </c>
      <c r="AD125" s="77"/>
      <c r="AE125" s="77"/>
    </row>
    <row r="126" spans="1:31" x14ac:dyDescent="0.25">
      <c r="A126" s="3" t="s">
        <v>184</v>
      </c>
      <c r="B126" s="4" t="s">
        <v>34</v>
      </c>
      <c r="C126" s="5" t="s">
        <v>35</v>
      </c>
      <c r="D126" s="1" t="s">
        <v>102</v>
      </c>
      <c r="E126" s="67" t="s">
        <v>103</v>
      </c>
      <c r="F126" s="70" t="s">
        <v>33</v>
      </c>
      <c r="G126" s="113" t="s">
        <v>848</v>
      </c>
      <c r="H126" s="77"/>
      <c r="I126" s="77"/>
      <c r="J126" s="77">
        <v>0.3</v>
      </c>
      <c r="K126" s="77"/>
      <c r="L126" s="77"/>
      <c r="M126" s="77"/>
      <c r="N126" s="77">
        <v>0.21740000000000001</v>
      </c>
      <c r="O126" s="77"/>
      <c r="P126" s="77"/>
      <c r="Q126" s="77">
        <v>0.1056</v>
      </c>
      <c r="R126" s="77"/>
      <c r="S126" s="74"/>
      <c r="T126" s="77">
        <v>5.3699999999999998E-2</v>
      </c>
      <c r="U126" s="77"/>
      <c r="V126" s="77"/>
      <c r="W126" s="77">
        <v>0.06</v>
      </c>
      <c r="X126" s="77"/>
      <c r="Y126" s="77"/>
      <c r="Z126" s="77">
        <v>0.03</v>
      </c>
      <c r="AA126" s="77"/>
      <c r="AB126" s="77"/>
      <c r="AC126" s="77">
        <v>0.1056</v>
      </c>
      <c r="AD126" s="77"/>
      <c r="AE126" s="77"/>
    </row>
    <row r="127" spans="1:31" x14ac:dyDescent="0.25">
      <c r="A127" s="3" t="s">
        <v>184</v>
      </c>
      <c r="B127" s="4" t="s">
        <v>34</v>
      </c>
      <c r="C127" s="5" t="s">
        <v>35</v>
      </c>
      <c r="D127" s="1" t="s">
        <v>107</v>
      </c>
      <c r="E127" s="67" t="s">
        <v>108</v>
      </c>
      <c r="F127" s="70" t="s">
        <v>33</v>
      </c>
      <c r="G127" s="113" t="s">
        <v>848</v>
      </c>
      <c r="H127" s="77"/>
      <c r="I127" s="77"/>
      <c r="J127" s="77">
        <v>0.3</v>
      </c>
      <c r="K127" s="77"/>
      <c r="L127" s="77"/>
      <c r="M127" s="77"/>
      <c r="N127" s="77">
        <v>0.21740000000000001</v>
      </c>
      <c r="O127" s="77"/>
      <c r="P127" s="77"/>
      <c r="Q127" s="77">
        <v>0.1056</v>
      </c>
      <c r="R127" s="77"/>
      <c r="S127" s="74"/>
      <c r="T127" s="77">
        <v>5.3699999999999998E-2</v>
      </c>
      <c r="U127" s="77"/>
      <c r="V127" s="77"/>
      <c r="W127" s="77">
        <v>0.06</v>
      </c>
      <c r="X127" s="77"/>
      <c r="Y127" s="77"/>
      <c r="Z127" s="77">
        <v>0.03</v>
      </c>
      <c r="AA127" s="77"/>
      <c r="AB127" s="77"/>
      <c r="AC127" s="77">
        <v>0.1056</v>
      </c>
      <c r="AD127" s="77"/>
      <c r="AE127" s="77"/>
    </row>
    <row r="128" spans="1:31" x14ac:dyDescent="0.25">
      <c r="A128" s="3" t="s">
        <v>184</v>
      </c>
      <c r="B128" s="4" t="s">
        <v>34</v>
      </c>
      <c r="C128" s="5" t="s">
        <v>35</v>
      </c>
      <c r="D128" s="1" t="s">
        <v>201</v>
      </c>
      <c r="E128" s="67" t="s">
        <v>202</v>
      </c>
      <c r="F128" t="s">
        <v>33</v>
      </c>
      <c r="G128" s="113" t="s">
        <v>848</v>
      </c>
      <c r="H128" s="77"/>
      <c r="I128" s="77"/>
      <c r="J128" s="77">
        <v>0.3</v>
      </c>
      <c r="K128" s="77"/>
      <c r="L128" s="77"/>
      <c r="M128" s="77"/>
      <c r="N128" s="77">
        <v>0.21740000000000001</v>
      </c>
      <c r="O128" s="77"/>
      <c r="P128" s="77"/>
      <c r="Q128" s="77">
        <v>0.1056</v>
      </c>
      <c r="R128" s="77"/>
      <c r="S128" s="74"/>
      <c r="T128" s="77">
        <v>5.3699999999999998E-2</v>
      </c>
      <c r="U128" s="77"/>
      <c r="V128" s="77"/>
      <c r="W128" s="77">
        <v>0.06</v>
      </c>
      <c r="X128" s="77"/>
      <c r="Y128" s="77"/>
      <c r="Z128" s="77">
        <v>0.03</v>
      </c>
      <c r="AA128" s="77"/>
      <c r="AB128" s="77"/>
      <c r="AC128" s="77">
        <v>0.1056</v>
      </c>
      <c r="AD128" s="77"/>
      <c r="AE128" s="77"/>
    </row>
    <row r="129" spans="1:31" x14ac:dyDescent="0.25">
      <c r="A129" s="3" t="s">
        <v>184</v>
      </c>
      <c r="B129" s="4" t="s">
        <v>34</v>
      </c>
      <c r="C129" s="5" t="s">
        <v>35</v>
      </c>
      <c r="D129" s="1" t="s">
        <v>111</v>
      </c>
      <c r="E129" s="67" t="s">
        <v>112</v>
      </c>
      <c r="F129" t="s">
        <v>33</v>
      </c>
      <c r="G129" s="113" t="s">
        <v>848</v>
      </c>
      <c r="H129" s="77"/>
      <c r="I129" s="77"/>
      <c r="J129" s="77">
        <v>0.3</v>
      </c>
      <c r="K129" s="77"/>
      <c r="L129" s="77"/>
      <c r="M129" s="77"/>
      <c r="N129" s="77">
        <v>0.21740000000000001</v>
      </c>
      <c r="O129" s="77"/>
      <c r="P129" s="77"/>
      <c r="Q129" s="77">
        <v>0.1056</v>
      </c>
      <c r="R129" s="77"/>
      <c r="S129" s="74"/>
      <c r="T129" s="77">
        <v>5.3699999999999998E-2</v>
      </c>
      <c r="U129" s="77"/>
      <c r="V129" s="77"/>
      <c r="W129" s="77">
        <v>0.06</v>
      </c>
      <c r="X129" s="77"/>
      <c r="Y129" s="77"/>
      <c r="Z129" s="77">
        <v>0.03</v>
      </c>
      <c r="AA129" s="77"/>
      <c r="AB129" s="77"/>
      <c r="AC129" s="77">
        <v>0.1056</v>
      </c>
      <c r="AD129" s="77"/>
      <c r="AE129" s="77"/>
    </row>
    <row r="130" spans="1:31" x14ac:dyDescent="0.25">
      <c r="A130" s="3" t="s">
        <v>184</v>
      </c>
      <c r="B130" s="4" t="s">
        <v>34</v>
      </c>
      <c r="C130" s="5" t="s">
        <v>35</v>
      </c>
      <c r="D130" s="1" t="s">
        <v>121</v>
      </c>
      <c r="E130" s="67" t="s">
        <v>122</v>
      </c>
      <c r="F130" t="s">
        <v>33</v>
      </c>
      <c r="G130" s="113" t="s">
        <v>848</v>
      </c>
      <c r="H130" s="77"/>
      <c r="I130" s="77"/>
      <c r="J130" s="77">
        <v>0.3</v>
      </c>
      <c r="K130" s="77"/>
      <c r="L130" s="77"/>
      <c r="M130" s="77"/>
      <c r="N130" s="77">
        <v>0.21740000000000001</v>
      </c>
      <c r="O130" s="77"/>
      <c r="P130" s="77"/>
      <c r="Q130" s="77">
        <v>0.1056</v>
      </c>
      <c r="R130" s="77"/>
      <c r="S130" s="74"/>
      <c r="T130" s="77">
        <v>5.3699999999999998E-2</v>
      </c>
      <c r="U130" s="77"/>
      <c r="V130" s="77"/>
      <c r="W130" s="77">
        <v>0.06</v>
      </c>
      <c r="X130" s="77"/>
      <c r="Y130" s="77"/>
      <c r="Z130" s="77">
        <v>0.03</v>
      </c>
      <c r="AA130" s="77"/>
      <c r="AB130" s="77"/>
      <c r="AC130" s="77">
        <v>0.1056</v>
      </c>
      <c r="AD130" s="77"/>
      <c r="AE130" s="77"/>
    </row>
    <row r="131" spans="1:31" x14ac:dyDescent="0.25">
      <c r="A131" s="3" t="s">
        <v>184</v>
      </c>
      <c r="B131" s="4" t="s">
        <v>34</v>
      </c>
      <c r="C131" s="5" t="s">
        <v>35</v>
      </c>
      <c r="D131" s="2" t="s">
        <v>126</v>
      </c>
      <c r="E131" s="67" t="s">
        <v>127</v>
      </c>
      <c r="F131" t="s">
        <v>33</v>
      </c>
      <c r="G131" s="113" t="s">
        <v>848</v>
      </c>
      <c r="H131" s="77"/>
      <c r="I131" s="77"/>
      <c r="J131" s="77">
        <v>0.3</v>
      </c>
      <c r="K131" s="77"/>
      <c r="L131" s="77"/>
      <c r="M131" s="77"/>
      <c r="N131" s="77">
        <v>0.21740000000000001</v>
      </c>
      <c r="O131" s="77"/>
      <c r="P131" s="77"/>
      <c r="Q131" s="77">
        <v>0.1056</v>
      </c>
      <c r="R131" s="77"/>
      <c r="S131" s="74"/>
      <c r="T131" s="77">
        <v>5.3699999999999998E-2</v>
      </c>
      <c r="U131" s="77"/>
      <c r="V131" s="77"/>
      <c r="W131" s="77">
        <v>0.06</v>
      </c>
      <c r="X131" s="77"/>
      <c r="Y131" s="77"/>
      <c r="Z131" s="77">
        <v>0.03</v>
      </c>
      <c r="AA131" s="77"/>
      <c r="AB131" s="77"/>
      <c r="AC131" s="77">
        <v>0.1056</v>
      </c>
      <c r="AD131" s="77"/>
      <c r="AE131" s="77"/>
    </row>
    <row r="132" spans="1:31" x14ac:dyDescent="0.25">
      <c r="A132" s="3" t="s">
        <v>184</v>
      </c>
      <c r="B132" s="4" t="s">
        <v>34</v>
      </c>
      <c r="C132" s="5" t="s">
        <v>123</v>
      </c>
      <c r="D132" s="1" t="s">
        <v>124</v>
      </c>
      <c r="E132" s="67" t="s">
        <v>125</v>
      </c>
      <c r="F132" t="s">
        <v>33</v>
      </c>
      <c r="G132" s="113" t="s">
        <v>848</v>
      </c>
      <c r="H132" s="77"/>
      <c r="I132" s="77"/>
      <c r="J132" s="77">
        <v>0.3</v>
      </c>
      <c r="K132" s="77"/>
      <c r="L132" s="77"/>
      <c r="M132" s="77"/>
      <c r="N132" s="77">
        <v>0.21740000000000001</v>
      </c>
      <c r="O132" s="77"/>
      <c r="P132" s="77"/>
      <c r="Q132" s="77">
        <v>0.1056</v>
      </c>
      <c r="R132" s="77"/>
      <c r="S132" s="74"/>
      <c r="T132" s="77">
        <v>5.3699999999999998E-2</v>
      </c>
      <c r="U132" s="77"/>
      <c r="V132" s="77"/>
      <c r="W132" s="77">
        <v>0.06</v>
      </c>
      <c r="X132" s="77"/>
      <c r="Y132" s="77"/>
      <c r="Z132" s="77">
        <v>0.03</v>
      </c>
      <c r="AA132" s="77"/>
      <c r="AB132" s="77"/>
      <c r="AC132" s="77">
        <v>0.1056</v>
      </c>
      <c r="AD132" s="77"/>
      <c r="AE132" s="77"/>
    </row>
    <row r="133" spans="1:31" x14ac:dyDescent="0.25">
      <c r="A133" s="3" t="s">
        <v>184</v>
      </c>
      <c r="B133" s="4" t="s">
        <v>34</v>
      </c>
      <c r="C133" s="5" t="s">
        <v>123</v>
      </c>
      <c r="D133" s="1" t="s">
        <v>162</v>
      </c>
      <c r="E133" s="67" t="s">
        <v>163</v>
      </c>
      <c r="F133" t="s">
        <v>33</v>
      </c>
      <c r="G133" s="113" t="s">
        <v>848</v>
      </c>
      <c r="H133" s="77"/>
      <c r="I133" s="77"/>
      <c r="J133" s="77">
        <v>0.3</v>
      </c>
      <c r="K133" s="77"/>
      <c r="L133" s="77"/>
      <c r="M133" s="77"/>
      <c r="N133" s="77">
        <v>0.21740000000000001</v>
      </c>
      <c r="O133" s="77"/>
      <c r="P133" s="77"/>
      <c r="Q133" s="77">
        <v>0.1056</v>
      </c>
      <c r="R133" s="77"/>
      <c r="S133" s="74"/>
      <c r="T133" s="77">
        <v>5.3699999999999998E-2</v>
      </c>
      <c r="U133" s="77"/>
      <c r="V133" s="77"/>
      <c r="W133" s="77">
        <v>0.06</v>
      </c>
      <c r="X133" s="77"/>
      <c r="Y133" s="77"/>
      <c r="Z133" s="77">
        <v>0.03</v>
      </c>
      <c r="AA133" s="77"/>
      <c r="AB133" s="77"/>
      <c r="AC133" s="77">
        <v>0.1056</v>
      </c>
      <c r="AD133" s="77"/>
      <c r="AE133" s="77"/>
    </row>
    <row r="134" spans="1:31" x14ac:dyDescent="0.25">
      <c r="A134" s="3" t="s">
        <v>207</v>
      </c>
      <c r="B134" s="4" t="s">
        <v>30</v>
      </c>
      <c r="C134" s="5" t="s">
        <v>81</v>
      </c>
      <c r="D134" s="2" t="s">
        <v>31</v>
      </c>
      <c r="E134" s="67" t="s">
        <v>32</v>
      </c>
      <c r="F134" s="69" t="s">
        <v>180</v>
      </c>
      <c r="G134" s="113" t="s">
        <v>841</v>
      </c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4"/>
      <c r="T134" s="77"/>
      <c r="U134" s="77"/>
      <c r="V134" s="77"/>
      <c r="W134" s="77"/>
      <c r="X134" s="77">
        <v>4.2999999999999997E-2</v>
      </c>
      <c r="Y134" s="77"/>
      <c r="Z134" s="77"/>
      <c r="AA134" s="77">
        <v>6.3E-2</v>
      </c>
      <c r="AB134" s="77"/>
      <c r="AC134" s="77"/>
      <c r="AD134" s="77"/>
      <c r="AE134" s="77"/>
    </row>
    <row r="135" spans="1:31" x14ac:dyDescent="0.25">
      <c r="A135" s="3" t="s">
        <v>207</v>
      </c>
      <c r="B135" s="4" t="s">
        <v>73</v>
      </c>
      <c r="C135" s="5" t="s">
        <v>81</v>
      </c>
      <c r="D135" s="1" t="s">
        <v>247</v>
      </c>
      <c r="E135" s="67" t="s">
        <v>248</v>
      </c>
      <c r="F135" s="69" t="s">
        <v>180</v>
      </c>
      <c r="G135" s="113" t="s">
        <v>841</v>
      </c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4"/>
      <c r="T135" s="77"/>
      <c r="U135" s="77"/>
      <c r="V135" s="77"/>
      <c r="W135" s="77"/>
      <c r="X135" s="77">
        <v>4.2999999999999997E-2</v>
      </c>
      <c r="Y135" s="77"/>
      <c r="Z135" s="77"/>
      <c r="AA135" s="77">
        <v>6.3E-2</v>
      </c>
      <c r="AB135" s="77"/>
      <c r="AC135" s="77"/>
      <c r="AD135" s="77"/>
      <c r="AE135" s="77"/>
    </row>
    <row r="136" spans="1:31" x14ac:dyDescent="0.25">
      <c r="A136" s="3" t="s">
        <v>207</v>
      </c>
      <c r="B136" s="4" t="s">
        <v>177</v>
      </c>
      <c r="C136" s="5" t="s">
        <v>81</v>
      </c>
      <c r="D136" s="1" t="s">
        <v>211</v>
      </c>
      <c r="E136" s="67" t="s">
        <v>212</v>
      </c>
      <c r="F136" s="69" t="s">
        <v>180</v>
      </c>
      <c r="G136" s="113" t="s">
        <v>831</v>
      </c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4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</row>
    <row r="137" spans="1:31" x14ac:dyDescent="0.25">
      <c r="A137" s="3" t="s">
        <v>207</v>
      </c>
      <c r="B137" s="4" t="s">
        <v>177</v>
      </c>
      <c r="C137" s="5" t="s">
        <v>81</v>
      </c>
      <c r="D137" s="1" t="s">
        <v>182</v>
      </c>
      <c r="E137" s="67" t="s">
        <v>183</v>
      </c>
      <c r="F137" s="69" t="s">
        <v>180</v>
      </c>
      <c r="G137" s="113" t="s">
        <v>831</v>
      </c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4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</row>
    <row r="138" spans="1:31" x14ac:dyDescent="0.25">
      <c r="A138" s="3" t="s">
        <v>207</v>
      </c>
      <c r="B138" s="4" t="s">
        <v>73</v>
      </c>
      <c r="C138" s="5" t="s">
        <v>81</v>
      </c>
      <c r="D138" s="2" t="s">
        <v>249</v>
      </c>
      <c r="E138" s="67" t="s">
        <v>250</v>
      </c>
      <c r="F138" s="69" t="s">
        <v>180</v>
      </c>
      <c r="G138" s="113" t="s">
        <v>841</v>
      </c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4"/>
      <c r="T138" s="77"/>
      <c r="U138" s="77"/>
      <c r="V138" s="77"/>
      <c r="W138" s="77"/>
      <c r="X138" s="77">
        <v>4.2999999999999997E-2</v>
      </c>
      <c r="Y138" s="77"/>
      <c r="Z138" s="77"/>
      <c r="AA138" s="77">
        <v>6.3E-2</v>
      </c>
      <c r="AB138" s="77"/>
      <c r="AC138" s="77"/>
      <c r="AD138" s="77"/>
      <c r="AE138" s="77"/>
    </row>
    <row r="139" spans="1:31" x14ac:dyDescent="0.25">
      <c r="A139" s="3" t="s">
        <v>207</v>
      </c>
      <c r="B139" s="4" t="s">
        <v>73</v>
      </c>
      <c r="C139" s="5" t="s">
        <v>81</v>
      </c>
      <c r="D139" s="2" t="s">
        <v>82</v>
      </c>
      <c r="E139" s="67" t="s">
        <v>83</v>
      </c>
      <c r="F139" s="69" t="s">
        <v>180</v>
      </c>
      <c r="G139" s="113" t="s">
        <v>841</v>
      </c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4"/>
      <c r="T139" s="77"/>
      <c r="U139" s="77"/>
      <c r="V139" s="77"/>
      <c r="W139" s="77"/>
      <c r="X139" s="77">
        <v>4.2999999999999997E-2</v>
      </c>
      <c r="Y139" s="77"/>
      <c r="Z139" s="77"/>
      <c r="AA139" s="77">
        <v>6.3E-2</v>
      </c>
      <c r="AB139" s="77"/>
      <c r="AC139" s="77"/>
      <c r="AD139" s="77"/>
      <c r="AE139" s="77"/>
    </row>
    <row r="140" spans="1:31" x14ac:dyDescent="0.25">
      <c r="A140" s="3" t="s">
        <v>207</v>
      </c>
      <c r="B140" s="4" t="s">
        <v>87</v>
      </c>
      <c r="C140" s="5" t="s">
        <v>81</v>
      </c>
      <c r="D140" s="2" t="s">
        <v>208</v>
      </c>
      <c r="E140" s="67" t="s">
        <v>209</v>
      </c>
      <c r="F140" s="69" t="s">
        <v>180</v>
      </c>
      <c r="G140" s="113" t="s">
        <v>841</v>
      </c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4"/>
      <c r="T140" s="77"/>
      <c r="U140" s="77"/>
      <c r="V140" s="77"/>
      <c r="W140" s="77"/>
      <c r="X140" s="77">
        <v>4.2999999999999997E-2</v>
      </c>
      <c r="Y140" s="77"/>
      <c r="Z140" s="77"/>
      <c r="AA140" s="77">
        <v>6.3E-2</v>
      </c>
      <c r="AB140" s="77"/>
      <c r="AC140" s="77"/>
      <c r="AD140" s="77"/>
      <c r="AE140" s="77"/>
    </row>
    <row r="141" spans="1:31" x14ac:dyDescent="0.25">
      <c r="A141" s="3" t="s">
        <v>207</v>
      </c>
      <c r="B141" s="4" t="s">
        <v>87</v>
      </c>
      <c r="C141" s="5" t="s">
        <v>81</v>
      </c>
      <c r="D141" s="2" t="s">
        <v>210</v>
      </c>
      <c r="E141" s="67" t="s">
        <v>89</v>
      </c>
      <c r="F141" s="69" t="s">
        <v>180</v>
      </c>
      <c r="G141" s="113" t="s">
        <v>841</v>
      </c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4"/>
      <c r="T141" s="77"/>
      <c r="U141" s="77"/>
      <c r="V141" s="77"/>
      <c r="W141" s="77"/>
      <c r="X141" s="77">
        <v>4.2999999999999997E-2</v>
      </c>
      <c r="Y141" s="77"/>
      <c r="Z141" s="77"/>
      <c r="AA141" s="77">
        <v>6.3E-2</v>
      </c>
      <c r="AB141" s="77"/>
      <c r="AC141" s="77"/>
      <c r="AD141" s="77"/>
      <c r="AE141" s="77"/>
    </row>
    <row r="142" spans="1:31" x14ac:dyDescent="0.25">
      <c r="A142" s="3" t="s">
        <v>207</v>
      </c>
      <c r="B142" s="4" t="s">
        <v>177</v>
      </c>
      <c r="C142" s="5" t="s">
        <v>81</v>
      </c>
      <c r="D142" s="1" t="s">
        <v>213</v>
      </c>
      <c r="E142" s="67" t="s">
        <v>214</v>
      </c>
      <c r="F142" s="69" t="s">
        <v>180</v>
      </c>
      <c r="G142" s="113" t="s">
        <v>831</v>
      </c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4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</row>
    <row r="143" spans="1:31" x14ac:dyDescent="0.25">
      <c r="A143" s="3" t="s">
        <v>207</v>
      </c>
      <c r="B143" s="4" t="s">
        <v>73</v>
      </c>
      <c r="C143" s="5" t="s">
        <v>81</v>
      </c>
      <c r="D143" s="2" t="s">
        <v>251</v>
      </c>
      <c r="E143" s="67" t="s">
        <v>252</v>
      </c>
      <c r="F143" s="69" t="s">
        <v>180</v>
      </c>
      <c r="G143" s="113" t="s">
        <v>841</v>
      </c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4"/>
      <c r="T143" s="77"/>
      <c r="U143" s="77"/>
      <c r="V143" s="77"/>
      <c r="W143" s="77"/>
      <c r="X143" s="77">
        <v>4.2999999999999997E-2</v>
      </c>
      <c r="Y143" s="77"/>
      <c r="Z143" s="77"/>
      <c r="AA143" s="77">
        <v>6.3E-2</v>
      </c>
      <c r="AB143" s="77"/>
      <c r="AC143" s="77"/>
      <c r="AD143" s="77"/>
      <c r="AE143" s="77"/>
    </row>
    <row r="144" spans="1:31" x14ac:dyDescent="0.25">
      <c r="A144" s="3" t="s">
        <v>207</v>
      </c>
      <c r="B144" s="4" t="s">
        <v>177</v>
      </c>
      <c r="C144" s="5" t="s">
        <v>81</v>
      </c>
      <c r="D144" s="1" t="s">
        <v>215</v>
      </c>
      <c r="E144" s="67" t="s">
        <v>216</v>
      </c>
      <c r="F144" s="69" t="s">
        <v>180</v>
      </c>
      <c r="G144" s="113" t="s">
        <v>831</v>
      </c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4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</row>
    <row r="145" spans="1:31" x14ac:dyDescent="0.25">
      <c r="A145" s="3" t="s">
        <v>207</v>
      </c>
      <c r="B145" s="4" t="s">
        <v>73</v>
      </c>
      <c r="C145" s="5" t="s">
        <v>81</v>
      </c>
      <c r="D145" s="2" t="s">
        <v>158</v>
      </c>
      <c r="E145" s="67" t="s">
        <v>159</v>
      </c>
      <c r="F145" s="69" t="s">
        <v>180</v>
      </c>
      <c r="G145" s="113" t="s">
        <v>841</v>
      </c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4"/>
      <c r="T145" s="77"/>
      <c r="U145" s="77"/>
      <c r="V145" s="77"/>
      <c r="W145" s="77"/>
      <c r="X145" s="77">
        <v>4.2999999999999997E-2</v>
      </c>
      <c r="Y145" s="77"/>
      <c r="Z145" s="77"/>
      <c r="AA145" s="77">
        <v>6.3E-2</v>
      </c>
      <c r="AB145" s="77"/>
      <c r="AC145" s="77"/>
      <c r="AD145" s="77"/>
      <c r="AE145" s="77"/>
    </row>
    <row r="146" spans="1:31" x14ac:dyDescent="0.25">
      <c r="A146" s="3" t="s">
        <v>207</v>
      </c>
      <c r="B146" s="4" t="s">
        <v>177</v>
      </c>
      <c r="C146" s="5" t="s">
        <v>81</v>
      </c>
      <c r="D146" s="2" t="s">
        <v>217</v>
      </c>
      <c r="E146" s="67" t="s">
        <v>218</v>
      </c>
      <c r="F146" s="69" t="s">
        <v>180</v>
      </c>
      <c r="G146" s="113" t="s">
        <v>831</v>
      </c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4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</row>
    <row r="147" spans="1:31" x14ac:dyDescent="0.25">
      <c r="A147" s="3" t="s">
        <v>207</v>
      </c>
      <c r="B147" s="4" t="s">
        <v>177</v>
      </c>
      <c r="C147" s="5" t="s">
        <v>81</v>
      </c>
      <c r="D147" s="1" t="s">
        <v>219</v>
      </c>
      <c r="E147" s="67" t="s">
        <v>220</v>
      </c>
      <c r="F147" s="69" t="s">
        <v>180</v>
      </c>
      <c r="G147" s="113" t="s">
        <v>831</v>
      </c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4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</row>
    <row r="148" spans="1:31" x14ac:dyDescent="0.25">
      <c r="A148" s="3" t="s">
        <v>207</v>
      </c>
      <c r="B148" s="4" t="s">
        <v>177</v>
      </c>
      <c r="C148" s="5" t="s">
        <v>81</v>
      </c>
      <c r="D148" s="2" t="s">
        <v>178</v>
      </c>
      <c r="E148" s="67" t="s">
        <v>179</v>
      </c>
      <c r="F148" s="69" t="s">
        <v>180</v>
      </c>
      <c r="G148" s="113" t="s">
        <v>831</v>
      </c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4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</row>
    <row r="149" spans="1:31" x14ac:dyDescent="0.25">
      <c r="A149" s="3" t="s">
        <v>207</v>
      </c>
      <c r="B149" s="4" t="s">
        <v>177</v>
      </c>
      <c r="C149" s="5" t="s">
        <v>81</v>
      </c>
      <c r="D149" s="1" t="s">
        <v>221</v>
      </c>
      <c r="E149" s="67" t="s">
        <v>222</v>
      </c>
      <c r="F149" s="69" t="s">
        <v>180</v>
      </c>
      <c r="G149" s="113" t="s">
        <v>831</v>
      </c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4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</row>
    <row r="150" spans="1:31" x14ac:dyDescent="0.25">
      <c r="A150" s="3" t="s">
        <v>207</v>
      </c>
      <c r="B150" s="4" t="s">
        <v>70</v>
      </c>
      <c r="C150" s="5" t="s">
        <v>95</v>
      </c>
      <c r="D150" s="2" t="s">
        <v>96</v>
      </c>
      <c r="E150" s="67" t="s">
        <v>97</v>
      </c>
      <c r="F150" s="69" t="s">
        <v>180</v>
      </c>
      <c r="G150" s="113" t="s">
        <v>841</v>
      </c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4"/>
      <c r="T150" s="77"/>
      <c r="U150" s="77"/>
      <c r="V150" s="77"/>
      <c r="W150" s="77"/>
      <c r="X150" s="77">
        <v>4.2999999999999997E-2</v>
      </c>
      <c r="Y150" s="77"/>
      <c r="Z150" s="77"/>
      <c r="AA150" s="77">
        <v>6.3E-2</v>
      </c>
      <c r="AB150" s="77"/>
      <c r="AC150" s="77"/>
      <c r="AD150" s="77"/>
      <c r="AE150" s="77"/>
    </row>
    <row r="151" spans="1:31" x14ac:dyDescent="0.25">
      <c r="A151" s="3" t="s">
        <v>207</v>
      </c>
      <c r="B151" s="4" t="s">
        <v>70</v>
      </c>
      <c r="C151" s="5" t="s">
        <v>95</v>
      </c>
      <c r="D151" s="2" t="s">
        <v>117</v>
      </c>
      <c r="E151" s="67" t="s">
        <v>118</v>
      </c>
      <c r="F151" s="69" t="s">
        <v>180</v>
      </c>
      <c r="G151" s="113" t="s">
        <v>841</v>
      </c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4"/>
      <c r="T151" s="77"/>
      <c r="U151" s="77"/>
      <c r="V151" s="77"/>
      <c r="W151" s="77"/>
      <c r="X151" s="77">
        <v>4.2999999999999997E-2</v>
      </c>
      <c r="Y151" s="77"/>
      <c r="Z151" s="77"/>
      <c r="AA151" s="77">
        <v>6.3E-2</v>
      </c>
      <c r="AB151" s="77"/>
      <c r="AC151" s="77"/>
      <c r="AD151" s="77"/>
      <c r="AE151" s="77"/>
    </row>
    <row r="152" spans="1:31" x14ac:dyDescent="0.25">
      <c r="A152" s="3" t="s">
        <v>207</v>
      </c>
      <c r="B152" s="4" t="s">
        <v>34</v>
      </c>
      <c r="C152" s="5" t="s">
        <v>51</v>
      </c>
      <c r="D152" s="2" t="s">
        <v>68</v>
      </c>
      <c r="E152" s="67" t="s">
        <v>69</v>
      </c>
      <c r="F152" s="69" t="s">
        <v>180</v>
      </c>
      <c r="G152" s="113" t="s">
        <v>841</v>
      </c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4"/>
      <c r="T152" s="77"/>
      <c r="U152" s="77"/>
      <c r="V152" s="77"/>
      <c r="W152" s="77"/>
      <c r="X152" s="77">
        <v>4.2999999999999997E-2</v>
      </c>
      <c r="Y152" s="77"/>
      <c r="Z152" s="77"/>
      <c r="AA152" s="77">
        <v>6.3E-2</v>
      </c>
      <c r="AB152" s="77"/>
      <c r="AC152" s="77"/>
      <c r="AD152" s="77"/>
      <c r="AE152" s="77"/>
    </row>
    <row r="153" spans="1:31" x14ac:dyDescent="0.25">
      <c r="A153" s="3" t="s">
        <v>207</v>
      </c>
      <c r="B153" s="4" t="s">
        <v>34</v>
      </c>
      <c r="C153" s="5" t="s">
        <v>51</v>
      </c>
      <c r="D153" s="1" t="s">
        <v>160</v>
      </c>
      <c r="E153" s="67" t="s">
        <v>161</v>
      </c>
      <c r="F153" s="69" t="s">
        <v>180</v>
      </c>
      <c r="G153" s="113" t="s">
        <v>841</v>
      </c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4"/>
      <c r="T153" s="77"/>
      <c r="U153" s="77"/>
      <c r="V153" s="77"/>
      <c r="W153" s="77"/>
      <c r="X153" s="77">
        <v>4.2999999999999997E-2</v>
      </c>
      <c r="Y153" s="77"/>
      <c r="Z153" s="77"/>
      <c r="AA153" s="77">
        <v>6.3E-2</v>
      </c>
      <c r="AB153" s="77"/>
      <c r="AC153" s="77"/>
      <c r="AD153" s="77"/>
      <c r="AE153" s="77"/>
    </row>
    <row r="154" spans="1:31" x14ac:dyDescent="0.25">
      <c r="A154" s="3" t="s">
        <v>207</v>
      </c>
      <c r="B154" s="4" t="s">
        <v>58</v>
      </c>
      <c r="C154" s="5" t="s">
        <v>59</v>
      </c>
      <c r="D154" s="2" t="s">
        <v>229</v>
      </c>
      <c r="E154" s="67" t="s">
        <v>230</v>
      </c>
      <c r="F154" s="69" t="s">
        <v>180</v>
      </c>
      <c r="G154" s="113" t="s">
        <v>841</v>
      </c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4"/>
      <c r="T154" s="77"/>
      <c r="U154" s="77"/>
      <c r="V154" s="77"/>
      <c r="W154" s="77"/>
      <c r="X154" s="77">
        <v>4.2999999999999997E-2</v>
      </c>
      <c r="Y154" s="77"/>
      <c r="Z154" s="77"/>
      <c r="AA154" s="77">
        <v>6.3E-2</v>
      </c>
      <c r="AB154" s="77"/>
      <c r="AC154" s="77"/>
      <c r="AD154" s="77"/>
      <c r="AE154" s="77"/>
    </row>
    <row r="155" spans="1:31" x14ac:dyDescent="0.25">
      <c r="A155" s="3" t="s">
        <v>207</v>
      </c>
      <c r="B155" s="4" t="s">
        <v>58</v>
      </c>
      <c r="C155" s="5" t="s">
        <v>59</v>
      </c>
      <c r="D155" s="1" t="s">
        <v>223</v>
      </c>
      <c r="E155" s="67" t="s">
        <v>224</v>
      </c>
      <c r="F155" s="69" t="s">
        <v>180</v>
      </c>
      <c r="G155" s="113" t="s">
        <v>841</v>
      </c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4"/>
      <c r="T155" s="77"/>
      <c r="U155" s="77"/>
      <c r="V155" s="77"/>
      <c r="W155" s="77"/>
      <c r="X155" s="77">
        <v>4.2999999999999997E-2</v>
      </c>
      <c r="Y155" s="77"/>
      <c r="Z155" s="77"/>
      <c r="AA155" s="77">
        <v>6.3E-2</v>
      </c>
      <c r="AB155" s="77"/>
      <c r="AC155" s="77"/>
      <c r="AD155" s="77"/>
      <c r="AE155" s="77"/>
    </row>
    <row r="156" spans="1:31" x14ac:dyDescent="0.25">
      <c r="A156" s="3" t="s">
        <v>207</v>
      </c>
      <c r="B156" s="4" t="s">
        <v>58</v>
      </c>
      <c r="C156" s="5" t="s">
        <v>59</v>
      </c>
      <c r="D156" s="1" t="s">
        <v>225</v>
      </c>
      <c r="E156" s="67" t="s">
        <v>226</v>
      </c>
      <c r="F156" s="69" t="s">
        <v>180</v>
      </c>
      <c r="G156" s="113" t="s">
        <v>841</v>
      </c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4"/>
      <c r="T156" s="77"/>
      <c r="U156" s="77"/>
      <c r="V156" s="77"/>
      <c r="W156" s="77"/>
      <c r="X156" s="77">
        <v>4.2999999999999997E-2</v>
      </c>
      <c r="Y156" s="77"/>
      <c r="Z156" s="77"/>
      <c r="AA156" s="77">
        <v>6.3E-2</v>
      </c>
      <c r="AB156" s="77"/>
      <c r="AC156" s="77"/>
      <c r="AD156" s="77"/>
      <c r="AE156" s="77"/>
    </row>
    <row r="157" spans="1:31" x14ac:dyDescent="0.25">
      <c r="A157" s="3" t="s">
        <v>207</v>
      </c>
      <c r="B157" s="4" t="s">
        <v>58</v>
      </c>
      <c r="C157" s="5" t="s">
        <v>59</v>
      </c>
      <c r="D157" s="1" t="s">
        <v>59</v>
      </c>
      <c r="E157" s="67" t="s">
        <v>60</v>
      </c>
      <c r="F157" s="69" t="s">
        <v>180</v>
      </c>
      <c r="G157" s="113" t="s">
        <v>841</v>
      </c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4"/>
      <c r="T157" s="77"/>
      <c r="U157" s="77"/>
      <c r="V157" s="77"/>
      <c r="W157" s="77"/>
      <c r="X157" s="77">
        <v>4.2999999999999997E-2</v>
      </c>
      <c r="Y157" s="77"/>
      <c r="Z157" s="77"/>
      <c r="AA157" s="77">
        <v>6.3E-2</v>
      </c>
      <c r="AB157" s="77"/>
      <c r="AC157" s="77"/>
      <c r="AD157" s="77"/>
      <c r="AE157" s="77"/>
    </row>
    <row r="158" spans="1:31" x14ac:dyDescent="0.25">
      <c r="A158" s="3" t="s">
        <v>207</v>
      </c>
      <c r="B158" s="4" t="s">
        <v>58</v>
      </c>
      <c r="C158" s="5" t="s">
        <v>59</v>
      </c>
      <c r="D158" s="2" t="s">
        <v>119</v>
      </c>
      <c r="E158" s="67" t="s">
        <v>120</v>
      </c>
      <c r="F158" s="69" t="s">
        <v>180</v>
      </c>
      <c r="G158" s="113" t="s">
        <v>841</v>
      </c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4"/>
      <c r="T158" s="77"/>
      <c r="U158" s="77"/>
      <c r="V158" s="77"/>
      <c r="W158" s="77"/>
      <c r="X158" s="77">
        <v>4.2999999999999997E-2</v>
      </c>
      <c r="Y158" s="77"/>
      <c r="Z158" s="77"/>
      <c r="AA158" s="77">
        <v>6.3E-2</v>
      </c>
      <c r="AB158" s="77"/>
      <c r="AC158" s="77"/>
      <c r="AD158" s="77"/>
      <c r="AE158" s="77"/>
    </row>
    <row r="159" spans="1:31" x14ac:dyDescent="0.25">
      <c r="A159" s="3" t="s">
        <v>207</v>
      </c>
      <c r="B159" s="4" t="s">
        <v>58</v>
      </c>
      <c r="C159" s="5" t="s">
        <v>59</v>
      </c>
      <c r="D159" s="2" t="s">
        <v>227</v>
      </c>
      <c r="E159" s="67" t="s">
        <v>228</v>
      </c>
      <c r="F159" s="69" t="s">
        <v>180</v>
      </c>
      <c r="G159" s="113" t="s">
        <v>841</v>
      </c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4"/>
      <c r="T159" s="77"/>
      <c r="U159" s="77"/>
      <c r="V159" s="77"/>
      <c r="W159" s="77"/>
      <c r="X159" s="77">
        <v>4.2999999999999997E-2</v>
      </c>
      <c r="Y159" s="77"/>
      <c r="Z159" s="77"/>
      <c r="AA159" s="77">
        <v>6.3E-2</v>
      </c>
      <c r="AB159" s="77"/>
      <c r="AC159" s="77"/>
      <c r="AD159" s="77"/>
      <c r="AE159" s="77"/>
    </row>
    <row r="160" spans="1:31" x14ac:dyDescent="0.25">
      <c r="A160" s="3" t="s">
        <v>207</v>
      </c>
      <c r="B160" s="4" t="s">
        <v>58</v>
      </c>
      <c r="C160" s="5" t="s">
        <v>59</v>
      </c>
      <c r="D160" s="2" t="s">
        <v>168</v>
      </c>
      <c r="E160" s="67" t="s">
        <v>169</v>
      </c>
      <c r="F160" s="69" t="s">
        <v>180</v>
      </c>
      <c r="G160" s="113" t="s">
        <v>841</v>
      </c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4"/>
      <c r="T160" s="77"/>
      <c r="U160" s="77"/>
      <c r="V160" s="77"/>
      <c r="W160" s="77"/>
      <c r="X160" s="77">
        <v>4.2999999999999997E-2</v>
      </c>
      <c r="Y160" s="77"/>
      <c r="Z160" s="77"/>
      <c r="AA160" s="77">
        <v>6.3E-2</v>
      </c>
      <c r="AB160" s="77"/>
      <c r="AC160" s="77"/>
      <c r="AD160" s="77"/>
      <c r="AE160" s="77"/>
    </row>
    <row r="161" spans="1:31" x14ac:dyDescent="0.25">
      <c r="A161" s="3" t="s">
        <v>207</v>
      </c>
      <c r="B161" s="4" t="s">
        <v>70</v>
      </c>
      <c r="C161" s="5" t="s">
        <v>245</v>
      </c>
      <c r="D161" s="1" t="s">
        <v>245</v>
      </c>
      <c r="E161" s="67" t="s">
        <v>246</v>
      </c>
      <c r="F161" s="69" t="s">
        <v>180</v>
      </c>
      <c r="G161" s="113" t="s">
        <v>841</v>
      </c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4"/>
      <c r="T161" s="77"/>
      <c r="U161" s="77"/>
      <c r="V161" s="77"/>
      <c r="W161" s="77"/>
      <c r="X161" s="77">
        <v>4.2999999999999997E-2</v>
      </c>
      <c r="Y161" s="77"/>
      <c r="Z161" s="77"/>
      <c r="AA161" s="77">
        <v>6.3E-2</v>
      </c>
      <c r="AB161" s="77"/>
      <c r="AC161" s="77"/>
      <c r="AD161" s="77"/>
      <c r="AE161" s="77"/>
    </row>
    <row r="162" spans="1:31" x14ac:dyDescent="0.25">
      <c r="A162" s="3" t="s">
        <v>207</v>
      </c>
      <c r="B162" s="4" t="s">
        <v>54</v>
      </c>
      <c r="C162" s="5" t="s">
        <v>55</v>
      </c>
      <c r="D162" s="2" t="s">
        <v>56</v>
      </c>
      <c r="E162" s="67" t="s">
        <v>57</v>
      </c>
      <c r="F162" s="69" t="s">
        <v>180</v>
      </c>
      <c r="G162" s="113" t="s">
        <v>841</v>
      </c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4"/>
      <c r="T162" s="77"/>
      <c r="U162" s="77"/>
      <c r="V162" s="77"/>
      <c r="W162" s="77"/>
      <c r="X162" s="77">
        <v>4.2999999999999997E-2</v>
      </c>
      <c r="Y162" s="77"/>
      <c r="Z162" s="77"/>
      <c r="AA162" s="77">
        <v>6.3E-2</v>
      </c>
      <c r="AB162" s="77"/>
      <c r="AC162" s="77"/>
      <c r="AD162" s="77"/>
      <c r="AE162" s="77"/>
    </row>
    <row r="163" spans="1:31" x14ac:dyDescent="0.25">
      <c r="A163" s="3" t="s">
        <v>207</v>
      </c>
      <c r="B163" s="4" t="s">
        <v>54</v>
      </c>
      <c r="C163" s="5" t="s">
        <v>55</v>
      </c>
      <c r="D163" s="2" t="s">
        <v>243</v>
      </c>
      <c r="E163" s="67" t="s">
        <v>244</v>
      </c>
      <c r="F163" s="69" t="s">
        <v>180</v>
      </c>
      <c r="G163" s="113" t="s">
        <v>841</v>
      </c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4"/>
      <c r="T163" s="77"/>
      <c r="U163" s="77"/>
      <c r="V163" s="77"/>
      <c r="W163" s="77"/>
      <c r="X163" s="77">
        <v>4.2999999999999997E-2</v>
      </c>
      <c r="Y163" s="77"/>
      <c r="Z163" s="77"/>
      <c r="AA163" s="77">
        <v>6.3E-2</v>
      </c>
      <c r="AB163" s="77"/>
      <c r="AC163" s="77"/>
      <c r="AD163" s="77"/>
      <c r="AE163" s="77"/>
    </row>
    <row r="164" spans="1:31" x14ac:dyDescent="0.25">
      <c r="A164" s="3" t="s">
        <v>207</v>
      </c>
      <c r="B164" s="4" t="s">
        <v>42</v>
      </c>
      <c r="C164" s="5" t="s">
        <v>148</v>
      </c>
      <c r="D164" s="1" t="s">
        <v>149</v>
      </c>
      <c r="E164" s="67" t="s">
        <v>150</v>
      </c>
      <c r="F164" s="69" t="s">
        <v>180</v>
      </c>
      <c r="G164" s="113" t="s">
        <v>841</v>
      </c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4"/>
      <c r="T164" s="77"/>
      <c r="U164" s="77"/>
      <c r="V164" s="77"/>
      <c r="W164" s="77"/>
      <c r="X164" s="77">
        <v>4.2999999999999997E-2</v>
      </c>
      <c r="Y164" s="77"/>
      <c r="Z164" s="77"/>
      <c r="AA164" s="77">
        <v>6.3E-2</v>
      </c>
      <c r="AB164" s="77"/>
      <c r="AC164" s="77"/>
      <c r="AD164" s="77"/>
      <c r="AE164" s="77"/>
    </row>
    <row r="165" spans="1:31" x14ac:dyDescent="0.25">
      <c r="A165" s="3" t="s">
        <v>207</v>
      </c>
      <c r="B165" s="4" t="s">
        <v>73</v>
      </c>
      <c r="C165" s="5" t="s">
        <v>74</v>
      </c>
      <c r="D165" s="2" t="s">
        <v>253</v>
      </c>
      <c r="E165" s="67" t="s">
        <v>153</v>
      </c>
      <c r="F165" s="69" t="s">
        <v>180</v>
      </c>
      <c r="G165" s="113" t="s">
        <v>841</v>
      </c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4"/>
      <c r="T165" s="77"/>
      <c r="U165" s="77"/>
      <c r="V165" s="77"/>
      <c r="W165" s="77"/>
      <c r="X165" s="77">
        <v>4.2999999999999997E-2</v>
      </c>
      <c r="Y165" s="77"/>
      <c r="Z165" s="77"/>
      <c r="AA165" s="77">
        <v>6.3E-2</v>
      </c>
      <c r="AB165" s="77"/>
      <c r="AC165" s="77"/>
      <c r="AD165" s="77"/>
      <c r="AE165" s="77"/>
    </row>
    <row r="166" spans="1:31" x14ac:dyDescent="0.25">
      <c r="A166" s="3" t="s">
        <v>207</v>
      </c>
      <c r="B166" s="4" t="s">
        <v>90</v>
      </c>
      <c r="C166" s="5" t="s">
        <v>91</v>
      </c>
      <c r="D166" s="2" t="s">
        <v>231</v>
      </c>
      <c r="E166" s="67" t="s">
        <v>232</v>
      </c>
      <c r="F166" s="69" t="s">
        <v>180</v>
      </c>
      <c r="G166" s="113" t="s">
        <v>841</v>
      </c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4"/>
      <c r="T166" s="77"/>
      <c r="U166" s="77"/>
      <c r="V166" s="77"/>
      <c r="W166" s="77"/>
      <c r="X166" s="77">
        <v>4.2999999999999997E-2</v>
      </c>
      <c r="Y166" s="77"/>
      <c r="Z166" s="77"/>
      <c r="AA166" s="77">
        <v>6.3E-2</v>
      </c>
      <c r="AB166" s="77"/>
      <c r="AC166" s="77"/>
      <c r="AD166" s="77"/>
      <c r="AE166" s="77"/>
    </row>
    <row r="167" spans="1:31" x14ac:dyDescent="0.25">
      <c r="A167" s="3" t="s">
        <v>207</v>
      </c>
      <c r="B167" s="4" t="s">
        <v>90</v>
      </c>
      <c r="C167" s="5" t="s">
        <v>91</v>
      </c>
      <c r="D167" s="2" t="s">
        <v>233</v>
      </c>
      <c r="E167" s="67" t="s">
        <v>234</v>
      </c>
      <c r="F167" s="69" t="s">
        <v>180</v>
      </c>
      <c r="G167" s="113" t="s">
        <v>841</v>
      </c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4"/>
      <c r="T167" s="77"/>
      <c r="U167" s="77"/>
      <c r="V167" s="77"/>
      <c r="W167" s="77"/>
      <c r="X167" s="77">
        <v>4.2999999999999997E-2</v>
      </c>
      <c r="Y167" s="77"/>
      <c r="Z167" s="77"/>
      <c r="AA167" s="77">
        <v>6.3E-2</v>
      </c>
      <c r="AB167" s="77"/>
      <c r="AC167" s="77"/>
      <c r="AD167" s="77"/>
      <c r="AE167" s="77"/>
    </row>
    <row r="168" spans="1:31" x14ac:dyDescent="0.25">
      <c r="A168" s="3" t="s">
        <v>207</v>
      </c>
      <c r="B168" s="4" t="s">
        <v>90</v>
      </c>
      <c r="C168" s="5" t="s">
        <v>91</v>
      </c>
      <c r="D168" s="2" t="s">
        <v>235</v>
      </c>
      <c r="E168" s="67" t="s">
        <v>236</v>
      </c>
      <c r="F168" s="69" t="s">
        <v>180</v>
      </c>
      <c r="G168" s="113" t="s">
        <v>841</v>
      </c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4"/>
      <c r="T168" s="77"/>
      <c r="U168" s="77"/>
      <c r="V168" s="77"/>
      <c r="W168" s="77"/>
      <c r="X168" s="77">
        <v>4.2999999999999997E-2</v>
      </c>
      <c r="Y168" s="77"/>
      <c r="Z168" s="77"/>
      <c r="AA168" s="77">
        <v>6.3E-2</v>
      </c>
      <c r="AB168" s="77"/>
      <c r="AC168" s="77"/>
      <c r="AD168" s="77"/>
      <c r="AE168" s="77"/>
    </row>
    <row r="169" spans="1:31" x14ac:dyDescent="0.25">
      <c r="A169" s="3" t="s">
        <v>207</v>
      </c>
      <c r="B169" s="4" t="s">
        <v>90</v>
      </c>
      <c r="C169" s="5" t="s">
        <v>91</v>
      </c>
      <c r="D169" s="2" t="s">
        <v>237</v>
      </c>
      <c r="E169" s="67" t="s">
        <v>238</v>
      </c>
      <c r="F169" s="69" t="s">
        <v>180</v>
      </c>
      <c r="G169" s="113" t="s">
        <v>841</v>
      </c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4"/>
      <c r="T169" s="77"/>
      <c r="U169" s="77"/>
      <c r="V169" s="77"/>
      <c r="W169" s="77"/>
      <c r="X169" s="77">
        <v>4.2999999999999997E-2</v>
      </c>
      <c r="Y169" s="77"/>
      <c r="Z169" s="77"/>
      <c r="AA169" s="77">
        <v>6.3E-2</v>
      </c>
      <c r="AB169" s="77"/>
      <c r="AC169" s="77"/>
      <c r="AD169" s="77"/>
      <c r="AE169" s="77"/>
    </row>
    <row r="170" spans="1:31" x14ac:dyDescent="0.25">
      <c r="A170" s="3" t="s">
        <v>207</v>
      </c>
      <c r="B170" s="4" t="s">
        <v>90</v>
      </c>
      <c r="C170" s="5" t="s">
        <v>91</v>
      </c>
      <c r="D170" s="2" t="s">
        <v>91</v>
      </c>
      <c r="E170" s="67" t="s">
        <v>92</v>
      </c>
      <c r="F170" s="69" t="s">
        <v>180</v>
      </c>
      <c r="G170" s="113" t="s">
        <v>841</v>
      </c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4"/>
      <c r="T170" s="77"/>
      <c r="U170" s="77"/>
      <c r="V170" s="77"/>
      <c r="W170" s="77"/>
      <c r="X170" s="77">
        <v>4.2999999999999997E-2</v>
      </c>
      <c r="Y170" s="77"/>
      <c r="Z170" s="77"/>
      <c r="AA170" s="77">
        <v>6.3E-2</v>
      </c>
      <c r="AB170" s="77"/>
      <c r="AC170" s="77"/>
      <c r="AD170" s="77"/>
      <c r="AE170" s="77"/>
    </row>
    <row r="171" spans="1:31" x14ac:dyDescent="0.25">
      <c r="A171" s="3" t="s">
        <v>207</v>
      </c>
      <c r="B171" s="4" t="s">
        <v>90</v>
      </c>
      <c r="C171" s="5" t="s">
        <v>91</v>
      </c>
      <c r="D171" s="1" t="s">
        <v>239</v>
      </c>
      <c r="E171" s="67" t="s">
        <v>240</v>
      </c>
      <c r="F171" s="69" t="s">
        <v>180</v>
      </c>
      <c r="G171" s="113" t="s">
        <v>841</v>
      </c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4"/>
      <c r="T171" s="77"/>
      <c r="U171" s="77"/>
      <c r="V171" s="77"/>
      <c r="W171" s="77"/>
      <c r="X171" s="77">
        <v>4.2999999999999997E-2</v>
      </c>
      <c r="Y171" s="77"/>
      <c r="Z171" s="77"/>
      <c r="AA171" s="77">
        <v>6.3E-2</v>
      </c>
      <c r="AB171" s="77"/>
      <c r="AC171" s="77"/>
      <c r="AD171" s="77"/>
      <c r="AE171" s="77"/>
    </row>
    <row r="172" spans="1:31" x14ac:dyDescent="0.25">
      <c r="A172" s="3" t="s">
        <v>207</v>
      </c>
      <c r="B172" s="4" t="s">
        <v>90</v>
      </c>
      <c r="C172" s="5" t="s">
        <v>91</v>
      </c>
      <c r="D172" s="1" t="s">
        <v>146</v>
      </c>
      <c r="E172" s="67" t="s">
        <v>147</v>
      </c>
      <c r="F172" s="69" t="s">
        <v>180</v>
      </c>
      <c r="G172" s="113" t="s">
        <v>841</v>
      </c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4"/>
      <c r="T172" s="77"/>
      <c r="U172" s="77"/>
      <c r="V172" s="77"/>
      <c r="W172" s="77"/>
      <c r="X172" s="77">
        <v>4.2999999999999997E-2</v>
      </c>
      <c r="Y172" s="77"/>
      <c r="Z172" s="77"/>
      <c r="AA172" s="77">
        <v>6.3E-2</v>
      </c>
      <c r="AB172" s="77"/>
      <c r="AC172" s="77"/>
      <c r="AD172" s="77"/>
      <c r="AE172" s="77"/>
    </row>
    <row r="173" spans="1:31" x14ac:dyDescent="0.25">
      <c r="A173" s="3" t="s">
        <v>207</v>
      </c>
      <c r="B173" s="4" t="s">
        <v>70</v>
      </c>
      <c r="C173" s="5" t="s">
        <v>104</v>
      </c>
      <c r="D173" s="2" t="s">
        <v>105</v>
      </c>
      <c r="E173" s="67" t="s">
        <v>106</v>
      </c>
      <c r="F173" s="69" t="s">
        <v>180</v>
      </c>
      <c r="G173" s="113" t="s">
        <v>841</v>
      </c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4"/>
      <c r="T173" s="77"/>
      <c r="U173" s="77"/>
      <c r="V173" s="77"/>
      <c r="W173" s="77"/>
      <c r="X173" s="77">
        <v>4.2999999999999997E-2</v>
      </c>
      <c r="Y173" s="77"/>
      <c r="Z173" s="77"/>
      <c r="AA173" s="77">
        <v>6.3E-2</v>
      </c>
      <c r="AB173" s="77"/>
      <c r="AC173" s="77"/>
      <c r="AD173" s="77"/>
      <c r="AE173" s="77"/>
    </row>
    <row r="174" spans="1:31" x14ac:dyDescent="0.25">
      <c r="A174" s="3" t="s">
        <v>207</v>
      </c>
      <c r="B174" s="4" t="s">
        <v>30</v>
      </c>
      <c r="C174" s="6" t="s">
        <v>48</v>
      </c>
      <c r="D174" s="1" t="s">
        <v>48</v>
      </c>
      <c r="E174" s="67" t="s">
        <v>94</v>
      </c>
      <c r="F174" s="69" t="s">
        <v>180</v>
      </c>
      <c r="G174" s="113" t="s">
        <v>841</v>
      </c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4"/>
      <c r="T174" s="77"/>
      <c r="U174" s="77"/>
      <c r="V174" s="77"/>
      <c r="W174" s="77"/>
      <c r="X174" s="77">
        <v>4.2999999999999997E-2</v>
      </c>
      <c r="Y174" s="77"/>
      <c r="Z174" s="77"/>
      <c r="AA174" s="77">
        <v>6.3E-2</v>
      </c>
      <c r="AB174" s="77"/>
      <c r="AC174" s="77"/>
      <c r="AD174" s="77"/>
      <c r="AE174" s="77"/>
    </row>
    <row r="175" spans="1:31" x14ac:dyDescent="0.25">
      <c r="A175" s="3" t="s">
        <v>207</v>
      </c>
      <c r="B175" s="4" t="s">
        <v>30</v>
      </c>
      <c r="C175" s="5" t="s">
        <v>45</v>
      </c>
      <c r="D175" s="2" t="s">
        <v>77</v>
      </c>
      <c r="E175" s="67" t="s">
        <v>78</v>
      </c>
      <c r="F175" s="69" t="s">
        <v>180</v>
      </c>
      <c r="G175" s="113" t="s">
        <v>841</v>
      </c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4"/>
      <c r="T175" s="77"/>
      <c r="U175" s="77"/>
      <c r="V175" s="77"/>
      <c r="W175" s="77"/>
      <c r="X175" s="77">
        <v>4.2999999999999997E-2</v>
      </c>
      <c r="Y175" s="77"/>
      <c r="Z175" s="77"/>
      <c r="AA175" s="77">
        <v>6.3E-2</v>
      </c>
      <c r="AB175" s="77"/>
      <c r="AC175" s="77"/>
      <c r="AD175" s="77"/>
      <c r="AE175" s="77"/>
    </row>
    <row r="176" spans="1:31" x14ac:dyDescent="0.25">
      <c r="A176" s="3" t="s">
        <v>207</v>
      </c>
      <c r="B176" s="4" t="s">
        <v>30</v>
      </c>
      <c r="C176" s="5" t="s">
        <v>45</v>
      </c>
      <c r="D176" s="2" t="s">
        <v>132</v>
      </c>
      <c r="E176" s="67" t="s">
        <v>133</v>
      </c>
      <c r="F176" s="69" t="s">
        <v>180</v>
      </c>
      <c r="G176" s="113" t="s">
        <v>841</v>
      </c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4"/>
      <c r="T176" s="77"/>
      <c r="U176" s="77"/>
      <c r="V176" s="77"/>
      <c r="W176" s="77"/>
      <c r="X176" s="77">
        <v>4.2999999999999997E-2</v>
      </c>
      <c r="Y176" s="77"/>
      <c r="Z176" s="77"/>
      <c r="AA176" s="77">
        <v>6.3E-2</v>
      </c>
      <c r="AB176" s="77"/>
      <c r="AC176" s="77"/>
      <c r="AD176" s="77"/>
      <c r="AE176" s="77"/>
    </row>
    <row r="177" spans="1:31" x14ac:dyDescent="0.25">
      <c r="A177" s="3" t="s">
        <v>207</v>
      </c>
      <c r="B177" s="4" t="s">
        <v>42</v>
      </c>
      <c r="C177" s="5" t="s">
        <v>130</v>
      </c>
      <c r="D177" s="1" t="s">
        <v>130</v>
      </c>
      <c r="E177" s="67" t="s">
        <v>131</v>
      </c>
      <c r="F177" s="69" t="s">
        <v>180</v>
      </c>
      <c r="G177" s="113" t="s">
        <v>841</v>
      </c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4"/>
      <c r="T177" s="77"/>
      <c r="U177" s="77"/>
      <c r="V177" s="77"/>
      <c r="W177" s="77"/>
      <c r="X177" s="77">
        <v>4.2999999999999997E-2</v>
      </c>
      <c r="Y177" s="77"/>
      <c r="Z177" s="77"/>
      <c r="AA177" s="77">
        <v>6.3E-2</v>
      </c>
      <c r="AB177" s="77"/>
      <c r="AC177" s="77"/>
      <c r="AD177" s="77"/>
      <c r="AE177" s="77"/>
    </row>
    <row r="178" spans="1:31" x14ac:dyDescent="0.25">
      <c r="A178" s="3" t="s">
        <v>207</v>
      </c>
      <c r="B178" s="4" t="s">
        <v>90</v>
      </c>
      <c r="C178" s="5" t="s">
        <v>135</v>
      </c>
      <c r="D178" s="2" t="s">
        <v>136</v>
      </c>
      <c r="E178" s="67" t="s">
        <v>137</v>
      </c>
      <c r="F178" s="69" t="s">
        <v>180</v>
      </c>
      <c r="G178" s="113" t="s">
        <v>841</v>
      </c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4"/>
      <c r="T178" s="77"/>
      <c r="U178" s="77"/>
      <c r="V178" s="77"/>
      <c r="W178" s="77"/>
      <c r="X178" s="77">
        <v>4.2999999999999997E-2</v>
      </c>
      <c r="Y178" s="77"/>
      <c r="Z178" s="77"/>
      <c r="AA178" s="77">
        <v>6.3E-2</v>
      </c>
      <c r="AB178" s="77"/>
      <c r="AC178" s="77"/>
      <c r="AD178" s="77"/>
      <c r="AE178" s="77"/>
    </row>
    <row r="179" spans="1:31" x14ac:dyDescent="0.25">
      <c r="A179" s="3" t="s">
        <v>207</v>
      </c>
      <c r="B179" s="4" t="s">
        <v>90</v>
      </c>
      <c r="C179" s="5" t="s">
        <v>135</v>
      </c>
      <c r="D179" s="1" t="s">
        <v>241</v>
      </c>
      <c r="E179" s="67" t="s">
        <v>242</v>
      </c>
      <c r="F179" s="69" t="s">
        <v>180</v>
      </c>
      <c r="G179" s="113" t="s">
        <v>841</v>
      </c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4"/>
      <c r="T179" s="77"/>
      <c r="U179" s="77"/>
      <c r="V179" s="77"/>
      <c r="W179" s="77"/>
      <c r="X179" s="77">
        <v>4.2999999999999997E-2</v>
      </c>
      <c r="Y179" s="77"/>
      <c r="Z179" s="77"/>
      <c r="AA179" s="77">
        <v>6.3E-2</v>
      </c>
      <c r="AB179" s="77"/>
      <c r="AC179" s="77"/>
      <c r="AD179" s="77"/>
      <c r="AE179" s="77"/>
    </row>
    <row r="180" spans="1:31" x14ac:dyDescent="0.25">
      <c r="A180" s="3" t="s">
        <v>207</v>
      </c>
      <c r="B180" s="4" t="s">
        <v>38</v>
      </c>
      <c r="C180" s="5" t="s">
        <v>39</v>
      </c>
      <c r="D180" s="1" t="s">
        <v>128</v>
      </c>
      <c r="E180" s="67" t="s">
        <v>129</v>
      </c>
      <c r="F180" s="69" t="s">
        <v>180</v>
      </c>
      <c r="G180" s="113" t="s">
        <v>841</v>
      </c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4"/>
      <c r="T180" s="77"/>
      <c r="U180" s="77"/>
      <c r="V180" s="77"/>
      <c r="W180" s="77"/>
      <c r="X180" s="77">
        <v>4.2999999999999997E-2</v>
      </c>
      <c r="Y180" s="77"/>
      <c r="Z180" s="77"/>
      <c r="AA180" s="77">
        <v>6.3E-2</v>
      </c>
      <c r="AB180" s="77"/>
      <c r="AC180" s="77"/>
      <c r="AD180" s="77"/>
      <c r="AE180" s="77"/>
    </row>
    <row r="181" spans="1:31" x14ac:dyDescent="0.25">
      <c r="A181" s="3" t="s">
        <v>207</v>
      </c>
      <c r="B181" s="4" t="s">
        <v>38</v>
      </c>
      <c r="C181" s="5" t="s">
        <v>39</v>
      </c>
      <c r="D181" s="1" t="s">
        <v>39</v>
      </c>
      <c r="E181" s="67" t="s">
        <v>151</v>
      </c>
      <c r="F181" s="69" t="s">
        <v>180</v>
      </c>
      <c r="G181" s="113" t="s">
        <v>841</v>
      </c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4"/>
      <c r="T181" s="77"/>
      <c r="U181" s="77"/>
      <c r="V181" s="77"/>
      <c r="W181" s="77"/>
      <c r="X181" s="77">
        <v>4.2999999999999997E-2</v>
      </c>
      <c r="Y181" s="77"/>
      <c r="Z181" s="77"/>
      <c r="AA181" s="77">
        <v>6.3E-2</v>
      </c>
      <c r="AB181" s="77"/>
      <c r="AC181" s="77"/>
      <c r="AD181" s="77"/>
      <c r="AE181" s="77"/>
    </row>
    <row r="182" spans="1:31" x14ac:dyDescent="0.25">
      <c r="A182" s="3" t="s">
        <v>207</v>
      </c>
      <c r="B182" s="4" t="s">
        <v>42</v>
      </c>
      <c r="C182" s="5" t="s">
        <v>143</v>
      </c>
      <c r="D182" s="2" t="s">
        <v>144</v>
      </c>
      <c r="E182" s="67" t="s">
        <v>145</v>
      </c>
      <c r="F182" s="69" t="s">
        <v>180</v>
      </c>
      <c r="G182" s="113" t="s">
        <v>841</v>
      </c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4"/>
      <c r="T182" s="77"/>
      <c r="U182" s="77"/>
      <c r="V182" s="77"/>
      <c r="W182" s="77"/>
      <c r="X182" s="77">
        <v>4.2999999999999997E-2</v>
      </c>
      <c r="Y182" s="77"/>
      <c r="Z182" s="77"/>
      <c r="AA182" s="77">
        <v>6.3E-2</v>
      </c>
      <c r="AB182" s="77"/>
      <c r="AC182" s="77"/>
      <c r="AD182" s="77"/>
      <c r="AE182" s="77"/>
    </row>
    <row r="183" spans="1:31" x14ac:dyDescent="0.25">
      <c r="A183" s="3" t="s">
        <v>254</v>
      </c>
      <c r="B183" s="4" t="s">
        <v>30</v>
      </c>
      <c r="C183" s="5" t="s">
        <v>81</v>
      </c>
      <c r="D183" s="1" t="s">
        <v>31</v>
      </c>
      <c r="E183" s="67" t="s">
        <v>32</v>
      </c>
      <c r="F183" s="69" t="s">
        <v>180</v>
      </c>
      <c r="G183" s="113" t="s">
        <v>836</v>
      </c>
      <c r="H183" s="77"/>
      <c r="I183" s="77">
        <v>0.29799999999999999</v>
      </c>
      <c r="J183" s="77"/>
      <c r="K183" s="77">
        <v>0.15</v>
      </c>
      <c r="L183" s="77"/>
      <c r="M183" s="77"/>
      <c r="N183" s="77">
        <v>0.08</v>
      </c>
      <c r="O183" s="77"/>
      <c r="P183" s="77">
        <v>0.15429999999999999</v>
      </c>
      <c r="Q183" s="77"/>
      <c r="R183" s="77"/>
      <c r="S183" s="74"/>
      <c r="T183" s="77">
        <v>8.2199999999999995E-2</v>
      </c>
      <c r="U183" s="77"/>
      <c r="V183" s="77"/>
      <c r="W183" s="77"/>
      <c r="X183" s="77">
        <v>0.10290000000000001</v>
      </c>
      <c r="Y183" s="77"/>
      <c r="Z183" s="77"/>
      <c r="AA183" s="77">
        <v>-0.03</v>
      </c>
      <c r="AB183" s="77">
        <v>0.11360000000000001</v>
      </c>
      <c r="AC183" s="77"/>
      <c r="AD183" s="77"/>
      <c r="AE183" s="77"/>
    </row>
    <row r="184" spans="1:31" x14ac:dyDescent="0.25">
      <c r="A184" s="3" t="s">
        <v>254</v>
      </c>
      <c r="B184" s="4" t="s">
        <v>177</v>
      </c>
      <c r="C184" s="5" t="s">
        <v>81</v>
      </c>
      <c r="D184" s="1" t="s">
        <v>211</v>
      </c>
      <c r="E184" s="67" t="s">
        <v>212</v>
      </c>
      <c r="F184" s="69" t="s">
        <v>180</v>
      </c>
      <c r="G184" s="113" t="s">
        <v>837</v>
      </c>
      <c r="H184" s="77"/>
      <c r="I184" s="77">
        <v>0.29799999999999999</v>
      </c>
      <c r="J184" s="77"/>
      <c r="K184" s="77"/>
      <c r="L184" s="77"/>
      <c r="M184" s="77"/>
      <c r="N184" s="77">
        <v>0.08</v>
      </c>
      <c r="O184" s="77"/>
      <c r="P184" s="77">
        <v>0.15429999999999999</v>
      </c>
      <c r="Q184" s="77"/>
      <c r="R184" s="77"/>
      <c r="S184" s="74"/>
      <c r="T184" s="77">
        <v>4.2200000000000001E-2</v>
      </c>
      <c r="U184" s="77"/>
      <c r="V184" s="77"/>
      <c r="W184" s="77"/>
      <c r="X184" s="77">
        <v>0.10290000000000001</v>
      </c>
      <c r="Y184" s="77"/>
      <c r="Z184" s="77"/>
      <c r="AA184" s="77">
        <v>-0.03</v>
      </c>
      <c r="AB184" s="77">
        <v>0.11360000000000001</v>
      </c>
      <c r="AC184" s="77"/>
      <c r="AD184" s="77"/>
      <c r="AE184" s="77"/>
    </row>
    <row r="185" spans="1:31" x14ac:dyDescent="0.25">
      <c r="A185" s="3" t="s">
        <v>254</v>
      </c>
      <c r="B185" s="4" t="s">
        <v>177</v>
      </c>
      <c r="C185" s="5" t="s">
        <v>81</v>
      </c>
      <c r="D185" s="1" t="s">
        <v>182</v>
      </c>
      <c r="E185" s="67" t="s">
        <v>183</v>
      </c>
      <c r="F185" s="69" t="s">
        <v>180</v>
      </c>
      <c r="G185" s="113" t="s">
        <v>837</v>
      </c>
      <c r="H185" s="77"/>
      <c r="I185" s="77">
        <v>0.29799999999999999</v>
      </c>
      <c r="J185" s="77"/>
      <c r="K185" s="77"/>
      <c r="L185" s="77"/>
      <c r="M185" s="77"/>
      <c r="N185" s="77">
        <v>0.08</v>
      </c>
      <c r="O185" s="77"/>
      <c r="P185" s="77">
        <v>0.15429999999999999</v>
      </c>
      <c r="Q185" s="77"/>
      <c r="R185" s="77"/>
      <c r="S185" s="74"/>
      <c r="T185" s="77">
        <v>4.2200000000000001E-2</v>
      </c>
      <c r="U185" s="77"/>
      <c r="V185" s="77"/>
      <c r="W185" s="77"/>
      <c r="X185" s="77">
        <v>0.10290000000000001</v>
      </c>
      <c r="Y185" s="77"/>
      <c r="Z185" s="77"/>
      <c r="AA185" s="77">
        <v>-0.03</v>
      </c>
      <c r="AB185" s="77">
        <v>0.11360000000000001</v>
      </c>
      <c r="AC185" s="77"/>
      <c r="AD185" s="77"/>
      <c r="AE185" s="77"/>
    </row>
    <row r="186" spans="1:31" x14ac:dyDescent="0.25">
      <c r="A186" s="3" t="s">
        <v>254</v>
      </c>
      <c r="B186" s="4" t="s">
        <v>73</v>
      </c>
      <c r="C186" s="5" t="s">
        <v>81</v>
      </c>
      <c r="D186" s="1" t="s">
        <v>82</v>
      </c>
      <c r="E186" s="67" t="s">
        <v>83</v>
      </c>
      <c r="F186" s="69" t="s">
        <v>180</v>
      </c>
      <c r="G186" s="113" t="s">
        <v>836</v>
      </c>
      <c r="H186" s="77"/>
      <c r="I186" s="77">
        <v>0.29799999999999999</v>
      </c>
      <c r="J186" s="77"/>
      <c r="K186" s="77">
        <v>0.15</v>
      </c>
      <c r="L186" s="77"/>
      <c r="M186" s="77"/>
      <c r="N186" s="77">
        <v>0.08</v>
      </c>
      <c r="O186" s="77"/>
      <c r="P186" s="77">
        <v>0.15429999999999999</v>
      </c>
      <c r="Q186" s="77"/>
      <c r="R186" s="77"/>
      <c r="S186" s="74"/>
      <c r="T186" s="77">
        <v>8.2199999999999995E-2</v>
      </c>
      <c r="U186" s="77"/>
      <c r="V186" s="77"/>
      <c r="W186" s="77"/>
      <c r="X186" s="77">
        <v>0.10290000000000001</v>
      </c>
      <c r="Y186" s="77"/>
      <c r="Z186" s="77"/>
      <c r="AA186" s="77">
        <v>-0.03</v>
      </c>
      <c r="AB186" s="77">
        <v>0.11360000000000001</v>
      </c>
      <c r="AC186" s="77"/>
      <c r="AD186" s="77"/>
      <c r="AE186" s="77"/>
    </row>
    <row r="187" spans="1:31" x14ac:dyDescent="0.25">
      <c r="A187" s="3" t="s">
        <v>254</v>
      </c>
      <c r="B187" s="4" t="s">
        <v>87</v>
      </c>
      <c r="C187" s="5" t="s">
        <v>81</v>
      </c>
      <c r="D187" s="1" t="s">
        <v>208</v>
      </c>
      <c r="E187" s="67" t="s">
        <v>209</v>
      </c>
      <c r="F187" s="69" t="s">
        <v>180</v>
      </c>
      <c r="G187" s="113" t="s">
        <v>836</v>
      </c>
      <c r="H187" s="77"/>
      <c r="I187" s="77">
        <v>0.29799999999999999</v>
      </c>
      <c r="J187" s="77"/>
      <c r="K187" s="77">
        <v>0.15</v>
      </c>
      <c r="L187" s="77"/>
      <c r="M187" s="77"/>
      <c r="N187" s="77">
        <v>0.08</v>
      </c>
      <c r="O187" s="77"/>
      <c r="P187" s="77">
        <v>0.15429999999999999</v>
      </c>
      <c r="Q187" s="77"/>
      <c r="R187" s="77"/>
      <c r="S187" s="74"/>
      <c r="T187" s="77">
        <v>8.2199999999999995E-2</v>
      </c>
      <c r="U187" s="77"/>
      <c r="V187" s="77"/>
      <c r="W187" s="77"/>
      <c r="X187" s="77">
        <v>0.10290000000000001</v>
      </c>
      <c r="Y187" s="77"/>
      <c r="Z187" s="77"/>
      <c r="AA187" s="77">
        <v>-0.03</v>
      </c>
      <c r="AB187" s="77">
        <v>0.11360000000000001</v>
      </c>
      <c r="AC187" s="77"/>
      <c r="AD187" s="77"/>
      <c r="AE187" s="77"/>
    </row>
    <row r="188" spans="1:31" x14ac:dyDescent="0.25">
      <c r="A188" s="3" t="s">
        <v>254</v>
      </c>
      <c r="B188" s="4" t="s">
        <v>87</v>
      </c>
      <c r="C188" s="5" t="s">
        <v>81</v>
      </c>
      <c r="D188" s="1" t="s">
        <v>88</v>
      </c>
      <c r="E188" s="67" t="s">
        <v>89</v>
      </c>
      <c r="F188" s="69" t="s">
        <v>180</v>
      </c>
      <c r="G188" s="113" t="s">
        <v>836</v>
      </c>
      <c r="H188" s="77"/>
      <c r="I188" s="77">
        <v>0.29799999999999999</v>
      </c>
      <c r="J188" s="77"/>
      <c r="K188" s="77">
        <v>0.15</v>
      </c>
      <c r="L188" s="77"/>
      <c r="M188" s="77"/>
      <c r="N188" s="77">
        <v>0.08</v>
      </c>
      <c r="O188" s="77"/>
      <c r="P188" s="77">
        <v>0.15429999999999999</v>
      </c>
      <c r="Q188" s="77"/>
      <c r="R188" s="77"/>
      <c r="S188" s="74"/>
      <c r="T188" s="77">
        <v>8.2199999999999995E-2</v>
      </c>
      <c r="U188" s="77"/>
      <c r="V188" s="77"/>
      <c r="W188" s="77"/>
      <c r="X188" s="77">
        <v>0.10290000000000001</v>
      </c>
      <c r="Y188" s="77"/>
      <c r="Z188" s="77"/>
      <c r="AA188" s="77">
        <v>-0.03</v>
      </c>
      <c r="AB188" s="77">
        <v>0.11360000000000001</v>
      </c>
      <c r="AC188" s="77"/>
      <c r="AD188" s="77"/>
      <c r="AE188" s="77"/>
    </row>
    <row r="189" spans="1:31" x14ac:dyDescent="0.25">
      <c r="A189" s="3" t="s">
        <v>254</v>
      </c>
      <c r="B189" s="4" t="s">
        <v>177</v>
      </c>
      <c r="C189" s="5" t="s">
        <v>81</v>
      </c>
      <c r="D189" s="1" t="s">
        <v>213</v>
      </c>
      <c r="E189" s="67" t="s">
        <v>214</v>
      </c>
      <c r="F189" s="69" t="s">
        <v>180</v>
      </c>
      <c r="G189" s="113" t="s">
        <v>837</v>
      </c>
      <c r="H189" s="77"/>
      <c r="I189" s="77">
        <v>0.29799999999999999</v>
      </c>
      <c r="J189" s="77"/>
      <c r="K189" s="77"/>
      <c r="L189" s="77"/>
      <c r="M189" s="77"/>
      <c r="N189" s="77">
        <v>0.08</v>
      </c>
      <c r="O189" s="77"/>
      <c r="P189" s="77">
        <v>0.15429999999999999</v>
      </c>
      <c r="Q189" s="77"/>
      <c r="R189" s="77"/>
      <c r="S189" s="74"/>
      <c r="T189" s="77">
        <v>4.2200000000000001E-2</v>
      </c>
      <c r="U189" s="77"/>
      <c r="V189" s="77"/>
      <c r="W189" s="77"/>
      <c r="X189" s="77">
        <v>0.10290000000000001</v>
      </c>
      <c r="Y189" s="77"/>
      <c r="Z189" s="77"/>
      <c r="AA189" s="77">
        <v>-0.03</v>
      </c>
      <c r="AB189" s="77">
        <v>0.11360000000000001</v>
      </c>
      <c r="AC189" s="77"/>
      <c r="AD189" s="77"/>
      <c r="AE189" s="77"/>
    </row>
    <row r="190" spans="1:31" x14ac:dyDescent="0.25">
      <c r="A190" s="3" t="s">
        <v>254</v>
      </c>
      <c r="B190" s="4" t="s">
        <v>87</v>
      </c>
      <c r="C190" s="5" t="s">
        <v>81</v>
      </c>
      <c r="D190" s="1" t="s">
        <v>255</v>
      </c>
      <c r="E190" s="67" t="s">
        <v>256</v>
      </c>
      <c r="F190" s="69" t="s">
        <v>180</v>
      </c>
      <c r="G190" s="113" t="s">
        <v>831</v>
      </c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4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</row>
    <row r="191" spans="1:31" x14ac:dyDescent="0.25">
      <c r="A191" s="3" t="s">
        <v>254</v>
      </c>
      <c r="B191" s="4" t="s">
        <v>73</v>
      </c>
      <c r="C191" s="5" t="s">
        <v>81</v>
      </c>
      <c r="D191" s="1" t="s">
        <v>251</v>
      </c>
      <c r="E191" s="67" t="s">
        <v>252</v>
      </c>
      <c r="F191" s="69" t="s">
        <v>180</v>
      </c>
      <c r="G191" s="113" t="s">
        <v>831</v>
      </c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4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</row>
    <row r="192" spans="1:31" x14ac:dyDescent="0.25">
      <c r="A192" s="3" t="s">
        <v>254</v>
      </c>
      <c r="B192" s="4" t="s">
        <v>177</v>
      </c>
      <c r="C192" s="5" t="s">
        <v>81</v>
      </c>
      <c r="D192" s="1" t="s">
        <v>215</v>
      </c>
      <c r="E192" s="67" t="s">
        <v>216</v>
      </c>
      <c r="F192" s="69" t="s">
        <v>180</v>
      </c>
      <c r="G192" s="113" t="s">
        <v>837</v>
      </c>
      <c r="H192" s="77"/>
      <c r="I192" s="77">
        <v>0.29799999999999999</v>
      </c>
      <c r="J192" s="77"/>
      <c r="K192" s="77"/>
      <c r="L192" s="77"/>
      <c r="M192" s="77"/>
      <c r="N192" s="77">
        <v>0.08</v>
      </c>
      <c r="O192" s="77"/>
      <c r="P192" s="77">
        <v>0.15429999999999999</v>
      </c>
      <c r="Q192" s="77"/>
      <c r="R192" s="77"/>
      <c r="S192" s="74"/>
      <c r="T192" s="77">
        <v>4.2200000000000001E-2</v>
      </c>
      <c r="U192" s="77"/>
      <c r="V192" s="77"/>
      <c r="W192" s="77"/>
      <c r="X192" s="77">
        <v>0.10290000000000001</v>
      </c>
      <c r="Y192" s="77"/>
      <c r="Z192" s="77"/>
      <c r="AA192" s="77">
        <v>-0.03</v>
      </c>
      <c r="AB192" s="77">
        <v>0.11360000000000001</v>
      </c>
      <c r="AC192" s="77"/>
      <c r="AD192" s="77"/>
      <c r="AE192" s="77"/>
    </row>
    <row r="193" spans="1:31" x14ac:dyDescent="0.25">
      <c r="A193" s="3" t="s">
        <v>254</v>
      </c>
      <c r="B193" s="4" t="s">
        <v>73</v>
      </c>
      <c r="C193" s="5" t="s">
        <v>81</v>
      </c>
      <c r="D193" s="1" t="s">
        <v>158</v>
      </c>
      <c r="E193" s="67" t="s">
        <v>159</v>
      </c>
      <c r="F193" s="69" t="s">
        <v>180</v>
      </c>
      <c r="G193" s="113" t="s">
        <v>836</v>
      </c>
      <c r="H193" s="77"/>
      <c r="I193" s="77">
        <v>0.29799999999999999</v>
      </c>
      <c r="J193" s="77"/>
      <c r="K193" s="77">
        <v>0.15</v>
      </c>
      <c r="L193" s="77"/>
      <c r="M193" s="77"/>
      <c r="N193" s="77">
        <v>0.08</v>
      </c>
      <c r="O193" s="77"/>
      <c r="P193" s="77">
        <v>0.15429999999999999</v>
      </c>
      <c r="Q193" s="77"/>
      <c r="R193" s="77"/>
      <c r="S193" s="74"/>
      <c r="T193" s="77">
        <v>8.2199999999999995E-2</v>
      </c>
      <c r="U193" s="77"/>
      <c r="V193" s="77"/>
      <c r="W193" s="77"/>
      <c r="X193" s="77">
        <v>0.10290000000000001</v>
      </c>
      <c r="Y193" s="77"/>
      <c r="Z193" s="77"/>
      <c r="AA193" s="77">
        <v>-0.03</v>
      </c>
      <c r="AB193" s="77">
        <v>0.11360000000000001</v>
      </c>
      <c r="AC193" s="77"/>
      <c r="AD193" s="77"/>
      <c r="AE193" s="77"/>
    </row>
    <row r="194" spans="1:31" x14ac:dyDescent="0.25">
      <c r="A194" s="3" t="s">
        <v>254</v>
      </c>
      <c r="B194" s="4" t="s">
        <v>177</v>
      </c>
      <c r="C194" s="5" t="s">
        <v>81</v>
      </c>
      <c r="D194" s="1" t="s">
        <v>217</v>
      </c>
      <c r="E194" s="67" t="s">
        <v>218</v>
      </c>
      <c r="F194" s="69" t="s">
        <v>180</v>
      </c>
      <c r="G194" s="113" t="s">
        <v>837</v>
      </c>
      <c r="H194" s="77"/>
      <c r="I194" s="77">
        <v>0.29799999999999999</v>
      </c>
      <c r="J194" s="77"/>
      <c r="K194" s="77"/>
      <c r="L194" s="77"/>
      <c r="M194" s="77"/>
      <c r="N194" s="77">
        <v>0.08</v>
      </c>
      <c r="O194" s="77"/>
      <c r="P194" s="77">
        <v>0.15429999999999999</v>
      </c>
      <c r="Q194" s="77"/>
      <c r="R194" s="77"/>
      <c r="S194" s="74"/>
      <c r="T194" s="77">
        <v>4.2200000000000001E-2</v>
      </c>
      <c r="U194" s="77"/>
      <c r="V194" s="77"/>
      <c r="W194" s="77"/>
      <c r="X194" s="77">
        <v>0.10290000000000001</v>
      </c>
      <c r="Y194" s="77"/>
      <c r="Z194" s="77"/>
      <c r="AA194" s="77">
        <v>-0.03</v>
      </c>
      <c r="AB194" s="77">
        <v>0.11360000000000001</v>
      </c>
      <c r="AC194" s="77"/>
      <c r="AD194" s="77"/>
      <c r="AE194" s="77"/>
    </row>
    <row r="195" spans="1:31" x14ac:dyDescent="0.25">
      <c r="A195" s="3" t="s">
        <v>254</v>
      </c>
      <c r="B195" s="4" t="s">
        <v>177</v>
      </c>
      <c r="C195" s="5" t="s">
        <v>81</v>
      </c>
      <c r="D195" s="1" t="s">
        <v>219</v>
      </c>
      <c r="E195" s="67" t="s">
        <v>220</v>
      </c>
      <c r="F195" s="69" t="s">
        <v>180</v>
      </c>
      <c r="G195" s="113" t="s">
        <v>837</v>
      </c>
      <c r="H195" s="77"/>
      <c r="I195" s="77">
        <v>0.29799999999999999</v>
      </c>
      <c r="J195" s="77"/>
      <c r="K195" s="77"/>
      <c r="L195" s="77"/>
      <c r="M195" s="77"/>
      <c r="N195" s="77">
        <v>0.08</v>
      </c>
      <c r="O195" s="77"/>
      <c r="P195" s="77">
        <v>0.15429999999999999</v>
      </c>
      <c r="Q195" s="77"/>
      <c r="R195" s="77"/>
      <c r="S195" s="74"/>
      <c r="T195" s="77">
        <v>4.2200000000000001E-2</v>
      </c>
      <c r="U195" s="77"/>
      <c r="V195" s="77"/>
      <c r="W195" s="77"/>
      <c r="X195" s="77">
        <v>0.10290000000000001</v>
      </c>
      <c r="Y195" s="77"/>
      <c r="Z195" s="77"/>
      <c r="AA195" s="77">
        <v>-0.03</v>
      </c>
      <c r="AB195" s="77">
        <v>0.11360000000000001</v>
      </c>
      <c r="AC195" s="77"/>
      <c r="AD195" s="77"/>
      <c r="AE195" s="77"/>
    </row>
    <row r="196" spans="1:31" x14ac:dyDescent="0.25">
      <c r="A196" s="3" t="s">
        <v>254</v>
      </c>
      <c r="B196" s="4" t="s">
        <v>177</v>
      </c>
      <c r="C196" s="5" t="s">
        <v>81</v>
      </c>
      <c r="D196" s="1" t="s">
        <v>178</v>
      </c>
      <c r="E196" s="67" t="s">
        <v>179</v>
      </c>
      <c r="F196" s="69" t="s">
        <v>180</v>
      </c>
      <c r="G196" s="113" t="s">
        <v>837</v>
      </c>
      <c r="H196" s="77"/>
      <c r="I196" s="77">
        <v>0.29799999999999999</v>
      </c>
      <c r="J196" s="77"/>
      <c r="K196" s="77"/>
      <c r="L196" s="77"/>
      <c r="M196" s="77"/>
      <c r="N196" s="77">
        <v>0.08</v>
      </c>
      <c r="O196" s="77"/>
      <c r="P196" s="77">
        <v>0.15429999999999999</v>
      </c>
      <c r="Q196" s="77"/>
      <c r="R196" s="77"/>
      <c r="S196" s="74"/>
      <c r="T196" s="77">
        <v>4.2200000000000001E-2</v>
      </c>
      <c r="U196" s="77"/>
      <c r="V196" s="77"/>
      <c r="W196" s="77"/>
      <c r="X196" s="77">
        <v>0.10290000000000001</v>
      </c>
      <c r="Y196" s="77"/>
      <c r="Z196" s="77"/>
      <c r="AA196" s="77">
        <v>-0.03</v>
      </c>
      <c r="AB196" s="77">
        <v>0.11360000000000001</v>
      </c>
      <c r="AC196" s="77"/>
      <c r="AD196" s="77"/>
      <c r="AE196" s="77"/>
    </row>
    <row r="197" spans="1:31" x14ac:dyDescent="0.25">
      <c r="A197" s="3" t="s">
        <v>254</v>
      </c>
      <c r="B197" s="4" t="s">
        <v>177</v>
      </c>
      <c r="C197" s="5" t="s">
        <v>81</v>
      </c>
      <c r="D197" s="1" t="s">
        <v>221</v>
      </c>
      <c r="E197" s="67" t="s">
        <v>222</v>
      </c>
      <c r="F197" s="69" t="s">
        <v>180</v>
      </c>
      <c r="G197" s="113" t="s">
        <v>837</v>
      </c>
      <c r="H197" s="77"/>
      <c r="I197" s="77">
        <v>0.29799999999999999</v>
      </c>
      <c r="J197" s="77"/>
      <c r="K197" s="77"/>
      <c r="L197" s="77"/>
      <c r="M197" s="77"/>
      <c r="N197" s="77">
        <v>0.08</v>
      </c>
      <c r="O197" s="77"/>
      <c r="P197" s="77">
        <v>0.15429999999999999</v>
      </c>
      <c r="Q197" s="77"/>
      <c r="R197" s="77"/>
      <c r="S197" s="74"/>
      <c r="T197" s="77">
        <v>4.2200000000000001E-2</v>
      </c>
      <c r="U197" s="77"/>
      <c r="V197" s="77"/>
      <c r="W197" s="77"/>
      <c r="X197" s="77">
        <v>0.10290000000000001</v>
      </c>
      <c r="Y197" s="77"/>
      <c r="Z197" s="77"/>
      <c r="AA197" s="77">
        <v>-0.03</v>
      </c>
      <c r="AB197" s="77">
        <v>0.11360000000000001</v>
      </c>
      <c r="AC197" s="77"/>
      <c r="AD197" s="77"/>
      <c r="AE197" s="77"/>
    </row>
    <row r="198" spans="1:31" x14ac:dyDescent="0.25">
      <c r="A198" s="3" t="s">
        <v>254</v>
      </c>
      <c r="B198" s="4" t="s">
        <v>70</v>
      </c>
      <c r="C198" s="5" t="s">
        <v>95</v>
      </c>
      <c r="D198" s="1" t="s">
        <v>96</v>
      </c>
      <c r="E198" s="67" t="s">
        <v>97</v>
      </c>
      <c r="F198" s="69" t="s">
        <v>180</v>
      </c>
      <c r="G198" s="113" t="s">
        <v>831</v>
      </c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4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</row>
    <row r="199" spans="1:31" x14ac:dyDescent="0.25">
      <c r="A199" s="3" t="s">
        <v>254</v>
      </c>
      <c r="B199" s="4" t="s">
        <v>70</v>
      </c>
      <c r="C199" s="5" t="s">
        <v>95</v>
      </c>
      <c r="D199" s="1" t="s">
        <v>117</v>
      </c>
      <c r="E199" s="67" t="s">
        <v>118</v>
      </c>
      <c r="F199" s="69" t="s">
        <v>180</v>
      </c>
      <c r="G199" s="113" t="s">
        <v>838</v>
      </c>
      <c r="H199" s="77"/>
      <c r="I199" s="77">
        <v>0.29799999999999999</v>
      </c>
      <c r="J199" s="77"/>
      <c r="K199" s="77">
        <v>0.15</v>
      </c>
      <c r="L199" s="77"/>
      <c r="M199" s="77"/>
      <c r="N199" s="77">
        <v>0.08</v>
      </c>
      <c r="O199" s="77"/>
      <c r="P199" s="77">
        <v>0.15429999999999999</v>
      </c>
      <c r="Q199" s="77"/>
      <c r="R199" s="77"/>
      <c r="S199" s="74"/>
      <c r="T199" s="77">
        <v>4.2200000000000001E-2</v>
      </c>
      <c r="U199" s="77"/>
      <c r="V199" s="77"/>
      <c r="W199" s="77"/>
      <c r="X199" s="77">
        <v>0.10290000000000001</v>
      </c>
      <c r="Y199" s="77"/>
      <c r="Z199" s="77"/>
      <c r="AA199" s="77">
        <v>-0.03</v>
      </c>
      <c r="AB199" s="77">
        <v>0.11360000000000001</v>
      </c>
      <c r="AC199" s="77"/>
      <c r="AD199" s="77"/>
      <c r="AE199" s="77"/>
    </row>
    <row r="200" spans="1:31" x14ac:dyDescent="0.25">
      <c r="A200" s="3" t="s">
        <v>254</v>
      </c>
      <c r="B200" s="4" t="s">
        <v>34</v>
      </c>
      <c r="C200" s="5" t="s">
        <v>51</v>
      </c>
      <c r="D200" s="1" t="s">
        <v>160</v>
      </c>
      <c r="E200" s="67" t="s">
        <v>161</v>
      </c>
      <c r="F200" s="69" t="s">
        <v>180</v>
      </c>
      <c r="G200" s="113" t="s">
        <v>831</v>
      </c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4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</row>
    <row r="201" spans="1:31" x14ac:dyDescent="0.25">
      <c r="A201" s="3" t="s">
        <v>254</v>
      </c>
      <c r="B201" s="4" t="s">
        <v>58</v>
      </c>
      <c r="C201" s="5" t="s">
        <v>59</v>
      </c>
      <c r="D201" s="1" t="s">
        <v>229</v>
      </c>
      <c r="E201" s="67" t="s">
        <v>230</v>
      </c>
      <c r="F201" s="69" t="s">
        <v>180</v>
      </c>
      <c r="G201" s="113" t="s">
        <v>838</v>
      </c>
      <c r="H201" s="77"/>
      <c r="I201" s="77">
        <v>0.29799999999999999</v>
      </c>
      <c r="J201" s="77"/>
      <c r="K201" s="77">
        <v>0.15</v>
      </c>
      <c r="L201" s="77"/>
      <c r="M201" s="77"/>
      <c r="N201" s="77">
        <v>0.08</v>
      </c>
      <c r="O201" s="77"/>
      <c r="P201" s="77">
        <v>0.15429999999999999</v>
      </c>
      <c r="Q201" s="77"/>
      <c r="R201" s="77"/>
      <c r="S201" s="74"/>
      <c r="T201" s="77">
        <v>4.2200000000000001E-2</v>
      </c>
      <c r="U201" s="77"/>
      <c r="V201" s="77"/>
      <c r="W201" s="77"/>
      <c r="X201" s="77">
        <v>0.10290000000000001</v>
      </c>
      <c r="Y201" s="77"/>
      <c r="Z201" s="77"/>
      <c r="AA201" s="77">
        <v>-0.03</v>
      </c>
      <c r="AB201" s="77">
        <v>0.11360000000000001</v>
      </c>
      <c r="AC201" s="77"/>
      <c r="AD201" s="77"/>
      <c r="AE201" s="77"/>
    </row>
    <row r="202" spans="1:31" x14ac:dyDescent="0.25">
      <c r="A202" s="3" t="s">
        <v>254</v>
      </c>
      <c r="B202" s="4" t="s">
        <v>58</v>
      </c>
      <c r="C202" s="5" t="s">
        <v>59</v>
      </c>
      <c r="D202" s="1" t="s">
        <v>225</v>
      </c>
      <c r="E202" s="67" t="s">
        <v>226</v>
      </c>
      <c r="F202" s="69" t="s">
        <v>180</v>
      </c>
      <c r="G202" s="113" t="s">
        <v>838</v>
      </c>
      <c r="H202" s="77"/>
      <c r="I202" s="77">
        <v>0.29799999999999999</v>
      </c>
      <c r="J202" s="77"/>
      <c r="K202" s="77">
        <v>0.15</v>
      </c>
      <c r="L202" s="77"/>
      <c r="M202" s="77"/>
      <c r="N202" s="77">
        <v>0.08</v>
      </c>
      <c r="O202" s="77"/>
      <c r="P202" s="77">
        <v>0.15429999999999999</v>
      </c>
      <c r="Q202" s="77"/>
      <c r="R202" s="77"/>
      <c r="S202" s="74"/>
      <c r="T202" s="77">
        <v>4.2200000000000001E-2</v>
      </c>
      <c r="U202" s="77"/>
      <c r="V202" s="77"/>
      <c r="W202" s="77"/>
      <c r="X202" s="77">
        <v>0.10290000000000001</v>
      </c>
      <c r="Y202" s="77"/>
      <c r="Z202" s="77"/>
      <c r="AA202" s="77">
        <v>-0.03</v>
      </c>
      <c r="AB202" s="77">
        <v>0.11360000000000001</v>
      </c>
      <c r="AC202" s="77"/>
      <c r="AD202" s="77"/>
      <c r="AE202" s="77"/>
    </row>
    <row r="203" spans="1:31" x14ac:dyDescent="0.25">
      <c r="A203" s="3" t="s">
        <v>254</v>
      </c>
      <c r="B203" s="4" t="s">
        <v>58</v>
      </c>
      <c r="C203" s="5" t="s">
        <v>59</v>
      </c>
      <c r="D203" s="1" t="s">
        <v>59</v>
      </c>
      <c r="E203" s="67" t="s">
        <v>60</v>
      </c>
      <c r="F203" s="69" t="s">
        <v>180</v>
      </c>
      <c r="G203" s="113" t="s">
        <v>836</v>
      </c>
      <c r="H203" s="77"/>
      <c r="I203" s="77">
        <v>0.29799999999999999</v>
      </c>
      <c r="J203" s="77"/>
      <c r="K203" s="77">
        <v>0.15</v>
      </c>
      <c r="L203" s="77"/>
      <c r="M203" s="77"/>
      <c r="N203" s="77">
        <v>0.08</v>
      </c>
      <c r="O203" s="77"/>
      <c r="P203" s="77">
        <v>0.15429999999999999</v>
      </c>
      <c r="Q203" s="77"/>
      <c r="R203" s="77"/>
      <c r="S203" s="74"/>
      <c r="T203" s="77">
        <v>8.2199999999999995E-2</v>
      </c>
      <c r="U203" s="77"/>
      <c r="V203" s="77"/>
      <c r="W203" s="77"/>
      <c r="X203" s="77">
        <v>0.10290000000000001</v>
      </c>
      <c r="Y203" s="77"/>
      <c r="Z203" s="77"/>
      <c r="AA203" s="77">
        <v>-0.03</v>
      </c>
      <c r="AB203" s="77">
        <v>0.11360000000000001</v>
      </c>
      <c r="AC203" s="77"/>
      <c r="AD203" s="77"/>
      <c r="AE203" s="77"/>
    </row>
    <row r="204" spans="1:31" x14ac:dyDescent="0.25">
      <c r="A204" s="3" t="s">
        <v>254</v>
      </c>
      <c r="B204" s="4" t="s">
        <v>58</v>
      </c>
      <c r="C204" s="5" t="s">
        <v>59</v>
      </c>
      <c r="D204" s="1" t="s">
        <v>119</v>
      </c>
      <c r="E204" s="67" t="s">
        <v>120</v>
      </c>
      <c r="F204" s="69" t="s">
        <v>180</v>
      </c>
      <c r="G204" s="113" t="s">
        <v>838</v>
      </c>
      <c r="H204" s="77"/>
      <c r="I204" s="77">
        <v>0.29799999999999999</v>
      </c>
      <c r="J204" s="77"/>
      <c r="K204" s="77">
        <v>0.15</v>
      </c>
      <c r="L204" s="77"/>
      <c r="M204" s="77"/>
      <c r="N204" s="77">
        <v>0.08</v>
      </c>
      <c r="O204" s="77"/>
      <c r="P204" s="77">
        <v>0.15429999999999999</v>
      </c>
      <c r="Q204" s="77"/>
      <c r="R204" s="77"/>
      <c r="S204" s="74"/>
      <c r="T204" s="77">
        <v>4.2200000000000001E-2</v>
      </c>
      <c r="U204" s="77"/>
      <c r="V204" s="77"/>
      <c r="W204" s="77"/>
      <c r="X204" s="77">
        <v>0.10290000000000001</v>
      </c>
      <c r="Y204" s="77"/>
      <c r="Z204" s="77"/>
      <c r="AA204" s="77">
        <v>-0.03</v>
      </c>
      <c r="AB204" s="77">
        <v>0.11360000000000001</v>
      </c>
      <c r="AC204" s="77"/>
      <c r="AD204" s="77"/>
      <c r="AE204" s="77"/>
    </row>
    <row r="205" spans="1:31" x14ac:dyDescent="0.25">
      <c r="A205" s="3" t="s">
        <v>254</v>
      </c>
      <c r="B205" s="4" t="s">
        <v>58</v>
      </c>
      <c r="C205" s="5" t="s">
        <v>59</v>
      </c>
      <c r="D205" s="1" t="s">
        <v>168</v>
      </c>
      <c r="E205" s="67" t="s">
        <v>169</v>
      </c>
      <c r="F205" s="69" t="s">
        <v>180</v>
      </c>
      <c r="G205" s="113" t="s">
        <v>838</v>
      </c>
      <c r="H205" s="77"/>
      <c r="I205" s="77">
        <v>0.29799999999999999</v>
      </c>
      <c r="J205" s="77"/>
      <c r="K205" s="77">
        <v>0.15</v>
      </c>
      <c r="L205" s="77"/>
      <c r="M205" s="77"/>
      <c r="N205" s="77">
        <v>0.08</v>
      </c>
      <c r="O205" s="77"/>
      <c r="P205" s="77">
        <v>0.15429999999999999</v>
      </c>
      <c r="Q205" s="77"/>
      <c r="R205" s="77"/>
      <c r="S205" s="74"/>
      <c r="T205" s="77">
        <v>4.2200000000000001E-2</v>
      </c>
      <c r="U205" s="77"/>
      <c r="V205" s="77"/>
      <c r="W205" s="77"/>
      <c r="X205" s="77">
        <v>0.10290000000000001</v>
      </c>
      <c r="Y205" s="77"/>
      <c r="Z205" s="77"/>
      <c r="AA205" s="77">
        <v>-0.03</v>
      </c>
      <c r="AB205" s="77">
        <v>0.11360000000000001</v>
      </c>
      <c r="AC205" s="77"/>
      <c r="AD205" s="77"/>
      <c r="AE205" s="77"/>
    </row>
    <row r="206" spans="1:31" x14ac:dyDescent="0.25">
      <c r="A206" s="3" t="s">
        <v>254</v>
      </c>
      <c r="B206" s="4" t="s">
        <v>70</v>
      </c>
      <c r="C206" s="5" t="s">
        <v>245</v>
      </c>
      <c r="D206" s="1" t="s">
        <v>245</v>
      </c>
      <c r="E206" s="67" t="s">
        <v>246</v>
      </c>
      <c r="F206" s="69" t="s">
        <v>180</v>
      </c>
      <c r="G206" s="113" t="s">
        <v>838</v>
      </c>
      <c r="H206" s="77"/>
      <c r="I206" s="77">
        <v>0.29799999999999999</v>
      </c>
      <c r="J206" s="77"/>
      <c r="K206" s="77">
        <v>0.15</v>
      </c>
      <c r="L206" s="77"/>
      <c r="M206" s="77"/>
      <c r="N206" s="77">
        <v>0.08</v>
      </c>
      <c r="O206" s="77"/>
      <c r="P206" s="77">
        <v>0.15429999999999999</v>
      </c>
      <c r="Q206" s="77"/>
      <c r="R206" s="77"/>
      <c r="S206" s="74"/>
      <c r="T206" s="77">
        <v>4.2200000000000001E-2</v>
      </c>
      <c r="U206" s="77"/>
      <c r="V206" s="77"/>
      <c r="W206" s="77"/>
      <c r="X206" s="77">
        <v>0.10290000000000001</v>
      </c>
      <c r="Y206" s="77"/>
      <c r="Z206" s="77"/>
      <c r="AA206" s="77">
        <v>-0.03</v>
      </c>
      <c r="AB206" s="77">
        <v>0.11360000000000001</v>
      </c>
      <c r="AC206" s="77"/>
      <c r="AD206" s="77"/>
      <c r="AE206" s="77"/>
    </row>
    <row r="207" spans="1:31" x14ac:dyDescent="0.25">
      <c r="A207" s="3" t="s">
        <v>254</v>
      </c>
      <c r="B207" s="4" t="s">
        <v>54</v>
      </c>
      <c r="C207" s="5" t="s">
        <v>55</v>
      </c>
      <c r="D207" s="1" t="s">
        <v>56</v>
      </c>
      <c r="E207" s="67" t="s">
        <v>57</v>
      </c>
      <c r="F207" s="69" t="s">
        <v>180</v>
      </c>
      <c r="G207" s="113" t="s">
        <v>839</v>
      </c>
      <c r="H207" s="77"/>
      <c r="I207" s="77">
        <v>0.29799999999999999</v>
      </c>
      <c r="J207" s="77"/>
      <c r="K207" s="77">
        <v>0.15</v>
      </c>
      <c r="L207" s="77"/>
      <c r="M207" s="77"/>
      <c r="N207" s="77">
        <v>0.08</v>
      </c>
      <c r="O207" s="77"/>
      <c r="P207" s="77">
        <v>0.15429999999999999</v>
      </c>
      <c r="Q207" s="77"/>
      <c r="R207" s="77"/>
      <c r="S207" s="74"/>
      <c r="T207" s="77">
        <v>8.2199999999999995E-2</v>
      </c>
      <c r="U207" s="77"/>
      <c r="V207" s="77"/>
      <c r="W207" s="77"/>
      <c r="X207" s="77">
        <v>0.10290000000000001</v>
      </c>
      <c r="Y207" s="77"/>
      <c r="Z207" s="77"/>
      <c r="AA207" s="77"/>
      <c r="AB207" s="77">
        <v>0.11360000000000001</v>
      </c>
      <c r="AC207" s="77"/>
      <c r="AD207" s="77"/>
      <c r="AE207" s="77"/>
    </row>
    <row r="208" spans="1:31" x14ac:dyDescent="0.25">
      <c r="A208" s="3" t="s">
        <v>254</v>
      </c>
      <c r="B208" s="4" t="s">
        <v>54</v>
      </c>
      <c r="C208" s="5" t="s">
        <v>55</v>
      </c>
      <c r="D208" s="1" t="s">
        <v>243</v>
      </c>
      <c r="E208" s="67" t="s">
        <v>244</v>
      </c>
      <c r="F208" s="69" t="s">
        <v>180</v>
      </c>
      <c r="G208" s="113" t="s">
        <v>838</v>
      </c>
      <c r="H208" s="77"/>
      <c r="I208" s="77">
        <v>0.29799999999999999</v>
      </c>
      <c r="J208" s="77"/>
      <c r="K208" s="77">
        <v>0.15</v>
      </c>
      <c r="L208" s="77"/>
      <c r="M208" s="77"/>
      <c r="N208" s="77">
        <v>0.08</v>
      </c>
      <c r="O208" s="77"/>
      <c r="P208" s="77">
        <v>0.15429999999999999</v>
      </c>
      <c r="Q208" s="77"/>
      <c r="R208" s="77"/>
      <c r="S208" s="74"/>
      <c r="T208" s="77">
        <v>4.2200000000000001E-2</v>
      </c>
      <c r="U208" s="77"/>
      <c r="V208" s="77"/>
      <c r="W208" s="77"/>
      <c r="X208" s="77">
        <v>0.10290000000000001</v>
      </c>
      <c r="Y208" s="77"/>
      <c r="Z208" s="77"/>
      <c r="AA208" s="77">
        <v>-0.03</v>
      </c>
      <c r="AB208" s="77">
        <v>0.11360000000000001</v>
      </c>
      <c r="AC208" s="77"/>
      <c r="AD208" s="77"/>
      <c r="AE208" s="77"/>
    </row>
    <row r="209" spans="1:31" x14ac:dyDescent="0.25">
      <c r="A209" s="3" t="s">
        <v>254</v>
      </c>
      <c r="B209" s="4" t="s">
        <v>42</v>
      </c>
      <c r="C209" s="5" t="s">
        <v>148</v>
      </c>
      <c r="D209" s="1" t="s">
        <v>149</v>
      </c>
      <c r="E209" s="67" t="s">
        <v>150</v>
      </c>
      <c r="F209" s="69" t="s">
        <v>180</v>
      </c>
      <c r="G209" s="113" t="s">
        <v>838</v>
      </c>
      <c r="H209" s="77"/>
      <c r="I209" s="77">
        <v>0.29799999999999999</v>
      </c>
      <c r="J209" s="77"/>
      <c r="K209" s="77">
        <v>0.15</v>
      </c>
      <c r="L209" s="77"/>
      <c r="M209" s="77"/>
      <c r="N209" s="77">
        <v>0.08</v>
      </c>
      <c r="O209" s="77"/>
      <c r="P209" s="77">
        <v>0.15429999999999999</v>
      </c>
      <c r="Q209" s="77"/>
      <c r="R209" s="77"/>
      <c r="S209" s="74"/>
      <c r="T209" s="77">
        <v>4.2200000000000001E-2</v>
      </c>
      <c r="U209" s="77"/>
      <c r="V209" s="77"/>
      <c r="W209" s="77"/>
      <c r="X209" s="77">
        <v>0.10290000000000001</v>
      </c>
      <c r="Y209" s="77"/>
      <c r="Z209" s="77"/>
      <c r="AA209" s="77">
        <v>-0.03</v>
      </c>
      <c r="AB209" s="77">
        <v>0.11360000000000001</v>
      </c>
      <c r="AC209" s="77"/>
      <c r="AD209" s="77"/>
      <c r="AE209" s="77"/>
    </row>
    <row r="210" spans="1:31" x14ac:dyDescent="0.25">
      <c r="A210" s="3" t="s">
        <v>254</v>
      </c>
      <c r="B210" s="4" t="s">
        <v>73</v>
      </c>
      <c r="C210" s="5" t="s">
        <v>74</v>
      </c>
      <c r="D210" s="1" t="s">
        <v>152</v>
      </c>
      <c r="E210" s="67" t="s">
        <v>153</v>
      </c>
      <c r="F210" s="69" t="s">
        <v>180</v>
      </c>
      <c r="G210" s="113" t="s">
        <v>831</v>
      </c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4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</row>
    <row r="211" spans="1:31" x14ac:dyDescent="0.25">
      <c r="A211" s="3" t="s">
        <v>254</v>
      </c>
      <c r="B211" s="4" t="s">
        <v>90</v>
      </c>
      <c r="C211" s="5" t="s">
        <v>91</v>
      </c>
      <c r="D211" s="1" t="s">
        <v>231</v>
      </c>
      <c r="E211" s="67" t="s">
        <v>232</v>
      </c>
      <c r="F211" s="69" t="s">
        <v>180</v>
      </c>
      <c r="G211" s="113" t="s">
        <v>838</v>
      </c>
      <c r="H211" s="77"/>
      <c r="I211" s="77">
        <v>0.29799999999999999</v>
      </c>
      <c r="J211" s="77"/>
      <c r="K211" s="77">
        <v>0.15</v>
      </c>
      <c r="L211" s="77"/>
      <c r="M211" s="77"/>
      <c r="N211" s="77">
        <v>0.08</v>
      </c>
      <c r="O211" s="77"/>
      <c r="P211" s="77">
        <v>0.15429999999999999</v>
      </c>
      <c r="Q211" s="77"/>
      <c r="R211" s="77"/>
      <c r="S211" s="74"/>
      <c r="T211" s="77">
        <v>4.2200000000000001E-2</v>
      </c>
      <c r="U211" s="77"/>
      <c r="V211" s="77"/>
      <c r="W211" s="77"/>
      <c r="X211" s="77">
        <v>0.10290000000000001</v>
      </c>
      <c r="Y211" s="77"/>
      <c r="Z211" s="77"/>
      <c r="AA211" s="77">
        <v>-0.03</v>
      </c>
      <c r="AB211" s="77">
        <v>0.11360000000000001</v>
      </c>
      <c r="AC211" s="77"/>
      <c r="AD211" s="77"/>
      <c r="AE211" s="77"/>
    </row>
    <row r="212" spans="1:31" x14ac:dyDescent="0.25">
      <c r="A212" s="3" t="s">
        <v>254</v>
      </c>
      <c r="B212" s="4" t="s">
        <v>90</v>
      </c>
      <c r="C212" s="5" t="s">
        <v>91</v>
      </c>
      <c r="D212" s="1" t="s">
        <v>233</v>
      </c>
      <c r="E212" s="67" t="s">
        <v>234</v>
      </c>
      <c r="F212" s="69" t="s">
        <v>180</v>
      </c>
      <c r="G212" s="113" t="s">
        <v>838</v>
      </c>
      <c r="H212" s="77"/>
      <c r="I212" s="77">
        <v>0.29799999999999999</v>
      </c>
      <c r="J212" s="77"/>
      <c r="K212" s="77">
        <v>0.15</v>
      </c>
      <c r="L212" s="77"/>
      <c r="M212" s="77"/>
      <c r="N212" s="77">
        <v>0.08</v>
      </c>
      <c r="O212" s="77"/>
      <c r="P212" s="77">
        <v>0.15429999999999999</v>
      </c>
      <c r="Q212" s="77"/>
      <c r="R212" s="77"/>
      <c r="S212" s="74"/>
      <c r="T212" s="77">
        <v>4.2200000000000001E-2</v>
      </c>
      <c r="U212" s="77"/>
      <c r="V212" s="77"/>
      <c r="W212" s="77"/>
      <c r="X212" s="77">
        <v>0.10290000000000001</v>
      </c>
      <c r="Y212" s="77"/>
      <c r="Z212" s="77"/>
      <c r="AA212" s="77">
        <v>-0.03</v>
      </c>
      <c r="AB212" s="77">
        <v>0.11360000000000001</v>
      </c>
      <c r="AC212" s="77"/>
      <c r="AD212" s="77"/>
      <c r="AE212" s="77"/>
    </row>
    <row r="213" spans="1:31" x14ac:dyDescent="0.25">
      <c r="A213" s="3" t="s">
        <v>254</v>
      </c>
      <c r="B213" s="4" t="s">
        <v>90</v>
      </c>
      <c r="C213" s="5" t="s">
        <v>91</v>
      </c>
      <c r="D213" s="1" t="s">
        <v>235</v>
      </c>
      <c r="E213" s="67" t="s">
        <v>236</v>
      </c>
      <c r="F213" s="69" t="s">
        <v>180</v>
      </c>
      <c r="G213" s="113" t="s">
        <v>838</v>
      </c>
      <c r="H213" s="77"/>
      <c r="I213" s="77">
        <v>0.29799999999999999</v>
      </c>
      <c r="J213" s="77"/>
      <c r="K213" s="77">
        <v>0.15</v>
      </c>
      <c r="L213" s="77"/>
      <c r="M213" s="77"/>
      <c r="N213" s="77">
        <v>0.08</v>
      </c>
      <c r="O213" s="77"/>
      <c r="P213" s="77">
        <v>0.15429999999999999</v>
      </c>
      <c r="Q213" s="77"/>
      <c r="R213" s="77"/>
      <c r="S213" s="74"/>
      <c r="T213" s="77">
        <v>4.2200000000000001E-2</v>
      </c>
      <c r="U213" s="77"/>
      <c r="V213" s="77"/>
      <c r="W213" s="77"/>
      <c r="X213" s="77">
        <v>0.10290000000000001</v>
      </c>
      <c r="Y213" s="77"/>
      <c r="Z213" s="77"/>
      <c r="AA213" s="77">
        <v>-0.03</v>
      </c>
      <c r="AB213" s="77">
        <v>0.11360000000000001</v>
      </c>
      <c r="AC213" s="77"/>
      <c r="AD213" s="77"/>
      <c r="AE213" s="77"/>
    </row>
    <row r="214" spans="1:31" x14ac:dyDescent="0.25">
      <c r="A214" s="3" t="s">
        <v>254</v>
      </c>
      <c r="B214" s="4" t="s">
        <v>90</v>
      </c>
      <c r="C214" s="5" t="s">
        <v>91</v>
      </c>
      <c r="D214" s="1" t="s">
        <v>91</v>
      </c>
      <c r="E214" s="67" t="s">
        <v>92</v>
      </c>
      <c r="F214" s="69" t="s">
        <v>180</v>
      </c>
      <c r="G214" s="113" t="s">
        <v>838</v>
      </c>
      <c r="H214" s="77"/>
      <c r="I214" s="77">
        <v>0.29799999999999999</v>
      </c>
      <c r="J214" s="77"/>
      <c r="K214" s="77">
        <v>0.15</v>
      </c>
      <c r="L214" s="77"/>
      <c r="M214" s="77"/>
      <c r="N214" s="77">
        <v>0.08</v>
      </c>
      <c r="O214" s="77"/>
      <c r="P214" s="77">
        <v>0.15429999999999999</v>
      </c>
      <c r="Q214" s="77"/>
      <c r="R214" s="77"/>
      <c r="S214" s="74"/>
      <c r="T214" s="77">
        <v>4.2200000000000001E-2</v>
      </c>
      <c r="U214" s="77"/>
      <c r="V214" s="77"/>
      <c r="W214" s="77"/>
      <c r="X214" s="77">
        <v>0.10290000000000001</v>
      </c>
      <c r="Y214" s="77"/>
      <c r="Z214" s="77"/>
      <c r="AA214" s="77">
        <v>-0.03</v>
      </c>
      <c r="AB214" s="77">
        <v>0.11360000000000001</v>
      </c>
      <c r="AC214" s="77"/>
      <c r="AD214" s="77"/>
      <c r="AE214" s="77"/>
    </row>
    <row r="215" spans="1:31" x14ac:dyDescent="0.25">
      <c r="A215" s="3" t="s">
        <v>254</v>
      </c>
      <c r="B215" s="4" t="s">
        <v>90</v>
      </c>
      <c r="C215" s="5" t="s">
        <v>91</v>
      </c>
      <c r="D215" s="1" t="s">
        <v>239</v>
      </c>
      <c r="E215" s="67" t="s">
        <v>240</v>
      </c>
      <c r="F215" s="69" t="s">
        <v>180</v>
      </c>
      <c r="G215" s="113" t="s">
        <v>838</v>
      </c>
      <c r="H215" s="77"/>
      <c r="I215" s="77">
        <v>0.29799999999999999</v>
      </c>
      <c r="J215" s="77"/>
      <c r="K215" s="77">
        <v>0.15</v>
      </c>
      <c r="L215" s="77"/>
      <c r="M215" s="77"/>
      <c r="N215" s="77">
        <v>0.08</v>
      </c>
      <c r="O215" s="77"/>
      <c r="P215" s="77">
        <v>0.15429999999999999</v>
      </c>
      <c r="Q215" s="77"/>
      <c r="R215" s="77"/>
      <c r="S215" s="74"/>
      <c r="T215" s="77">
        <v>4.2200000000000001E-2</v>
      </c>
      <c r="U215" s="77"/>
      <c r="V215" s="77"/>
      <c r="W215" s="77"/>
      <c r="X215" s="77">
        <v>0.10290000000000001</v>
      </c>
      <c r="Y215" s="77"/>
      <c r="Z215" s="77"/>
      <c r="AA215" s="77">
        <v>-0.03</v>
      </c>
      <c r="AB215" s="77">
        <v>0.11360000000000001</v>
      </c>
      <c r="AC215" s="77"/>
      <c r="AD215" s="77"/>
      <c r="AE215" s="77"/>
    </row>
    <row r="216" spans="1:31" x14ac:dyDescent="0.25">
      <c r="A216" s="3" t="s">
        <v>254</v>
      </c>
      <c r="B216" s="4" t="s">
        <v>90</v>
      </c>
      <c r="C216" s="5" t="s">
        <v>91</v>
      </c>
      <c r="D216" s="1" t="s">
        <v>146</v>
      </c>
      <c r="E216" s="67" t="s">
        <v>147</v>
      </c>
      <c r="F216" s="69" t="s">
        <v>180</v>
      </c>
      <c r="G216" s="113" t="s">
        <v>835</v>
      </c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4"/>
      <c r="T216" s="77"/>
      <c r="U216" s="77"/>
      <c r="V216" s="77"/>
      <c r="W216" s="77"/>
      <c r="X216" s="77">
        <v>0.10290000000000001</v>
      </c>
      <c r="Y216" s="77"/>
      <c r="Z216" s="77"/>
      <c r="AA216" s="77">
        <v>-0.03</v>
      </c>
      <c r="AB216" s="77">
        <v>0.11360000000000001</v>
      </c>
      <c r="AC216" s="77"/>
      <c r="AD216" s="77"/>
      <c r="AE216" s="77"/>
    </row>
    <row r="217" spans="1:31" x14ac:dyDescent="0.25">
      <c r="A217" s="3" t="s">
        <v>254</v>
      </c>
      <c r="B217" s="4" t="s">
        <v>70</v>
      </c>
      <c r="C217" s="5" t="s">
        <v>104</v>
      </c>
      <c r="D217" s="1" t="s">
        <v>105</v>
      </c>
      <c r="E217" s="67" t="s">
        <v>106</v>
      </c>
      <c r="F217" s="69" t="s">
        <v>180</v>
      </c>
      <c r="G217" s="113" t="s">
        <v>836</v>
      </c>
      <c r="H217" s="77"/>
      <c r="I217" s="77">
        <v>0.29799999999999999</v>
      </c>
      <c r="J217" s="77"/>
      <c r="K217" s="77">
        <v>0.15</v>
      </c>
      <c r="L217" s="77"/>
      <c r="M217" s="77"/>
      <c r="N217" s="77">
        <v>0.08</v>
      </c>
      <c r="O217" s="77"/>
      <c r="P217" s="77">
        <v>0.15429999999999999</v>
      </c>
      <c r="Q217" s="77"/>
      <c r="R217" s="77"/>
      <c r="S217" s="74"/>
      <c r="T217" s="77">
        <v>8.2199999999999995E-2</v>
      </c>
      <c r="U217" s="77"/>
      <c r="V217" s="77"/>
      <c r="W217" s="77"/>
      <c r="X217" s="77">
        <v>0.10290000000000001</v>
      </c>
      <c r="Y217" s="77"/>
      <c r="Z217" s="77"/>
      <c r="AA217" s="77">
        <v>-0.03</v>
      </c>
      <c r="AB217" s="77">
        <v>0.11360000000000001</v>
      </c>
      <c r="AC217" s="77"/>
      <c r="AD217" s="77"/>
      <c r="AE217" s="77"/>
    </row>
    <row r="218" spans="1:31" x14ac:dyDescent="0.25">
      <c r="A218" s="3" t="s">
        <v>254</v>
      </c>
      <c r="B218" s="4" t="s">
        <v>30</v>
      </c>
      <c r="C218" s="6" t="s">
        <v>48</v>
      </c>
      <c r="D218" s="2" t="s">
        <v>48</v>
      </c>
      <c r="E218" s="67" t="s">
        <v>94</v>
      </c>
      <c r="F218" s="69" t="s">
        <v>180</v>
      </c>
      <c r="G218" s="113" t="s">
        <v>838</v>
      </c>
      <c r="H218" s="77"/>
      <c r="I218" s="77">
        <v>0.29799999999999999</v>
      </c>
      <c r="J218" s="77"/>
      <c r="K218" s="77">
        <v>0.15</v>
      </c>
      <c r="L218" s="77"/>
      <c r="M218" s="77"/>
      <c r="N218" s="77">
        <v>0.08</v>
      </c>
      <c r="O218" s="77"/>
      <c r="P218" s="77">
        <v>0.15429999999999999</v>
      </c>
      <c r="Q218" s="77"/>
      <c r="R218" s="77"/>
      <c r="S218" s="74"/>
      <c r="T218" s="77">
        <v>4.2200000000000001E-2</v>
      </c>
      <c r="U218" s="77"/>
      <c r="V218" s="77"/>
      <c r="W218" s="77"/>
      <c r="X218" s="77">
        <v>0.10290000000000001</v>
      </c>
      <c r="Y218" s="77"/>
      <c r="Z218" s="77"/>
      <c r="AA218" s="77">
        <v>-0.03</v>
      </c>
      <c r="AB218" s="77">
        <v>0.11360000000000001</v>
      </c>
      <c r="AC218" s="77"/>
      <c r="AD218" s="77"/>
      <c r="AE218" s="77"/>
    </row>
    <row r="219" spans="1:31" x14ac:dyDescent="0.25">
      <c r="A219" s="3" t="s">
        <v>254</v>
      </c>
      <c r="B219" s="4" t="s">
        <v>30</v>
      </c>
      <c r="C219" s="6" t="s">
        <v>48</v>
      </c>
      <c r="D219" s="2" t="s">
        <v>132</v>
      </c>
      <c r="E219" s="67" t="s">
        <v>133</v>
      </c>
      <c r="F219" s="69" t="s">
        <v>180</v>
      </c>
      <c r="G219" s="113" t="s">
        <v>838</v>
      </c>
      <c r="H219" s="77"/>
      <c r="I219" s="77">
        <v>0.29799999999999999</v>
      </c>
      <c r="J219" s="77"/>
      <c r="K219" s="77">
        <v>0.15</v>
      </c>
      <c r="L219" s="77"/>
      <c r="M219" s="77"/>
      <c r="N219" s="77">
        <v>0.08</v>
      </c>
      <c r="O219" s="77"/>
      <c r="P219" s="77">
        <v>0.15429999999999999</v>
      </c>
      <c r="Q219" s="77"/>
      <c r="R219" s="77"/>
      <c r="S219" s="74"/>
      <c r="T219" s="77">
        <v>4.2200000000000001E-2</v>
      </c>
      <c r="U219" s="77"/>
      <c r="V219" s="77"/>
      <c r="W219" s="77"/>
      <c r="X219" s="77">
        <v>0.10290000000000001</v>
      </c>
      <c r="Y219" s="77"/>
      <c r="Z219" s="77"/>
      <c r="AA219" s="77">
        <v>-0.03</v>
      </c>
      <c r="AB219" s="77">
        <v>0.11360000000000001</v>
      </c>
      <c r="AC219" s="77"/>
      <c r="AD219" s="77"/>
      <c r="AE219" s="77"/>
    </row>
    <row r="220" spans="1:31" x14ac:dyDescent="0.25">
      <c r="A220" s="3" t="s">
        <v>254</v>
      </c>
      <c r="B220" s="4" t="s">
        <v>30</v>
      </c>
      <c r="C220" s="5" t="s">
        <v>45</v>
      </c>
      <c r="D220" s="2" t="s">
        <v>77</v>
      </c>
      <c r="E220" s="67" t="s">
        <v>78</v>
      </c>
      <c r="F220" s="69" t="s">
        <v>180</v>
      </c>
      <c r="G220" s="113" t="s">
        <v>838</v>
      </c>
      <c r="H220" s="77"/>
      <c r="I220" s="77">
        <v>0.29799999999999999</v>
      </c>
      <c r="J220" s="77"/>
      <c r="K220" s="77">
        <v>0.15</v>
      </c>
      <c r="L220" s="77"/>
      <c r="M220" s="77"/>
      <c r="N220" s="77">
        <v>0.08</v>
      </c>
      <c r="O220" s="77"/>
      <c r="P220" s="77">
        <v>0.15429999999999999</v>
      </c>
      <c r="Q220" s="77"/>
      <c r="R220" s="77"/>
      <c r="S220" s="74"/>
      <c r="T220" s="77">
        <v>4.2200000000000001E-2</v>
      </c>
      <c r="U220" s="77"/>
      <c r="V220" s="77"/>
      <c r="W220" s="77"/>
      <c r="X220" s="77">
        <v>0.10290000000000001</v>
      </c>
      <c r="Y220" s="77"/>
      <c r="Z220" s="77"/>
      <c r="AA220" s="77">
        <v>-0.03</v>
      </c>
      <c r="AB220" s="77">
        <v>0.11360000000000001</v>
      </c>
      <c r="AC220" s="77"/>
      <c r="AD220" s="77"/>
      <c r="AE220" s="77"/>
    </row>
    <row r="221" spans="1:31" x14ac:dyDescent="0.25">
      <c r="A221" s="3" t="s">
        <v>254</v>
      </c>
      <c r="B221" s="4" t="s">
        <v>42</v>
      </c>
      <c r="C221" s="5" t="s">
        <v>130</v>
      </c>
      <c r="D221" s="1" t="s">
        <v>130</v>
      </c>
      <c r="E221" s="67" t="s">
        <v>131</v>
      </c>
      <c r="F221" s="69" t="s">
        <v>180</v>
      </c>
      <c r="G221" s="113" t="s">
        <v>838</v>
      </c>
      <c r="H221" s="77"/>
      <c r="I221" s="77">
        <v>0.29799999999999999</v>
      </c>
      <c r="J221" s="77"/>
      <c r="K221" s="77">
        <v>0.15</v>
      </c>
      <c r="L221" s="77"/>
      <c r="M221" s="77"/>
      <c r="N221" s="77">
        <v>0.08</v>
      </c>
      <c r="O221" s="77"/>
      <c r="P221" s="77">
        <v>0.15429999999999999</v>
      </c>
      <c r="Q221" s="77"/>
      <c r="R221" s="77"/>
      <c r="S221" s="74"/>
      <c r="T221" s="77">
        <v>4.2200000000000001E-2</v>
      </c>
      <c r="U221" s="77"/>
      <c r="V221" s="77"/>
      <c r="W221" s="77"/>
      <c r="X221" s="77">
        <v>0.10290000000000001</v>
      </c>
      <c r="Y221" s="77"/>
      <c r="Z221" s="77"/>
      <c r="AA221" s="77">
        <v>-0.03</v>
      </c>
      <c r="AB221" s="77">
        <v>0.11360000000000001</v>
      </c>
      <c r="AC221" s="77"/>
      <c r="AD221" s="77"/>
      <c r="AE221" s="77"/>
    </row>
    <row r="222" spans="1:31" x14ac:dyDescent="0.25">
      <c r="A222" s="3" t="s">
        <v>254</v>
      </c>
      <c r="B222" s="4" t="s">
        <v>90</v>
      </c>
      <c r="C222" s="5" t="s">
        <v>135</v>
      </c>
      <c r="D222" s="2" t="s">
        <v>241</v>
      </c>
      <c r="E222" s="67" t="s">
        <v>242</v>
      </c>
      <c r="F222" s="69" t="s">
        <v>180</v>
      </c>
      <c r="G222" s="113" t="s">
        <v>835</v>
      </c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4"/>
      <c r="T222" s="77"/>
      <c r="U222" s="77"/>
      <c r="V222" s="77"/>
      <c r="W222" s="77"/>
      <c r="X222" s="77">
        <v>0.10290000000000001</v>
      </c>
      <c r="Y222" s="77"/>
      <c r="Z222" s="77"/>
      <c r="AA222" s="77">
        <v>-0.03</v>
      </c>
      <c r="AB222" s="77">
        <v>0.11360000000000001</v>
      </c>
      <c r="AC222" s="77"/>
      <c r="AD222" s="77"/>
      <c r="AE222" s="77"/>
    </row>
    <row r="223" spans="1:31" x14ac:dyDescent="0.25">
      <c r="A223" s="3" t="s">
        <v>254</v>
      </c>
      <c r="B223" s="4" t="s">
        <v>90</v>
      </c>
      <c r="C223" s="5" t="s">
        <v>138</v>
      </c>
      <c r="D223" s="2" t="s">
        <v>139</v>
      </c>
      <c r="E223" s="67" t="s">
        <v>140</v>
      </c>
      <c r="F223" s="69" t="s">
        <v>180</v>
      </c>
      <c r="G223" s="113" t="s">
        <v>831</v>
      </c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4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</row>
    <row r="224" spans="1:31" x14ac:dyDescent="0.25">
      <c r="A224" s="3" t="s">
        <v>254</v>
      </c>
      <c r="B224" s="4" t="s">
        <v>38</v>
      </c>
      <c r="C224" s="5" t="s">
        <v>39</v>
      </c>
      <c r="D224" s="1" t="s">
        <v>257</v>
      </c>
      <c r="E224" s="67" t="s">
        <v>258</v>
      </c>
      <c r="F224" s="69" t="s">
        <v>180</v>
      </c>
      <c r="G224" s="113" t="s">
        <v>835</v>
      </c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4"/>
      <c r="T224" s="77"/>
      <c r="U224" s="77"/>
      <c r="V224" s="77"/>
      <c r="W224" s="77"/>
      <c r="X224" s="77">
        <v>0.10290000000000001</v>
      </c>
      <c r="Y224" s="77"/>
      <c r="Z224" s="77"/>
      <c r="AA224" s="77">
        <v>-0.03</v>
      </c>
      <c r="AB224" s="77">
        <v>0.11360000000000001</v>
      </c>
      <c r="AC224" s="77"/>
      <c r="AD224" s="77"/>
      <c r="AE224" s="77"/>
    </row>
    <row r="225" spans="1:31" x14ac:dyDescent="0.25">
      <c r="A225" s="3" t="s">
        <v>254</v>
      </c>
      <c r="B225" s="4" t="s">
        <v>38</v>
      </c>
      <c r="C225" s="5" t="s">
        <v>39</v>
      </c>
      <c r="D225" s="1" t="s">
        <v>128</v>
      </c>
      <c r="E225" s="67" t="s">
        <v>129</v>
      </c>
      <c r="F225" s="69" t="s">
        <v>180</v>
      </c>
      <c r="G225" s="113" t="s">
        <v>838</v>
      </c>
      <c r="H225" s="77"/>
      <c r="I225" s="77">
        <v>0.29799999999999999</v>
      </c>
      <c r="J225" s="77"/>
      <c r="K225" s="77">
        <v>0.15</v>
      </c>
      <c r="L225" s="77"/>
      <c r="M225" s="77"/>
      <c r="N225" s="77">
        <v>0.08</v>
      </c>
      <c r="O225" s="77"/>
      <c r="P225" s="77">
        <v>0.15429999999999999</v>
      </c>
      <c r="Q225" s="77"/>
      <c r="R225" s="77"/>
      <c r="S225" s="74"/>
      <c r="T225" s="77">
        <v>4.2200000000000001E-2</v>
      </c>
      <c r="U225" s="77"/>
      <c r="V225" s="77"/>
      <c r="W225" s="77"/>
      <c r="X225" s="77">
        <v>0.10290000000000001</v>
      </c>
      <c r="Y225" s="77"/>
      <c r="Z225" s="77"/>
      <c r="AA225" s="77">
        <v>-0.03</v>
      </c>
      <c r="AB225" s="77">
        <v>0.11360000000000001</v>
      </c>
      <c r="AC225" s="77"/>
      <c r="AD225" s="77"/>
      <c r="AE225" s="77"/>
    </row>
    <row r="226" spans="1:31" x14ac:dyDescent="0.25">
      <c r="A226" s="92" t="s">
        <v>254</v>
      </c>
      <c r="B226" s="93" t="s">
        <v>38</v>
      </c>
      <c r="C226" s="94" t="s">
        <v>39</v>
      </c>
      <c r="D226" s="115" t="s">
        <v>411</v>
      </c>
      <c r="E226" s="116" t="s">
        <v>771</v>
      </c>
      <c r="F226" s="69" t="s">
        <v>180</v>
      </c>
      <c r="G226" s="113" t="s">
        <v>831</v>
      </c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</row>
    <row r="227" spans="1:31" x14ac:dyDescent="0.25">
      <c r="A227" s="3" t="s">
        <v>254</v>
      </c>
      <c r="B227" s="4" t="s">
        <v>38</v>
      </c>
      <c r="C227" s="5" t="s">
        <v>39</v>
      </c>
      <c r="D227" s="1" t="s">
        <v>39</v>
      </c>
      <c r="E227" s="67" t="s">
        <v>151</v>
      </c>
      <c r="F227" s="69" t="s">
        <v>180</v>
      </c>
      <c r="G227" s="113" t="s">
        <v>838</v>
      </c>
      <c r="H227" s="77"/>
      <c r="I227" s="77">
        <v>0.29799999999999999</v>
      </c>
      <c r="J227" s="77"/>
      <c r="K227" s="77">
        <v>0.15</v>
      </c>
      <c r="L227" s="77"/>
      <c r="M227" s="77"/>
      <c r="N227" s="77">
        <v>0.08</v>
      </c>
      <c r="O227" s="77"/>
      <c r="P227" s="77">
        <v>0.15429999999999999</v>
      </c>
      <c r="Q227" s="77"/>
      <c r="R227" s="77"/>
      <c r="S227" s="74"/>
      <c r="T227" s="77">
        <v>4.2200000000000001E-2</v>
      </c>
      <c r="U227" s="77"/>
      <c r="V227" s="77"/>
      <c r="W227" s="77"/>
      <c r="X227" s="77">
        <v>0.10290000000000001</v>
      </c>
      <c r="Y227" s="77"/>
      <c r="Z227" s="77"/>
      <c r="AA227" s="77">
        <v>-0.03</v>
      </c>
      <c r="AB227" s="77">
        <v>0.11360000000000001</v>
      </c>
      <c r="AC227" s="77"/>
      <c r="AD227" s="77"/>
      <c r="AE227" s="77"/>
    </row>
    <row r="228" spans="1:31" x14ac:dyDescent="0.25">
      <c r="A228" s="3" t="s">
        <v>254</v>
      </c>
      <c r="B228" s="4" t="s">
        <v>177</v>
      </c>
      <c r="C228" s="5" t="s">
        <v>81</v>
      </c>
      <c r="D228" s="1" t="s">
        <v>639</v>
      </c>
      <c r="E228" s="67" t="s">
        <v>699</v>
      </c>
      <c r="F228" s="69" t="s">
        <v>180</v>
      </c>
      <c r="G228" s="113" t="s">
        <v>838</v>
      </c>
      <c r="H228" s="77"/>
      <c r="I228" s="77">
        <v>0.29799999999999999</v>
      </c>
      <c r="J228" s="77"/>
      <c r="K228" s="77">
        <v>0.15</v>
      </c>
      <c r="L228" s="77"/>
      <c r="M228" s="77"/>
      <c r="N228" s="77">
        <v>0.08</v>
      </c>
      <c r="O228" s="77"/>
      <c r="P228" s="77">
        <v>0.15429999999999999</v>
      </c>
      <c r="Q228" s="77"/>
      <c r="R228" s="77"/>
      <c r="S228" s="74"/>
      <c r="T228" s="77">
        <v>4.2200000000000001E-2</v>
      </c>
      <c r="U228" s="77"/>
      <c r="V228" s="77"/>
      <c r="W228" s="77"/>
      <c r="X228" s="77">
        <v>0.10290000000000001</v>
      </c>
      <c r="Y228" s="77"/>
      <c r="Z228" s="77"/>
      <c r="AA228" s="77">
        <v>-0.03</v>
      </c>
      <c r="AB228" s="77">
        <v>0.11360000000000001</v>
      </c>
      <c r="AC228" s="77"/>
      <c r="AD228" s="77"/>
      <c r="AE228" s="77"/>
    </row>
    <row r="229" spans="1:31" x14ac:dyDescent="0.25">
      <c r="A229" s="3" t="s">
        <v>254</v>
      </c>
      <c r="B229" s="4" t="s">
        <v>42</v>
      </c>
      <c r="C229" s="5" t="s">
        <v>143</v>
      </c>
      <c r="D229" s="1" t="s">
        <v>144</v>
      </c>
      <c r="E229" s="67" t="s">
        <v>145</v>
      </c>
      <c r="F229" s="69" t="s">
        <v>180</v>
      </c>
      <c r="G229" s="113" t="s">
        <v>838</v>
      </c>
      <c r="H229" s="77"/>
      <c r="I229" s="77">
        <v>0.29799999999999999</v>
      </c>
      <c r="J229" s="77"/>
      <c r="K229" s="77">
        <v>0.15</v>
      </c>
      <c r="L229" s="77"/>
      <c r="M229" s="77"/>
      <c r="N229" s="77">
        <v>0.08</v>
      </c>
      <c r="O229" s="77"/>
      <c r="P229" s="77">
        <v>0.15429999999999999</v>
      </c>
      <c r="Q229" s="77"/>
      <c r="R229" s="77"/>
      <c r="S229" s="74"/>
      <c r="T229" s="77">
        <v>4.2200000000000001E-2</v>
      </c>
      <c r="U229" s="77"/>
      <c r="V229" s="77"/>
      <c r="W229" s="77"/>
      <c r="X229" s="77">
        <v>0.10290000000000001</v>
      </c>
      <c r="Y229" s="77"/>
      <c r="Z229" s="77"/>
      <c r="AA229" s="77">
        <v>-0.03</v>
      </c>
      <c r="AB229" s="77">
        <v>0.11360000000000001</v>
      </c>
      <c r="AC229" s="77"/>
      <c r="AD229" s="77"/>
      <c r="AE229" s="77"/>
    </row>
    <row r="230" spans="1:31" x14ac:dyDescent="0.25">
      <c r="A230" s="3" t="s">
        <v>254</v>
      </c>
      <c r="B230" s="4" t="s">
        <v>58</v>
      </c>
      <c r="C230" s="5" t="s">
        <v>59</v>
      </c>
      <c r="D230" s="1" t="s">
        <v>223</v>
      </c>
      <c r="E230" s="67" t="s">
        <v>224</v>
      </c>
      <c r="F230" s="69" t="s">
        <v>180</v>
      </c>
      <c r="G230" s="113" t="s">
        <v>838</v>
      </c>
      <c r="H230" s="77"/>
      <c r="I230" s="77">
        <v>0.29799999999999999</v>
      </c>
      <c r="J230" s="77"/>
      <c r="K230" s="77">
        <v>0.15</v>
      </c>
      <c r="L230" s="77"/>
      <c r="M230" s="77"/>
      <c r="N230" s="77">
        <v>0.08</v>
      </c>
      <c r="O230" s="77"/>
      <c r="P230" s="77">
        <v>0.15429999999999999</v>
      </c>
      <c r="Q230" s="77"/>
      <c r="R230" s="77"/>
      <c r="S230" s="77"/>
      <c r="T230" s="77">
        <v>4.2200000000000001E-2</v>
      </c>
      <c r="U230" s="77"/>
      <c r="V230" s="77"/>
      <c r="W230" s="77"/>
      <c r="X230" s="77">
        <v>0.10290000000000001</v>
      </c>
      <c r="Y230" s="77"/>
      <c r="Z230" s="77"/>
      <c r="AA230" s="77">
        <v>-0.03</v>
      </c>
      <c r="AB230" s="77">
        <v>0.11360000000000001</v>
      </c>
      <c r="AC230" s="77"/>
      <c r="AD230" s="77"/>
      <c r="AE230" s="77"/>
    </row>
    <row r="231" spans="1:31" x14ac:dyDescent="0.25">
      <c r="A231" s="3" t="s">
        <v>254</v>
      </c>
      <c r="B231" s="4" t="s">
        <v>58</v>
      </c>
      <c r="C231" s="5" t="s">
        <v>59</v>
      </c>
      <c r="D231" s="1" t="s">
        <v>542</v>
      </c>
      <c r="E231" s="18" t="s">
        <v>701</v>
      </c>
      <c r="F231" s="67" t="s">
        <v>180</v>
      </c>
      <c r="G231" s="113" t="s">
        <v>838</v>
      </c>
      <c r="H231" s="77"/>
      <c r="I231" s="77">
        <v>0.29799999999999999</v>
      </c>
      <c r="J231" s="77"/>
      <c r="K231" s="77">
        <v>0.15</v>
      </c>
      <c r="L231" s="77"/>
      <c r="M231" s="77"/>
      <c r="N231" s="77">
        <v>0.08</v>
      </c>
      <c r="O231" s="77"/>
      <c r="P231" s="77">
        <v>0.15429999999999999</v>
      </c>
      <c r="Q231" s="77"/>
      <c r="R231" s="77"/>
      <c r="S231" s="77"/>
      <c r="T231" s="77">
        <v>4.2200000000000001E-2</v>
      </c>
      <c r="U231" s="77"/>
      <c r="V231" s="77"/>
      <c r="W231" s="77"/>
      <c r="X231" s="77">
        <v>0.10290000000000001</v>
      </c>
      <c r="Y231" s="77"/>
      <c r="Z231" s="77"/>
      <c r="AA231" s="77">
        <v>-0.03</v>
      </c>
      <c r="AB231" s="77">
        <v>0.11360000000000001</v>
      </c>
      <c r="AC231" s="77"/>
      <c r="AD231" s="77"/>
      <c r="AE231" s="77"/>
    </row>
    <row r="232" spans="1:31" x14ac:dyDescent="0.25">
      <c r="A232" s="98" t="s">
        <v>259</v>
      </c>
      <c r="B232" s="7" t="s">
        <v>177</v>
      </c>
      <c r="C232" s="8" t="s">
        <v>81</v>
      </c>
      <c r="D232" s="102" t="s">
        <v>830</v>
      </c>
      <c r="E232" s="67" t="s">
        <v>786</v>
      </c>
      <c r="F232" s="69" t="s">
        <v>180</v>
      </c>
      <c r="G232" s="113" t="s">
        <v>847</v>
      </c>
      <c r="H232" s="77"/>
      <c r="I232" s="77">
        <v>0.38735999999999998</v>
      </c>
      <c r="J232" s="77">
        <v>0.24257000000000001</v>
      </c>
      <c r="K232" s="77">
        <v>0.10666</v>
      </c>
      <c r="L232" s="77">
        <v>9.9010000000000001E-2</v>
      </c>
      <c r="M232" s="77"/>
      <c r="N232" s="77">
        <v>7.1099999999999997E-2</v>
      </c>
      <c r="O232" s="77"/>
      <c r="P232" s="77"/>
      <c r="Q232" s="77"/>
      <c r="R232" s="77">
        <v>0.11799999999999999</v>
      </c>
      <c r="S232" s="74"/>
      <c r="T232" s="77"/>
      <c r="U232" s="77"/>
      <c r="V232" s="77">
        <v>7.9399999999999998E-2</v>
      </c>
      <c r="W232" s="77"/>
      <c r="X232" s="77"/>
      <c r="Y232" s="77"/>
      <c r="Z232" s="77">
        <v>9.06E-2</v>
      </c>
      <c r="AA232" s="77">
        <v>-1.4999999999999999E-2</v>
      </c>
      <c r="AB232" s="77"/>
      <c r="AC232" s="77"/>
      <c r="AD232" s="77"/>
      <c r="AE232" s="77"/>
    </row>
    <row r="233" spans="1:31" x14ac:dyDescent="0.25">
      <c r="A233" s="98" t="s">
        <v>259</v>
      </c>
      <c r="B233" s="7" t="s">
        <v>177</v>
      </c>
      <c r="C233" s="8" t="s">
        <v>81</v>
      </c>
      <c r="D233" s="102" t="s">
        <v>830</v>
      </c>
      <c r="E233" s="67" t="s">
        <v>788</v>
      </c>
      <c r="F233" s="69" t="s">
        <v>180</v>
      </c>
      <c r="G233" s="113" t="s">
        <v>847</v>
      </c>
      <c r="H233" s="77"/>
      <c r="I233" s="77">
        <v>0.38735999999999998</v>
      </c>
      <c r="J233" s="77">
        <v>0.24257000000000001</v>
      </c>
      <c r="K233" s="77">
        <v>0.10666</v>
      </c>
      <c r="L233" s="77">
        <v>9.9010000000000001E-2</v>
      </c>
      <c r="M233" s="77"/>
      <c r="N233" s="77">
        <v>7.1099999999999997E-2</v>
      </c>
      <c r="O233" s="77"/>
      <c r="P233" s="77"/>
      <c r="Q233" s="77"/>
      <c r="R233" s="77">
        <v>0.11799999999999999</v>
      </c>
      <c r="S233" s="74"/>
      <c r="T233" s="77"/>
      <c r="U233" s="77"/>
      <c r="V233" s="77">
        <v>7.9399999999999998E-2</v>
      </c>
      <c r="W233" s="77"/>
      <c r="X233" s="77"/>
      <c r="Y233" s="77"/>
      <c r="Z233" s="77">
        <v>9.06E-2</v>
      </c>
      <c r="AA233" s="77">
        <v>-1.4999999999999999E-2</v>
      </c>
      <c r="AB233" s="77"/>
      <c r="AC233" s="77"/>
      <c r="AD233" s="77"/>
      <c r="AE233" s="77"/>
    </row>
    <row r="234" spans="1:31" x14ac:dyDescent="0.25">
      <c r="A234" s="98" t="s">
        <v>259</v>
      </c>
      <c r="B234" s="7" t="s">
        <v>177</v>
      </c>
      <c r="C234" s="8" t="s">
        <v>81</v>
      </c>
      <c r="D234" s="9" t="s">
        <v>211</v>
      </c>
      <c r="E234" s="68" t="s">
        <v>212</v>
      </c>
      <c r="F234" s="69" t="s">
        <v>180</v>
      </c>
      <c r="G234" s="113" t="s">
        <v>847</v>
      </c>
      <c r="H234" s="77"/>
      <c r="I234" s="77">
        <v>0.38735999999999998</v>
      </c>
      <c r="J234" s="77">
        <v>0.24257000000000001</v>
      </c>
      <c r="K234" s="77">
        <v>0.10666</v>
      </c>
      <c r="L234" s="77">
        <v>9.9010000000000001E-2</v>
      </c>
      <c r="M234" s="77"/>
      <c r="N234" s="77">
        <v>7.1099999999999997E-2</v>
      </c>
      <c r="O234" s="77"/>
      <c r="P234" s="77"/>
      <c r="Q234" s="77"/>
      <c r="R234" s="77">
        <v>0.11799999999999999</v>
      </c>
      <c r="S234" s="74"/>
      <c r="T234" s="77"/>
      <c r="U234" s="77"/>
      <c r="V234" s="77">
        <v>7.9399999999999998E-2</v>
      </c>
      <c r="W234" s="77"/>
      <c r="X234" s="77"/>
      <c r="Y234" s="77"/>
      <c r="Z234" s="77">
        <v>9.06E-2</v>
      </c>
      <c r="AA234" s="77">
        <v>-1.4999999999999999E-2</v>
      </c>
      <c r="AB234" s="77"/>
      <c r="AC234" s="77"/>
      <c r="AD234" s="77"/>
      <c r="AE234" s="77"/>
    </row>
    <row r="235" spans="1:31" x14ac:dyDescent="0.25">
      <c r="A235" s="98" t="s">
        <v>259</v>
      </c>
      <c r="B235" s="7" t="s">
        <v>177</v>
      </c>
      <c r="C235" s="8" t="s">
        <v>81</v>
      </c>
      <c r="D235" s="102" t="s">
        <v>182</v>
      </c>
      <c r="E235" s="68" t="s">
        <v>183</v>
      </c>
      <c r="F235" s="69" t="s">
        <v>180</v>
      </c>
      <c r="G235" s="113" t="s">
        <v>847</v>
      </c>
      <c r="H235" s="77"/>
      <c r="I235" s="77">
        <v>0.38735999999999998</v>
      </c>
      <c r="J235" s="77">
        <v>0.24257000000000001</v>
      </c>
      <c r="K235" s="77">
        <v>0.10666</v>
      </c>
      <c r="L235" s="77">
        <v>9.9010000000000001E-2</v>
      </c>
      <c r="M235" s="77"/>
      <c r="N235" s="77">
        <v>7.1099999999999997E-2</v>
      </c>
      <c r="O235" s="77"/>
      <c r="P235" s="77"/>
      <c r="Q235" s="77"/>
      <c r="R235" s="77">
        <v>0.11799999999999999</v>
      </c>
      <c r="S235" s="74"/>
      <c r="T235" s="77"/>
      <c r="U235" s="77"/>
      <c r="V235" s="77">
        <v>7.9399999999999998E-2</v>
      </c>
      <c r="W235" s="77"/>
      <c r="X235" s="77"/>
      <c r="Y235" s="77"/>
      <c r="Z235" s="77">
        <v>9.06E-2</v>
      </c>
      <c r="AA235" s="77">
        <v>-1.4999999999999999E-2</v>
      </c>
      <c r="AB235" s="77"/>
      <c r="AC235" s="77"/>
      <c r="AD235" s="77"/>
      <c r="AE235" s="77"/>
    </row>
    <row r="236" spans="1:31" x14ac:dyDescent="0.25">
      <c r="A236" s="98" t="s">
        <v>259</v>
      </c>
      <c r="B236" s="7" t="s">
        <v>177</v>
      </c>
      <c r="C236" s="8" t="s">
        <v>81</v>
      </c>
      <c r="D236" s="102" t="s">
        <v>213</v>
      </c>
      <c r="E236" s="68" t="s">
        <v>214</v>
      </c>
      <c r="F236" s="69" t="s">
        <v>180</v>
      </c>
      <c r="G236" s="113" t="s">
        <v>847</v>
      </c>
      <c r="H236" s="77"/>
      <c r="I236" s="77">
        <v>0.38735999999999998</v>
      </c>
      <c r="J236" s="77">
        <v>0.24257000000000001</v>
      </c>
      <c r="K236" s="77">
        <v>0.10666</v>
      </c>
      <c r="L236" s="77">
        <v>9.9010000000000001E-2</v>
      </c>
      <c r="M236" s="77"/>
      <c r="N236" s="77">
        <v>7.1099999999999997E-2</v>
      </c>
      <c r="O236" s="77"/>
      <c r="P236" s="77"/>
      <c r="Q236" s="77"/>
      <c r="R236" s="77">
        <v>0.11799999999999999</v>
      </c>
      <c r="S236" s="74"/>
      <c r="T236" s="77"/>
      <c r="U236" s="77"/>
      <c r="V236" s="77">
        <v>7.9399999999999998E-2</v>
      </c>
      <c r="W236" s="77"/>
      <c r="X236" s="77"/>
      <c r="Y236" s="77"/>
      <c r="Z236" s="77">
        <v>9.06E-2</v>
      </c>
      <c r="AA236" s="77">
        <v>-1.4999999999999999E-2</v>
      </c>
      <c r="AB236" s="77"/>
      <c r="AC236" s="77"/>
      <c r="AD236" s="77"/>
      <c r="AE236" s="77"/>
    </row>
    <row r="237" spans="1:31" x14ac:dyDescent="0.25">
      <c r="A237" s="98" t="s">
        <v>259</v>
      </c>
      <c r="B237" s="7" t="s">
        <v>177</v>
      </c>
      <c r="C237" s="8" t="s">
        <v>81</v>
      </c>
      <c r="D237" s="102" t="s">
        <v>215</v>
      </c>
      <c r="E237" s="68" t="s">
        <v>216</v>
      </c>
      <c r="F237" s="69" t="s">
        <v>180</v>
      </c>
      <c r="G237" s="113" t="s">
        <v>847</v>
      </c>
      <c r="H237" s="77"/>
      <c r="I237" s="77">
        <v>0.38735999999999998</v>
      </c>
      <c r="J237" s="77">
        <v>0.24257000000000001</v>
      </c>
      <c r="K237" s="77">
        <v>0.10666</v>
      </c>
      <c r="L237" s="77">
        <v>9.9010000000000001E-2</v>
      </c>
      <c r="M237" s="77"/>
      <c r="N237" s="77">
        <v>7.1099999999999997E-2</v>
      </c>
      <c r="O237" s="77"/>
      <c r="P237" s="77"/>
      <c r="Q237" s="77"/>
      <c r="R237" s="77">
        <v>0.11799999999999999</v>
      </c>
      <c r="S237" s="74"/>
      <c r="T237" s="77"/>
      <c r="U237" s="77"/>
      <c r="V237" s="77">
        <v>7.9399999999999998E-2</v>
      </c>
      <c r="W237" s="77"/>
      <c r="X237" s="77"/>
      <c r="Y237" s="77"/>
      <c r="Z237" s="77">
        <v>9.06E-2</v>
      </c>
      <c r="AA237" s="77">
        <v>-1.4999999999999999E-2</v>
      </c>
      <c r="AB237" s="77"/>
      <c r="AC237" s="77"/>
      <c r="AD237" s="77"/>
      <c r="AE237" s="77"/>
    </row>
    <row r="238" spans="1:31" x14ac:dyDescent="0.25">
      <c r="A238" s="3" t="s">
        <v>259</v>
      </c>
      <c r="B238" s="4" t="s">
        <v>177</v>
      </c>
      <c r="C238" s="5" t="s">
        <v>81</v>
      </c>
      <c r="D238" s="1" t="s">
        <v>217</v>
      </c>
      <c r="E238" s="68" t="s">
        <v>218</v>
      </c>
      <c r="F238" s="69" t="s">
        <v>180</v>
      </c>
      <c r="G238" s="113" t="s">
        <v>847</v>
      </c>
      <c r="H238" s="77"/>
      <c r="I238" s="77">
        <v>0.38735999999999998</v>
      </c>
      <c r="J238" s="77">
        <v>0.24257000000000001</v>
      </c>
      <c r="K238" s="77">
        <v>0.10666</v>
      </c>
      <c r="L238" s="77">
        <v>9.9010000000000001E-2</v>
      </c>
      <c r="M238" s="77"/>
      <c r="N238" s="77">
        <v>7.1099999999999997E-2</v>
      </c>
      <c r="O238" s="77"/>
      <c r="P238" s="77"/>
      <c r="Q238" s="77"/>
      <c r="R238" s="77">
        <v>0.11799999999999999</v>
      </c>
      <c r="S238" s="74"/>
      <c r="T238" s="77"/>
      <c r="U238" s="77"/>
      <c r="V238" s="77">
        <v>7.9399999999999998E-2</v>
      </c>
      <c r="W238" s="77"/>
      <c r="X238" s="77"/>
      <c r="Y238" s="77"/>
      <c r="Z238" s="77">
        <v>9.06E-2</v>
      </c>
      <c r="AA238" s="77">
        <v>-1.4999999999999999E-2</v>
      </c>
      <c r="AB238" s="77"/>
      <c r="AC238" s="77"/>
      <c r="AD238" s="77"/>
      <c r="AE238" s="77"/>
    </row>
    <row r="239" spans="1:31" x14ac:dyDescent="0.25">
      <c r="A239" s="3" t="s">
        <v>259</v>
      </c>
      <c r="B239" s="4" t="s">
        <v>177</v>
      </c>
      <c r="C239" s="5" t="s">
        <v>81</v>
      </c>
      <c r="D239" s="1" t="s">
        <v>219</v>
      </c>
      <c r="E239" s="114" t="s">
        <v>220</v>
      </c>
      <c r="F239" s="69" t="s">
        <v>180</v>
      </c>
      <c r="G239" s="113" t="s">
        <v>847</v>
      </c>
      <c r="H239" s="77"/>
      <c r="I239" s="77">
        <v>0.38735999999999998</v>
      </c>
      <c r="J239" s="77">
        <v>0.24257000000000001</v>
      </c>
      <c r="K239" s="77">
        <v>0.10666</v>
      </c>
      <c r="L239" s="77">
        <v>9.9010000000000001E-2</v>
      </c>
      <c r="M239" s="77"/>
      <c r="N239" s="77">
        <v>7.1099999999999997E-2</v>
      </c>
      <c r="O239" s="77"/>
      <c r="P239" s="77"/>
      <c r="Q239" s="77"/>
      <c r="R239" s="77">
        <v>0.11799999999999999</v>
      </c>
      <c r="S239" s="74"/>
      <c r="T239" s="77"/>
      <c r="U239" s="77"/>
      <c r="V239" s="77">
        <v>7.9399999999999998E-2</v>
      </c>
      <c r="W239" s="77"/>
      <c r="X239" s="77"/>
      <c r="Y239" s="77"/>
      <c r="Z239" s="77">
        <v>9.06E-2</v>
      </c>
      <c r="AA239" s="77">
        <v>-1.4999999999999999E-2</v>
      </c>
      <c r="AB239" s="77"/>
      <c r="AC239" s="77"/>
      <c r="AD239" s="77"/>
      <c r="AE239" s="77"/>
    </row>
    <row r="240" spans="1:31" x14ac:dyDescent="0.25">
      <c r="A240" s="3" t="s">
        <v>259</v>
      </c>
      <c r="B240" s="4" t="s">
        <v>177</v>
      </c>
      <c r="C240" s="5" t="s">
        <v>81</v>
      </c>
      <c r="D240" s="1" t="s">
        <v>178</v>
      </c>
      <c r="E240" s="114" t="s">
        <v>179</v>
      </c>
      <c r="F240" s="69" t="s">
        <v>180</v>
      </c>
      <c r="G240" s="113" t="s">
        <v>847</v>
      </c>
      <c r="H240" s="77"/>
      <c r="I240" s="77">
        <v>0.38735999999999998</v>
      </c>
      <c r="J240" s="77">
        <v>0.24257000000000001</v>
      </c>
      <c r="K240" s="77">
        <v>0.10666</v>
      </c>
      <c r="L240" s="77">
        <v>9.9010000000000001E-2</v>
      </c>
      <c r="M240" s="77"/>
      <c r="N240" s="77">
        <v>7.1099999999999997E-2</v>
      </c>
      <c r="O240" s="77"/>
      <c r="P240" s="77"/>
      <c r="Q240" s="77"/>
      <c r="R240" s="77">
        <v>0.11799999999999999</v>
      </c>
      <c r="S240" s="74"/>
      <c r="T240" s="77"/>
      <c r="U240" s="77"/>
      <c r="V240" s="77">
        <v>7.9399999999999998E-2</v>
      </c>
      <c r="W240" s="77"/>
      <c r="X240" s="77"/>
      <c r="Y240" s="77"/>
      <c r="Z240" s="77">
        <v>9.06E-2</v>
      </c>
      <c r="AA240" s="77">
        <v>-1.4999999999999999E-2</v>
      </c>
      <c r="AB240" s="77"/>
      <c r="AC240" s="77"/>
      <c r="AD240" s="77"/>
      <c r="AE240" s="77"/>
    </row>
    <row r="241" spans="1:31" x14ac:dyDescent="0.25">
      <c r="A241" s="98" t="s">
        <v>259</v>
      </c>
      <c r="B241" s="7" t="s">
        <v>177</v>
      </c>
      <c r="C241" s="8" t="s">
        <v>81</v>
      </c>
      <c r="D241" s="102" t="s">
        <v>221</v>
      </c>
      <c r="E241" s="114" t="s">
        <v>222</v>
      </c>
      <c r="F241" s="69" t="s">
        <v>180</v>
      </c>
      <c r="G241" s="113" t="s">
        <v>847</v>
      </c>
      <c r="H241" s="77"/>
      <c r="I241" s="77">
        <v>0.38735999999999998</v>
      </c>
      <c r="J241" s="77">
        <v>0.24257000000000001</v>
      </c>
      <c r="K241" s="77">
        <v>0.10666</v>
      </c>
      <c r="L241" s="77">
        <v>9.9010000000000001E-2</v>
      </c>
      <c r="M241" s="77"/>
      <c r="N241" s="77">
        <v>7.1099999999999997E-2</v>
      </c>
      <c r="O241" s="77"/>
      <c r="P241" s="77"/>
      <c r="Q241" s="77"/>
      <c r="R241" s="77">
        <v>0.11799999999999999</v>
      </c>
      <c r="S241" s="74"/>
      <c r="T241" s="77"/>
      <c r="U241" s="77"/>
      <c r="V241" s="77">
        <v>7.9399999999999998E-2</v>
      </c>
      <c r="W241" s="77"/>
      <c r="X241" s="77"/>
      <c r="Y241" s="77"/>
      <c r="Z241" s="77">
        <v>9.06E-2</v>
      </c>
      <c r="AA241" s="77">
        <v>-1.4999999999999999E-2</v>
      </c>
      <c r="AB241" s="77"/>
      <c r="AC241" s="77"/>
      <c r="AD241" s="77"/>
      <c r="AE241" s="77"/>
    </row>
    <row r="242" spans="1:31" x14ac:dyDescent="0.25">
      <c r="A242" s="3" t="s">
        <v>260</v>
      </c>
      <c r="B242" s="4" t="s">
        <v>177</v>
      </c>
      <c r="C242" s="5" t="s">
        <v>81</v>
      </c>
      <c r="D242" s="1" t="s">
        <v>178</v>
      </c>
      <c r="E242" s="68" t="s">
        <v>220</v>
      </c>
      <c r="F242" s="69" t="s">
        <v>180</v>
      </c>
      <c r="G242" s="113" t="s">
        <v>831</v>
      </c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</row>
    <row r="243" spans="1:31" x14ac:dyDescent="0.25">
      <c r="A243" s="98" t="s">
        <v>260</v>
      </c>
      <c r="B243" s="7" t="s">
        <v>177</v>
      </c>
      <c r="C243" s="8" t="s">
        <v>81</v>
      </c>
      <c r="D243" s="102" t="s">
        <v>219</v>
      </c>
      <c r="E243" s="114" t="s">
        <v>179</v>
      </c>
      <c r="F243" s="69" t="s">
        <v>180</v>
      </c>
      <c r="G243" s="113" t="s">
        <v>831</v>
      </c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</row>
  </sheetData>
  <mergeCells count="5">
    <mergeCell ref="G2:N2"/>
    <mergeCell ref="O2:O3"/>
    <mergeCell ref="G5:N5"/>
    <mergeCell ref="O5:O6"/>
    <mergeCell ref="B1:C1"/>
  </mergeCells>
  <phoneticPr fontId="21" type="noConversion"/>
  <pageMargins left="0.7" right="0.7" top="0.75" bottom="0.75" header="0.3" footer="0.3"/>
  <pageSetup paperSize="0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ctualizarTarifasDesdeBase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1657350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DAE8B-B73B-4B93-B9BF-FD0FAF2CA84A}">
  <dimension ref="E1:R16"/>
  <sheetViews>
    <sheetView topLeftCell="C1" workbookViewId="0">
      <selection activeCell="G4" sqref="G4"/>
    </sheetView>
  </sheetViews>
  <sheetFormatPr baseColWidth="10" defaultRowHeight="15" x14ac:dyDescent="0.25"/>
  <cols>
    <col min="5" max="5" width="10.5703125" bestFit="1" customWidth="1"/>
    <col min="6" max="6" width="13" bestFit="1" customWidth="1"/>
    <col min="7" max="14" width="21.28515625" bestFit="1" customWidth="1"/>
    <col min="15" max="18" width="14.5703125" bestFit="1" customWidth="1"/>
  </cols>
  <sheetData>
    <row r="1" spans="5:18" x14ac:dyDescent="0.25">
      <c r="F1" s="124">
        <v>45292</v>
      </c>
    </row>
    <row r="3" spans="5:18" ht="15.75" thickBot="1" x14ac:dyDescent="0.3">
      <c r="E3" s="122" t="s">
        <v>11</v>
      </c>
      <c r="F3" s="123" t="s">
        <v>833</v>
      </c>
      <c r="G3" t="s">
        <v>823</v>
      </c>
      <c r="H3" t="s">
        <v>842</v>
      </c>
      <c r="I3" t="s">
        <v>843</v>
      </c>
      <c r="J3" t="s">
        <v>844</v>
      </c>
      <c r="K3" t="s">
        <v>834</v>
      </c>
      <c r="L3" t="s">
        <v>845</v>
      </c>
      <c r="M3" t="s">
        <v>842</v>
      </c>
      <c r="N3" t="s">
        <v>846</v>
      </c>
      <c r="O3" t="s">
        <v>840</v>
      </c>
    </row>
    <row r="4" spans="5:18" x14ac:dyDescent="0.25">
      <c r="E4" s="121" t="s">
        <v>182</v>
      </c>
      <c r="F4" s="125">
        <v>209399.95</v>
      </c>
      <c r="G4" s="219">
        <v>0.38735999999999998</v>
      </c>
      <c r="H4" s="77">
        <v>0.24257000000000001</v>
      </c>
      <c r="I4" s="77">
        <v>0.10666</v>
      </c>
      <c r="J4" s="219">
        <v>9.9010000000000001E-2</v>
      </c>
      <c r="K4" s="77">
        <v>7.1099999999999997E-2</v>
      </c>
      <c r="L4" s="219">
        <v>0.11799999999999999</v>
      </c>
      <c r="M4" s="219">
        <v>7.9399999999999998E-2</v>
      </c>
      <c r="N4" s="219">
        <v>9.06E-2</v>
      </c>
      <c r="O4" s="219">
        <v>-1.4999999999999999E-2</v>
      </c>
      <c r="P4" s="120"/>
      <c r="Q4" s="74" cm="1">
        <f t="array" ref="Q4">PRODUCT(1+G4:O4)-1</f>
        <v>1.9112657440553265</v>
      </c>
      <c r="R4" s="120"/>
    </row>
    <row r="5" spans="5:18" x14ac:dyDescent="0.25">
      <c r="G5" s="224">
        <v>290513.12</v>
      </c>
      <c r="H5" s="224">
        <v>360984.34</v>
      </c>
      <c r="I5" s="224">
        <v>399488.37</v>
      </c>
      <c r="J5" s="224">
        <v>439041.72</v>
      </c>
      <c r="K5" s="224">
        <v>470257.58</v>
      </c>
      <c r="L5" s="224">
        <v>525747.98</v>
      </c>
      <c r="M5" s="224">
        <f t="shared" ref="M5" si="0">+L5+L5*M4</f>
        <v>567492.36961199995</v>
      </c>
      <c r="N5" s="224">
        <f t="shared" ref="N5:O5" si="1">+M5+M5*N4</f>
        <v>618907.17829884717</v>
      </c>
      <c r="O5" s="223">
        <f t="shared" si="1"/>
        <v>609623.57062436442</v>
      </c>
      <c r="P5" s="85"/>
      <c r="Q5" s="85"/>
      <c r="R5" s="85"/>
    </row>
    <row r="6" spans="5:18" x14ac:dyDescent="0.25">
      <c r="G6" s="226">
        <f>F4+F4*G4</f>
        <v>290513.11463199998</v>
      </c>
      <c r="H6" s="226">
        <f>G6+G6*H4</f>
        <v>360982.88084828423</v>
      </c>
      <c r="I6" s="226">
        <f t="shared" ref="I6:O6" si="2">H6+H6*I4</f>
        <v>399485.3149195622</v>
      </c>
      <c r="J6" s="226">
        <f t="shared" si="2"/>
        <v>439038.35594974807</v>
      </c>
      <c r="K6" s="226">
        <f t="shared" si="2"/>
        <v>470253.98305777519</v>
      </c>
      <c r="L6" s="226">
        <f t="shared" si="2"/>
        <v>525743.95305859263</v>
      </c>
      <c r="M6" s="226">
        <f t="shared" si="2"/>
        <v>567488.02293144492</v>
      </c>
      <c r="N6" s="226">
        <f t="shared" si="2"/>
        <v>618902.43780903379</v>
      </c>
      <c r="O6" s="226">
        <f t="shared" si="2"/>
        <v>609618.9012418983</v>
      </c>
      <c r="Q6" s="85">
        <f>F4+F4*Q4</f>
        <v>609618.90124189819</v>
      </c>
    </row>
    <row r="7" spans="5:18" x14ac:dyDescent="0.25">
      <c r="G7" s="220"/>
      <c r="N7" s="85"/>
      <c r="O7" s="85">
        <f>+O5-O6</f>
        <v>4.6693824661197141</v>
      </c>
    </row>
    <row r="8" spans="5:18" x14ac:dyDescent="0.25">
      <c r="G8" s="220">
        <f>((G5-F4)/F4)*100</f>
        <v>38.736002563515406</v>
      </c>
      <c r="H8" s="220">
        <f>((H5-G5)/G5)*100</f>
        <v>24.257499971085654</v>
      </c>
      <c r="I8" s="220">
        <f t="shared" ref="I8:O8" si="3">((I5-H5)/H5)*100</f>
        <v>10.666398991158443</v>
      </c>
      <c r="J8" s="220">
        <f t="shared" si="3"/>
        <v>9.9010016236517675</v>
      </c>
      <c r="K8" s="220">
        <f t="shared" si="3"/>
        <v>7.1099985668788026</v>
      </c>
      <c r="L8" s="220">
        <f t="shared" si="3"/>
        <v>11.800001182330748</v>
      </c>
      <c r="M8" s="220">
        <f t="shared" si="3"/>
        <v>7.9399999999999942</v>
      </c>
      <c r="N8" s="220">
        <f t="shared" si="3"/>
        <v>9.0600000000000041</v>
      </c>
      <c r="O8" s="220">
        <f t="shared" si="3"/>
        <v>-1.5000000000000058</v>
      </c>
    </row>
    <row r="9" spans="5:18" x14ac:dyDescent="0.25">
      <c r="G9" s="221">
        <f>F4+F4*G8/100</f>
        <v>290513.12</v>
      </c>
      <c r="H9" s="221">
        <f>G9+G9*H8/100</f>
        <v>360984.34</v>
      </c>
      <c r="I9" s="221">
        <f t="shared" ref="I9:O9" si="4">H9+H9*I8/100</f>
        <v>399488.37</v>
      </c>
      <c r="J9" s="221">
        <f t="shared" si="4"/>
        <v>439041.72</v>
      </c>
      <c r="K9" s="221">
        <f t="shared" si="4"/>
        <v>470257.58</v>
      </c>
      <c r="L9" s="221">
        <f t="shared" si="4"/>
        <v>525747.98</v>
      </c>
      <c r="M9" s="221">
        <f t="shared" si="4"/>
        <v>567492.36961199995</v>
      </c>
      <c r="N9" s="221">
        <f t="shared" si="4"/>
        <v>618907.17829884717</v>
      </c>
      <c r="O9" s="222">
        <f t="shared" si="4"/>
        <v>609623.57062436442</v>
      </c>
    </row>
    <row r="15" spans="5:18" x14ac:dyDescent="0.25">
      <c r="O15" s="73"/>
    </row>
    <row r="16" spans="5:18" x14ac:dyDescent="0.25">
      <c r="G16" s="225">
        <f>F4*1.38736</f>
        <v>290513.11463199998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 filterMode="1"/>
  <dimension ref="A2:P54"/>
  <sheetViews>
    <sheetView topLeftCell="D2" workbookViewId="0">
      <selection activeCell="F71" sqref="F71"/>
    </sheetView>
  </sheetViews>
  <sheetFormatPr baseColWidth="10" defaultColWidth="11.42578125" defaultRowHeight="15" x14ac:dyDescent="0.25"/>
  <cols>
    <col min="1" max="1" width="13.28515625" bestFit="1" customWidth="1"/>
    <col min="2" max="2" width="16.85546875" bestFit="1" customWidth="1"/>
    <col min="3" max="4" width="16.85546875" customWidth="1"/>
    <col min="5" max="5" width="38.85546875" bestFit="1" customWidth="1"/>
    <col min="6" max="6" width="26.5703125" bestFit="1" customWidth="1"/>
    <col min="7" max="7" width="13" bestFit="1" customWidth="1"/>
    <col min="8" max="8" width="25.140625" bestFit="1" customWidth="1"/>
    <col min="9" max="9" width="21" bestFit="1" customWidth="1"/>
    <col min="10" max="10" width="21" customWidth="1"/>
    <col min="11" max="11" width="25.7109375" bestFit="1" customWidth="1"/>
    <col min="12" max="12" width="15.42578125" bestFit="1" customWidth="1"/>
    <col min="13" max="13" width="32.28515625" bestFit="1" customWidth="1"/>
    <col min="14" max="14" width="20.42578125" bestFit="1" customWidth="1"/>
    <col min="15" max="15" width="26.140625" bestFit="1" customWidth="1"/>
    <col min="16" max="16" width="12.85546875" bestFit="1" customWidth="1"/>
  </cols>
  <sheetData>
    <row r="2" spans="1:16" ht="15.75" customHeight="1" thickBot="1" x14ac:dyDescent="0.3">
      <c r="A2" s="17" t="s">
        <v>261</v>
      </c>
      <c r="B2" s="17" t="s">
        <v>262</v>
      </c>
      <c r="C2" s="13" t="s">
        <v>263</v>
      </c>
      <c r="D2" s="13" t="s">
        <v>264</v>
      </c>
      <c r="E2" s="13" t="s">
        <v>265</v>
      </c>
      <c r="F2" s="13" t="s">
        <v>266</v>
      </c>
      <c r="G2" s="13" t="s">
        <v>267</v>
      </c>
      <c r="H2" s="13" t="s">
        <v>268</v>
      </c>
      <c r="I2" s="13" t="s">
        <v>269</v>
      </c>
      <c r="J2" s="13" t="s">
        <v>270</v>
      </c>
      <c r="K2" s="17" t="s">
        <v>271</v>
      </c>
      <c r="L2" s="13" t="s">
        <v>272</v>
      </c>
      <c r="M2" s="13" t="s">
        <v>273</v>
      </c>
      <c r="N2" s="13" t="s">
        <v>274</v>
      </c>
      <c r="O2" s="13" t="s">
        <v>275</v>
      </c>
      <c r="P2" s="13" t="s">
        <v>276</v>
      </c>
    </row>
    <row r="3" spans="1:16" ht="15.75" hidden="1" customHeight="1" thickBot="1" x14ac:dyDescent="0.3">
      <c r="A3" s="14"/>
      <c r="B3" s="14"/>
      <c r="C3" s="14"/>
      <c r="D3" s="14"/>
      <c r="E3" s="14"/>
      <c r="F3" s="14"/>
      <c r="G3" s="14" t="s">
        <v>277</v>
      </c>
      <c r="H3" s="14" t="s">
        <v>278</v>
      </c>
      <c r="I3" s="14" t="s">
        <v>279</v>
      </c>
      <c r="J3" s="14" t="s">
        <v>270</v>
      </c>
      <c r="K3" s="14" t="s">
        <v>271</v>
      </c>
      <c r="L3" s="14" t="s">
        <v>280</v>
      </c>
      <c r="M3" s="14"/>
      <c r="N3" s="14" t="s">
        <v>281</v>
      </c>
      <c r="O3" s="14" t="s">
        <v>275</v>
      </c>
      <c r="P3" s="14"/>
    </row>
    <row r="4" spans="1:16" x14ac:dyDescent="0.25">
      <c r="D4" s="2"/>
      <c r="E4" s="3" t="s">
        <v>254</v>
      </c>
      <c r="F4" s="19">
        <v>45658</v>
      </c>
      <c r="M4" s="20">
        <v>104443</v>
      </c>
      <c r="O4" s="20"/>
      <c r="P4" s="20"/>
    </row>
    <row r="5" spans="1:16" x14ac:dyDescent="0.25">
      <c r="A5" s="2"/>
      <c r="B5" s="2"/>
      <c r="C5" s="2"/>
      <c r="D5" s="2"/>
      <c r="E5" s="3" t="s">
        <v>254</v>
      </c>
      <c r="F5" s="19">
        <v>45658</v>
      </c>
      <c r="G5" s="15"/>
      <c r="H5" s="15">
        <f>449657*40%</f>
        <v>179862.80000000002</v>
      </c>
      <c r="I5" s="15">
        <f>449657*80%</f>
        <v>359725.60000000003</v>
      </c>
      <c r="J5" s="15"/>
      <c r="K5" s="15"/>
      <c r="L5" s="15"/>
      <c r="M5" s="15"/>
      <c r="N5" s="15"/>
      <c r="O5" s="15"/>
    </row>
    <row r="6" spans="1:16" x14ac:dyDescent="0.25">
      <c r="A6" s="2"/>
      <c r="B6" s="2"/>
      <c r="C6" s="2"/>
      <c r="D6" s="23"/>
      <c r="E6" s="3" t="s">
        <v>254</v>
      </c>
      <c r="F6" s="19">
        <v>45658</v>
      </c>
      <c r="G6" s="15"/>
      <c r="H6" s="15"/>
      <c r="I6" s="15"/>
      <c r="J6" s="15"/>
      <c r="K6" s="15"/>
      <c r="L6" s="15"/>
      <c r="M6" s="15"/>
      <c r="N6" s="15">
        <f>449657*50%</f>
        <v>224828.5</v>
      </c>
      <c r="O6" s="15"/>
    </row>
    <row r="7" spans="1:16" hidden="1" x14ac:dyDescent="0.25">
      <c r="A7" s="2" t="s">
        <v>282</v>
      </c>
      <c r="B7" s="2"/>
      <c r="C7" s="2" t="s">
        <v>283</v>
      </c>
      <c r="D7" s="23"/>
      <c r="E7" s="21" t="s">
        <v>259</v>
      </c>
      <c r="F7" s="22">
        <v>45717</v>
      </c>
      <c r="G7" s="15">
        <v>18034.759999999998</v>
      </c>
      <c r="H7" s="15"/>
      <c r="I7" s="15"/>
      <c r="J7" s="15"/>
      <c r="K7" s="15"/>
      <c r="L7" s="15"/>
      <c r="M7" s="15"/>
      <c r="N7" s="15"/>
      <c r="O7" s="15"/>
    </row>
    <row r="8" spans="1:16" hidden="1" x14ac:dyDescent="0.25">
      <c r="A8" s="2" t="s">
        <v>282</v>
      </c>
      <c r="B8" s="2"/>
      <c r="C8" s="24" t="s">
        <v>219</v>
      </c>
      <c r="D8" s="23"/>
      <c r="E8" s="21" t="s">
        <v>259</v>
      </c>
      <c r="F8" s="22">
        <v>45717</v>
      </c>
      <c r="G8" s="15">
        <v>19370.62</v>
      </c>
      <c r="H8" s="15"/>
      <c r="I8" s="15"/>
      <c r="J8" s="15"/>
      <c r="K8" s="15"/>
      <c r="L8" s="15"/>
      <c r="M8" s="15"/>
      <c r="N8" s="15"/>
      <c r="O8" s="15"/>
    </row>
    <row r="9" spans="1:16" hidden="1" x14ac:dyDescent="0.25">
      <c r="A9" s="2" t="s">
        <v>282</v>
      </c>
      <c r="B9" s="2"/>
      <c r="C9" s="2" t="s">
        <v>178</v>
      </c>
      <c r="D9" s="23"/>
      <c r="E9" s="21" t="s">
        <v>259</v>
      </c>
      <c r="F9" s="22">
        <v>45717</v>
      </c>
      <c r="G9" s="15">
        <v>20706.53</v>
      </c>
      <c r="H9" s="15"/>
      <c r="I9" s="15"/>
      <c r="J9" s="15"/>
      <c r="K9" s="15"/>
      <c r="L9" s="15"/>
      <c r="M9" s="15"/>
      <c r="N9" s="15"/>
      <c r="O9" s="15"/>
    </row>
    <row r="10" spans="1:16" hidden="1" x14ac:dyDescent="0.25">
      <c r="A10" s="2" t="s">
        <v>282</v>
      </c>
      <c r="B10" s="2"/>
      <c r="C10" s="2" t="s">
        <v>221</v>
      </c>
      <c r="D10" s="23"/>
      <c r="E10" s="21" t="s">
        <v>259</v>
      </c>
      <c r="F10" s="22">
        <v>45717</v>
      </c>
      <c r="G10" s="15">
        <v>16698.78</v>
      </c>
      <c r="H10" s="15"/>
      <c r="I10" s="15"/>
      <c r="J10" s="15"/>
      <c r="K10" s="15"/>
      <c r="L10" s="15"/>
      <c r="M10" s="15"/>
      <c r="N10" s="15"/>
      <c r="O10" s="15"/>
    </row>
    <row r="11" spans="1:16" hidden="1" x14ac:dyDescent="0.25">
      <c r="A11" s="2" t="s">
        <v>282</v>
      </c>
      <c r="B11" s="2"/>
      <c r="C11" s="2" t="s">
        <v>284</v>
      </c>
      <c r="D11" s="23"/>
      <c r="E11" s="21" t="s">
        <v>259</v>
      </c>
      <c r="F11" s="22">
        <v>45717</v>
      </c>
      <c r="G11" s="15"/>
      <c r="H11" s="15"/>
      <c r="I11" s="15"/>
      <c r="J11" s="15"/>
      <c r="K11" s="15"/>
      <c r="L11" s="15"/>
      <c r="M11" s="15"/>
      <c r="N11" s="15"/>
      <c r="O11" s="15"/>
    </row>
    <row r="12" spans="1:16" hidden="1" x14ac:dyDescent="0.25">
      <c r="A12" s="2" t="s">
        <v>282</v>
      </c>
      <c r="B12" s="2"/>
      <c r="C12" s="24" t="s">
        <v>215</v>
      </c>
      <c r="D12" s="23"/>
      <c r="E12" s="21" t="s">
        <v>259</v>
      </c>
      <c r="F12" s="22">
        <v>45717</v>
      </c>
      <c r="G12" s="15">
        <v>30057.87</v>
      </c>
      <c r="H12" s="15"/>
      <c r="I12" s="15"/>
      <c r="J12" s="15"/>
      <c r="K12" s="15"/>
      <c r="L12" s="15"/>
      <c r="M12" s="15"/>
      <c r="N12" s="15"/>
      <c r="O12" s="15"/>
    </row>
    <row r="13" spans="1:16" hidden="1" x14ac:dyDescent="0.25">
      <c r="A13" s="2" t="s">
        <v>282</v>
      </c>
      <c r="B13" s="2"/>
      <c r="C13" s="2" t="s">
        <v>213</v>
      </c>
      <c r="D13" s="23"/>
      <c r="E13" s="21" t="s">
        <v>259</v>
      </c>
      <c r="F13" s="22">
        <v>45717</v>
      </c>
      <c r="G13" s="15">
        <v>30057.87</v>
      </c>
      <c r="H13" s="15"/>
      <c r="I13" s="15"/>
      <c r="J13" s="15"/>
      <c r="K13" s="15"/>
      <c r="L13" s="15"/>
      <c r="M13" s="15"/>
      <c r="N13" s="15"/>
      <c r="O13" s="15"/>
    </row>
    <row r="14" spans="1:16" hidden="1" x14ac:dyDescent="0.25">
      <c r="A14" s="2" t="s">
        <v>282</v>
      </c>
      <c r="B14" s="2"/>
      <c r="C14" s="2" t="s">
        <v>211</v>
      </c>
      <c r="D14" s="23"/>
      <c r="E14" s="21" t="s">
        <v>259</v>
      </c>
      <c r="F14" s="22">
        <v>45717</v>
      </c>
      <c r="G14" s="15">
        <v>30057.87</v>
      </c>
      <c r="H14" s="15"/>
      <c r="I14" s="15"/>
      <c r="J14" s="15"/>
      <c r="K14" s="15"/>
      <c r="L14" s="15"/>
      <c r="M14" s="15"/>
      <c r="N14" s="15"/>
      <c r="O14" s="15"/>
    </row>
    <row r="15" spans="1:16" hidden="1" x14ac:dyDescent="0.25">
      <c r="A15" s="2" t="s">
        <v>282</v>
      </c>
      <c r="B15" s="2"/>
      <c r="C15" s="2" t="s">
        <v>217</v>
      </c>
      <c r="D15" s="23"/>
      <c r="E15" s="21" t="s">
        <v>259</v>
      </c>
      <c r="F15" s="22">
        <v>45717</v>
      </c>
      <c r="G15" s="15">
        <v>30057.87</v>
      </c>
      <c r="H15" s="15"/>
      <c r="I15" s="15"/>
      <c r="J15" s="15"/>
      <c r="K15" s="15"/>
      <c r="L15" s="15"/>
      <c r="M15" s="15"/>
      <c r="N15" s="15"/>
      <c r="O15" s="15"/>
    </row>
    <row r="16" spans="1:16" hidden="1" x14ac:dyDescent="0.25">
      <c r="A16" s="2" t="s">
        <v>285</v>
      </c>
      <c r="B16" s="2"/>
      <c r="C16" s="2" t="s">
        <v>283</v>
      </c>
      <c r="D16" s="23"/>
      <c r="E16" s="21" t="s">
        <v>259</v>
      </c>
      <c r="F16" s="22">
        <v>45717</v>
      </c>
      <c r="G16" s="15">
        <v>24580.7</v>
      </c>
      <c r="H16" s="15"/>
      <c r="I16" s="15"/>
      <c r="J16" s="15"/>
      <c r="K16" s="15"/>
      <c r="L16" s="15"/>
      <c r="M16" s="15"/>
      <c r="N16" s="15"/>
      <c r="O16" s="15"/>
    </row>
    <row r="17" spans="1:16" hidden="1" x14ac:dyDescent="0.25">
      <c r="A17" s="2" t="s">
        <v>285</v>
      </c>
      <c r="B17" s="2"/>
      <c r="C17" s="24" t="s">
        <v>219</v>
      </c>
      <c r="D17" s="23"/>
      <c r="E17" s="21" t="s">
        <v>259</v>
      </c>
      <c r="F17" s="22">
        <v>45717</v>
      </c>
      <c r="G17" s="15">
        <v>29189.33</v>
      </c>
      <c r="H17" s="15"/>
      <c r="I17" s="15"/>
      <c r="J17" s="15"/>
      <c r="K17" s="15"/>
      <c r="L17" s="15"/>
      <c r="M17" s="15"/>
      <c r="N17" s="15"/>
      <c r="O17" s="15"/>
    </row>
    <row r="18" spans="1:16" hidden="1" x14ac:dyDescent="0.25">
      <c r="A18" s="2" t="s">
        <v>285</v>
      </c>
      <c r="B18" s="2"/>
      <c r="C18" s="2" t="s">
        <v>178</v>
      </c>
      <c r="D18" s="23"/>
      <c r="E18" s="21" t="s">
        <v>259</v>
      </c>
      <c r="F18" s="22">
        <v>45717</v>
      </c>
      <c r="G18" s="15">
        <v>30725.84</v>
      </c>
      <c r="H18" s="15"/>
      <c r="I18" s="15"/>
      <c r="J18" s="15"/>
      <c r="K18" s="15"/>
      <c r="L18" s="15"/>
      <c r="M18" s="15"/>
      <c r="N18" s="15"/>
      <c r="O18" s="15"/>
    </row>
    <row r="19" spans="1:16" hidden="1" x14ac:dyDescent="0.25">
      <c r="A19" s="2" t="s">
        <v>285</v>
      </c>
      <c r="B19" s="2"/>
      <c r="C19" s="2" t="s">
        <v>221</v>
      </c>
      <c r="D19" s="23"/>
      <c r="E19" s="21" t="s">
        <v>259</v>
      </c>
      <c r="F19" s="22">
        <v>45717</v>
      </c>
      <c r="G19" s="15">
        <v>21508.07</v>
      </c>
      <c r="H19" s="15"/>
      <c r="I19" s="15"/>
      <c r="J19" s="15"/>
      <c r="K19" s="15"/>
      <c r="L19" s="15"/>
      <c r="M19" s="15"/>
      <c r="N19" s="15"/>
      <c r="O19" s="15"/>
    </row>
    <row r="20" spans="1:16" hidden="1" x14ac:dyDescent="0.25">
      <c r="A20" s="2" t="s">
        <v>285</v>
      </c>
      <c r="B20" s="2"/>
      <c r="C20" s="2" t="s">
        <v>284</v>
      </c>
      <c r="D20" s="23"/>
      <c r="E20" s="21" t="s">
        <v>259</v>
      </c>
      <c r="F20" s="22">
        <v>45717</v>
      </c>
      <c r="G20" s="15"/>
      <c r="H20" s="15"/>
      <c r="I20" s="15"/>
      <c r="J20" s="15"/>
      <c r="K20" s="15"/>
      <c r="L20" s="15"/>
      <c r="M20" s="15"/>
      <c r="N20" s="15"/>
      <c r="O20" s="15"/>
    </row>
    <row r="21" spans="1:16" hidden="1" x14ac:dyDescent="0.25">
      <c r="A21" s="2" t="s">
        <v>285</v>
      </c>
      <c r="B21" s="2"/>
      <c r="C21" s="24" t="s">
        <v>215</v>
      </c>
      <c r="D21" s="23"/>
      <c r="E21" s="21" t="s">
        <v>259</v>
      </c>
      <c r="F21" s="22">
        <v>45717</v>
      </c>
      <c r="G21" s="15">
        <v>35962.57</v>
      </c>
      <c r="H21" s="15"/>
      <c r="I21" s="15"/>
      <c r="J21" s="15"/>
      <c r="K21" s="15"/>
      <c r="L21" s="15"/>
      <c r="M21" s="15"/>
      <c r="N21" s="15"/>
      <c r="O21" s="15"/>
    </row>
    <row r="22" spans="1:16" hidden="1" x14ac:dyDescent="0.25">
      <c r="A22" s="2" t="s">
        <v>285</v>
      </c>
      <c r="B22" s="2"/>
      <c r="C22" s="2" t="s">
        <v>213</v>
      </c>
      <c r="D22" s="23"/>
      <c r="E22" s="21" t="s">
        <v>259</v>
      </c>
      <c r="F22" s="22">
        <v>45717</v>
      </c>
      <c r="G22" s="15">
        <v>35962.57</v>
      </c>
      <c r="H22" s="15"/>
      <c r="I22" s="15"/>
      <c r="J22" s="15"/>
      <c r="K22" s="15"/>
      <c r="L22" s="15"/>
      <c r="M22" s="15"/>
      <c r="N22" s="15"/>
      <c r="O22" s="15"/>
    </row>
    <row r="23" spans="1:16" hidden="1" x14ac:dyDescent="0.25">
      <c r="A23" s="2" t="s">
        <v>285</v>
      </c>
      <c r="B23" s="2"/>
      <c r="C23" s="2" t="s">
        <v>211</v>
      </c>
      <c r="D23" s="23"/>
      <c r="E23" s="21" t="s">
        <v>259</v>
      </c>
      <c r="F23" s="22">
        <v>45717</v>
      </c>
      <c r="G23" s="15">
        <v>35962.57</v>
      </c>
      <c r="H23" s="15"/>
      <c r="I23" s="15"/>
      <c r="J23" s="15"/>
      <c r="K23" s="15"/>
      <c r="L23" s="15"/>
      <c r="M23" s="15"/>
      <c r="N23" s="15"/>
      <c r="O23" s="15"/>
    </row>
    <row r="24" spans="1:16" hidden="1" x14ac:dyDescent="0.25">
      <c r="A24" s="2" t="s">
        <v>285</v>
      </c>
      <c r="B24" s="2"/>
      <c r="C24" s="2" t="s">
        <v>217</v>
      </c>
      <c r="D24" s="23"/>
      <c r="E24" s="21" t="s">
        <v>259</v>
      </c>
      <c r="F24" s="22">
        <v>45717</v>
      </c>
      <c r="G24" s="15">
        <v>35962.57</v>
      </c>
      <c r="H24" s="15"/>
      <c r="I24" s="15"/>
      <c r="J24" s="15"/>
      <c r="K24" s="15"/>
      <c r="L24" s="15"/>
      <c r="M24" s="15"/>
      <c r="N24" s="15"/>
      <c r="O24" s="15"/>
    </row>
    <row r="25" spans="1:16" hidden="1" x14ac:dyDescent="0.25">
      <c r="A25" s="2" t="s">
        <v>286</v>
      </c>
      <c r="B25" s="2"/>
      <c r="C25" s="2" t="s">
        <v>283</v>
      </c>
      <c r="D25" s="23"/>
      <c r="E25" s="21" t="s">
        <v>259</v>
      </c>
      <c r="F25" s="22">
        <v>45717</v>
      </c>
      <c r="G25" s="15">
        <v>26885.119999999999</v>
      </c>
      <c r="H25" s="15"/>
      <c r="I25" s="15"/>
      <c r="J25" s="15"/>
      <c r="K25" s="15"/>
      <c r="L25" s="15"/>
      <c r="M25" s="15"/>
      <c r="N25" s="15"/>
      <c r="O25" s="15"/>
    </row>
    <row r="26" spans="1:16" hidden="1" x14ac:dyDescent="0.25">
      <c r="A26" s="2" t="s">
        <v>286</v>
      </c>
      <c r="B26" s="2"/>
      <c r="C26" s="24" t="s">
        <v>219</v>
      </c>
      <c r="D26" s="23"/>
      <c r="E26" s="21" t="s">
        <v>259</v>
      </c>
      <c r="F26" s="22">
        <v>45717</v>
      </c>
      <c r="G26" s="15">
        <v>32262.16</v>
      </c>
      <c r="H26" s="15"/>
      <c r="I26" s="15"/>
      <c r="J26" s="15"/>
      <c r="K26" s="15"/>
      <c r="L26" s="15"/>
      <c r="M26" s="15"/>
      <c r="N26" s="15"/>
      <c r="O26" s="15"/>
    </row>
    <row r="27" spans="1:16" hidden="1" x14ac:dyDescent="0.25">
      <c r="A27" s="2" t="s">
        <v>286</v>
      </c>
      <c r="B27" s="2"/>
      <c r="C27" s="2" t="s">
        <v>178</v>
      </c>
      <c r="D27" s="23"/>
      <c r="E27" s="21" t="s">
        <v>259</v>
      </c>
      <c r="F27" s="22">
        <v>45717</v>
      </c>
      <c r="G27" s="15">
        <v>33798.43</v>
      </c>
      <c r="H27" s="15"/>
      <c r="I27" s="15"/>
      <c r="J27" s="15"/>
      <c r="K27" s="15"/>
      <c r="L27" s="15"/>
      <c r="M27" s="15"/>
      <c r="N27" s="15"/>
      <c r="O27" s="15"/>
    </row>
    <row r="28" spans="1:16" hidden="1" x14ac:dyDescent="0.25">
      <c r="A28" s="2" t="s">
        <v>286</v>
      </c>
      <c r="B28" s="2"/>
      <c r="C28" s="2" t="s">
        <v>221</v>
      </c>
      <c r="D28" s="23"/>
      <c r="E28" s="21" t="s">
        <v>259</v>
      </c>
      <c r="F28" s="22">
        <v>45717</v>
      </c>
      <c r="G28" s="15">
        <v>25382.2</v>
      </c>
      <c r="H28" s="15"/>
      <c r="I28" s="15"/>
      <c r="J28" s="15"/>
      <c r="K28" s="15"/>
      <c r="L28" s="15"/>
      <c r="M28" s="15"/>
      <c r="N28" s="15"/>
      <c r="O28" s="15"/>
    </row>
    <row r="29" spans="1:16" hidden="1" x14ac:dyDescent="0.25">
      <c r="A29" s="2" t="s">
        <v>286</v>
      </c>
      <c r="B29" s="2"/>
      <c r="C29" s="2" t="s">
        <v>284</v>
      </c>
      <c r="D29" s="23"/>
      <c r="E29" s="21" t="s">
        <v>259</v>
      </c>
      <c r="F29" s="22">
        <v>45717</v>
      </c>
      <c r="G29" s="15"/>
      <c r="H29" s="15"/>
      <c r="I29" s="15"/>
      <c r="J29" s="15"/>
      <c r="K29" s="15"/>
      <c r="L29" s="15"/>
      <c r="M29" s="15"/>
      <c r="N29" s="15"/>
      <c r="O29" s="15"/>
    </row>
    <row r="30" spans="1:16" hidden="1" x14ac:dyDescent="0.25">
      <c r="A30" s="2" t="s">
        <v>286</v>
      </c>
      <c r="B30" s="2"/>
      <c r="C30" s="24" t="s">
        <v>215</v>
      </c>
      <c r="D30" s="23"/>
      <c r="E30" s="21" t="s">
        <v>259</v>
      </c>
      <c r="F30" s="22">
        <v>45717</v>
      </c>
      <c r="G30" s="15">
        <v>39729.81</v>
      </c>
      <c r="H30" s="15"/>
      <c r="I30" s="15"/>
      <c r="J30" s="15"/>
      <c r="K30" s="15"/>
      <c r="L30" s="15"/>
      <c r="M30" s="15"/>
      <c r="N30" s="15"/>
      <c r="O30" s="15"/>
    </row>
    <row r="31" spans="1:16" hidden="1" x14ac:dyDescent="0.25">
      <c r="A31" s="2" t="s">
        <v>286</v>
      </c>
      <c r="B31" s="2"/>
      <c r="C31" s="2" t="s">
        <v>213</v>
      </c>
      <c r="D31" s="2"/>
      <c r="E31" s="21" t="s">
        <v>259</v>
      </c>
      <c r="F31" s="22">
        <v>45717</v>
      </c>
      <c r="G31" s="15">
        <v>39729.81</v>
      </c>
      <c r="H31" s="15"/>
      <c r="I31" s="15"/>
      <c r="J31" s="15"/>
      <c r="K31" s="15"/>
      <c r="L31" s="15"/>
      <c r="M31" s="15"/>
      <c r="N31" s="15"/>
      <c r="O31" s="15"/>
      <c r="P31" s="20"/>
    </row>
    <row r="32" spans="1:16" hidden="1" x14ac:dyDescent="0.25">
      <c r="A32" s="2" t="s">
        <v>286</v>
      </c>
      <c r="B32" s="2"/>
      <c r="C32" s="2" t="s">
        <v>211</v>
      </c>
      <c r="D32" s="2"/>
      <c r="E32" s="21" t="s">
        <v>259</v>
      </c>
      <c r="F32" s="22">
        <v>45717</v>
      </c>
      <c r="G32" s="15">
        <v>39729.81</v>
      </c>
      <c r="H32" s="15"/>
      <c r="I32" s="15"/>
      <c r="J32" s="15"/>
      <c r="K32" s="15"/>
      <c r="L32" s="15"/>
      <c r="M32" s="15"/>
      <c r="N32" s="15"/>
      <c r="O32" s="15"/>
      <c r="P32" s="20"/>
    </row>
    <row r="33" spans="1:15" hidden="1" x14ac:dyDescent="0.25">
      <c r="A33" s="2" t="s">
        <v>286</v>
      </c>
      <c r="B33" s="2"/>
      <c r="C33" s="2" t="s">
        <v>217</v>
      </c>
      <c r="D33" s="23"/>
      <c r="E33" s="21" t="s">
        <v>259</v>
      </c>
      <c r="F33" s="22">
        <v>45717</v>
      </c>
      <c r="G33" s="15">
        <v>39729.81</v>
      </c>
      <c r="H33" s="15"/>
      <c r="I33" s="15"/>
      <c r="J33" s="15"/>
      <c r="K33" s="15"/>
      <c r="L33" s="15"/>
      <c r="M33" s="15"/>
      <c r="N33" s="15"/>
      <c r="O33" s="15"/>
    </row>
    <row r="34" spans="1:15" hidden="1" x14ac:dyDescent="0.25">
      <c r="A34" s="2" t="s">
        <v>287</v>
      </c>
      <c r="B34" s="2"/>
      <c r="C34" s="2" t="s">
        <v>283</v>
      </c>
      <c r="D34" s="2"/>
      <c r="E34" s="21" t="s">
        <v>259</v>
      </c>
      <c r="F34" s="22">
        <v>45717</v>
      </c>
      <c r="G34" s="15">
        <v>30725.84</v>
      </c>
      <c r="H34" s="15"/>
      <c r="I34" s="15"/>
      <c r="J34" s="15"/>
      <c r="K34" s="15"/>
      <c r="L34" s="15"/>
      <c r="M34" s="15"/>
      <c r="N34" s="15"/>
      <c r="O34" s="15"/>
    </row>
    <row r="35" spans="1:15" hidden="1" x14ac:dyDescent="0.25">
      <c r="A35" s="2" t="s">
        <v>287</v>
      </c>
      <c r="B35" s="2"/>
      <c r="C35" s="24" t="s">
        <v>219</v>
      </c>
      <c r="D35" s="2"/>
      <c r="E35" s="21" t="s">
        <v>259</v>
      </c>
      <c r="F35" s="22">
        <v>45717</v>
      </c>
      <c r="G35" s="15">
        <v>34566.61</v>
      </c>
      <c r="H35" s="15"/>
      <c r="I35" s="15"/>
      <c r="J35" s="15"/>
      <c r="K35" s="15"/>
      <c r="L35" s="15"/>
      <c r="M35" s="15"/>
      <c r="N35" s="15"/>
      <c r="O35" s="15"/>
    </row>
    <row r="36" spans="1:15" hidden="1" x14ac:dyDescent="0.25">
      <c r="A36" s="2" t="s">
        <v>287</v>
      </c>
      <c r="B36" s="2"/>
      <c r="C36" s="2" t="s">
        <v>178</v>
      </c>
      <c r="E36" s="21" t="s">
        <v>259</v>
      </c>
      <c r="F36" s="22">
        <v>45717</v>
      </c>
      <c r="G36" s="15">
        <v>36870.97</v>
      </c>
    </row>
    <row r="37" spans="1:15" hidden="1" x14ac:dyDescent="0.25">
      <c r="A37" s="2" t="s">
        <v>287</v>
      </c>
      <c r="B37" s="2"/>
      <c r="C37" s="2" t="s">
        <v>221</v>
      </c>
      <c r="E37" s="21" t="s">
        <v>259</v>
      </c>
      <c r="F37" s="22">
        <v>45717</v>
      </c>
      <c r="G37" s="15">
        <v>29189.33</v>
      </c>
    </row>
    <row r="38" spans="1:15" hidden="1" x14ac:dyDescent="0.25">
      <c r="A38" s="2" t="s">
        <v>287</v>
      </c>
      <c r="B38" s="2"/>
      <c r="C38" s="2" t="s">
        <v>284</v>
      </c>
      <c r="E38" s="21" t="s">
        <v>259</v>
      </c>
      <c r="F38" s="22">
        <v>45717</v>
      </c>
      <c r="G38" s="15"/>
    </row>
    <row r="39" spans="1:15" hidden="1" x14ac:dyDescent="0.25">
      <c r="A39" s="2" t="s">
        <v>287</v>
      </c>
      <c r="B39" s="2"/>
      <c r="C39" s="24" t="s">
        <v>215</v>
      </c>
      <c r="E39" s="21" t="s">
        <v>259</v>
      </c>
      <c r="F39" s="22">
        <v>45717</v>
      </c>
      <c r="G39" s="15">
        <v>42581.84</v>
      </c>
    </row>
    <row r="40" spans="1:15" hidden="1" x14ac:dyDescent="0.25">
      <c r="A40" s="2" t="s">
        <v>287</v>
      </c>
      <c r="B40" s="2"/>
      <c r="C40" s="2" t="s">
        <v>213</v>
      </c>
      <c r="E40" s="21" t="s">
        <v>259</v>
      </c>
      <c r="F40" s="22">
        <v>45717</v>
      </c>
      <c r="G40" s="15">
        <v>42581.84</v>
      </c>
    </row>
    <row r="41" spans="1:15" hidden="1" x14ac:dyDescent="0.25">
      <c r="A41" s="2" t="s">
        <v>287</v>
      </c>
      <c r="B41" s="2"/>
      <c r="C41" s="2" t="s">
        <v>211</v>
      </c>
      <c r="E41" s="21" t="s">
        <v>259</v>
      </c>
      <c r="F41" s="22">
        <v>45717</v>
      </c>
      <c r="G41" s="15">
        <v>42581.84</v>
      </c>
    </row>
    <row r="42" spans="1:15" hidden="1" x14ac:dyDescent="0.25">
      <c r="A42" s="2" t="s">
        <v>287</v>
      </c>
      <c r="B42" s="2"/>
      <c r="C42" s="2" t="s">
        <v>217</v>
      </c>
      <c r="E42" s="21" t="s">
        <v>259</v>
      </c>
      <c r="F42" s="22">
        <v>45717</v>
      </c>
      <c r="G42" s="15">
        <v>42581.84</v>
      </c>
    </row>
    <row r="43" spans="1:15" hidden="1" x14ac:dyDescent="0.25">
      <c r="A43" s="2" t="s">
        <v>288</v>
      </c>
      <c r="B43" s="2"/>
      <c r="C43" s="2" t="s">
        <v>283</v>
      </c>
      <c r="E43" s="21" t="s">
        <v>259</v>
      </c>
      <c r="F43" s="22">
        <v>45717</v>
      </c>
      <c r="G43" s="15">
        <v>47291.03</v>
      </c>
    </row>
    <row r="44" spans="1:15" hidden="1" x14ac:dyDescent="0.25">
      <c r="A44" s="2" t="s">
        <v>288</v>
      </c>
      <c r="B44" s="2"/>
      <c r="C44" s="24" t="s">
        <v>219</v>
      </c>
      <c r="E44" s="21" t="s">
        <v>259</v>
      </c>
      <c r="F44" s="22">
        <v>45717</v>
      </c>
      <c r="G44" s="15">
        <v>54304.61</v>
      </c>
    </row>
    <row r="45" spans="1:15" hidden="1" x14ac:dyDescent="0.25">
      <c r="A45" s="2" t="s">
        <v>288</v>
      </c>
      <c r="B45" s="2"/>
      <c r="C45" s="2" t="s">
        <v>178</v>
      </c>
      <c r="E45" s="21" t="s">
        <v>259</v>
      </c>
      <c r="F45" s="22">
        <v>45717</v>
      </c>
      <c r="G45" s="15">
        <v>54778.83</v>
      </c>
    </row>
    <row r="46" spans="1:15" hidden="1" x14ac:dyDescent="0.25">
      <c r="A46" s="2" t="s">
        <v>288</v>
      </c>
      <c r="B46" s="2"/>
      <c r="C46" s="2" t="s">
        <v>221</v>
      </c>
      <c r="E46" s="21" t="s">
        <v>259</v>
      </c>
      <c r="F46" s="22">
        <v>45717</v>
      </c>
      <c r="G46" s="15">
        <v>47023.87</v>
      </c>
    </row>
    <row r="47" spans="1:15" hidden="1" x14ac:dyDescent="0.25">
      <c r="A47" s="2" t="s">
        <v>288</v>
      </c>
      <c r="B47" s="2"/>
      <c r="C47" s="2" t="s">
        <v>284</v>
      </c>
      <c r="E47" s="21" t="s">
        <v>259</v>
      </c>
      <c r="F47" s="22">
        <v>45717</v>
      </c>
      <c r="G47" s="15"/>
    </row>
    <row r="48" spans="1:15" hidden="1" x14ac:dyDescent="0.25">
      <c r="A48" s="2" t="s">
        <v>288</v>
      </c>
      <c r="B48" s="2"/>
      <c r="C48" s="24" t="s">
        <v>215</v>
      </c>
      <c r="E48" s="21" t="s">
        <v>259</v>
      </c>
      <c r="F48" s="22">
        <v>45717</v>
      </c>
      <c r="G48" s="15">
        <v>66995.66</v>
      </c>
    </row>
    <row r="49" spans="1:15" hidden="1" x14ac:dyDescent="0.25">
      <c r="A49" s="2" t="s">
        <v>288</v>
      </c>
      <c r="B49" s="2"/>
      <c r="C49" s="2" t="s">
        <v>213</v>
      </c>
      <c r="E49" s="21" t="s">
        <v>259</v>
      </c>
      <c r="F49" s="22">
        <v>45717</v>
      </c>
      <c r="G49" s="15">
        <v>66995.66</v>
      </c>
    </row>
    <row r="50" spans="1:15" hidden="1" x14ac:dyDescent="0.25">
      <c r="A50" s="2" t="s">
        <v>288</v>
      </c>
      <c r="B50" s="2"/>
      <c r="C50" s="2" t="s">
        <v>211</v>
      </c>
      <c r="E50" s="21" t="s">
        <v>259</v>
      </c>
      <c r="F50" s="22">
        <v>45717</v>
      </c>
      <c r="G50" s="15">
        <v>66995.66</v>
      </c>
    </row>
    <row r="51" spans="1:15" hidden="1" x14ac:dyDescent="0.25">
      <c r="A51" s="2" t="s">
        <v>288</v>
      </c>
      <c r="B51" s="2"/>
      <c r="C51" s="2" t="s">
        <v>217</v>
      </c>
      <c r="E51" s="21" t="s">
        <v>259</v>
      </c>
      <c r="F51" s="22">
        <v>45717</v>
      </c>
      <c r="G51" s="15">
        <v>66995.66</v>
      </c>
    </row>
    <row r="52" spans="1:15" x14ac:dyDescent="0.25">
      <c r="E52" s="21" t="s">
        <v>259</v>
      </c>
      <c r="F52" s="22">
        <v>45717</v>
      </c>
      <c r="M52" s="25">
        <v>93179.99</v>
      </c>
      <c r="O52" t="s">
        <v>289</v>
      </c>
    </row>
    <row r="53" spans="1:15" x14ac:dyDescent="0.25">
      <c r="E53" s="21" t="s">
        <v>259</v>
      </c>
      <c r="F53" s="22">
        <v>45717</v>
      </c>
      <c r="M53" s="25">
        <v>139759.38</v>
      </c>
      <c r="O53" t="s">
        <v>290</v>
      </c>
    </row>
    <row r="54" spans="1:15" x14ac:dyDescent="0.25">
      <c r="E54" s="21" t="s">
        <v>207</v>
      </c>
      <c r="F54" s="22">
        <v>45689</v>
      </c>
      <c r="M54" s="25">
        <v>102195.86</v>
      </c>
    </row>
  </sheetData>
  <autoFilter ref="A2:P51" xr:uid="{00000000-0009-0000-0000-000003000000}">
    <filterColumn colId="4">
      <filters>
        <filter val="LOGISCHER NEA SA"/>
      </filters>
    </filterColumn>
  </autoFilter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D2170-1A80-4F4E-B67F-923ED807CC4D}">
  <sheetPr filterMode="1"/>
  <dimension ref="A3:L210"/>
  <sheetViews>
    <sheetView topLeftCell="D147" workbookViewId="0">
      <selection activeCell="J154" sqref="J154"/>
    </sheetView>
  </sheetViews>
  <sheetFormatPr baseColWidth="10" defaultRowHeight="15" x14ac:dyDescent="0.25"/>
  <cols>
    <col min="1" max="1" width="12.85546875" bestFit="1" customWidth="1"/>
    <col min="2" max="2" width="59.85546875" bestFit="1" customWidth="1"/>
    <col min="3" max="3" width="30.140625" bestFit="1" customWidth="1"/>
    <col min="4" max="4" width="20.5703125" bestFit="1" customWidth="1"/>
    <col min="9" max="9" width="5.140625" bestFit="1" customWidth="1"/>
    <col min="10" max="10" width="58" bestFit="1" customWidth="1"/>
    <col min="11" max="11" width="28.140625" bestFit="1" customWidth="1"/>
    <col min="12" max="12" width="18.28515625" bestFit="1" customWidth="1"/>
  </cols>
  <sheetData>
    <row r="3" spans="1:12" x14ac:dyDescent="0.25">
      <c r="A3" s="78" t="s">
        <v>295</v>
      </c>
      <c r="B3" s="78" t="s">
        <v>294</v>
      </c>
      <c r="C3" s="78" t="s">
        <v>293</v>
      </c>
      <c r="D3" s="78" t="s">
        <v>308</v>
      </c>
      <c r="I3" s="339" t="s">
        <v>295</v>
      </c>
      <c r="J3" s="339" t="s">
        <v>294</v>
      </c>
      <c r="K3" s="339" t="s">
        <v>293</v>
      </c>
      <c r="L3" s="339" t="s">
        <v>308</v>
      </c>
    </row>
    <row r="4" spans="1:12" x14ac:dyDescent="0.25">
      <c r="A4" t="s">
        <v>87</v>
      </c>
      <c r="B4" t="s">
        <v>577</v>
      </c>
      <c r="C4" t="s">
        <v>589</v>
      </c>
      <c r="D4" t="s">
        <v>678</v>
      </c>
      <c r="I4" t="s">
        <v>87</v>
      </c>
      <c r="J4" t="s">
        <v>81</v>
      </c>
      <c r="K4" t="s">
        <v>589</v>
      </c>
      <c r="L4" t="s">
        <v>678</v>
      </c>
    </row>
    <row r="5" spans="1:12" x14ac:dyDescent="0.25">
      <c r="A5" t="s">
        <v>87</v>
      </c>
      <c r="B5" t="s">
        <v>577</v>
      </c>
      <c r="C5" t="s">
        <v>593</v>
      </c>
      <c r="D5" t="s">
        <v>679</v>
      </c>
      <c r="I5" t="s">
        <v>87</v>
      </c>
      <c r="J5" t="s">
        <v>81</v>
      </c>
      <c r="K5" t="s">
        <v>593</v>
      </c>
      <c r="L5" t="s">
        <v>679</v>
      </c>
    </row>
    <row r="6" spans="1:12" x14ac:dyDescent="0.25">
      <c r="A6" t="s">
        <v>87</v>
      </c>
      <c r="B6" t="s">
        <v>577</v>
      </c>
      <c r="C6" t="s">
        <v>208</v>
      </c>
      <c r="D6" t="s">
        <v>209</v>
      </c>
      <c r="I6" t="s">
        <v>87</v>
      </c>
      <c r="J6" t="s">
        <v>81</v>
      </c>
      <c r="K6" t="s">
        <v>208</v>
      </c>
      <c r="L6" t="s">
        <v>209</v>
      </c>
    </row>
    <row r="7" spans="1:12" x14ac:dyDescent="0.25">
      <c r="A7" t="s">
        <v>87</v>
      </c>
      <c r="B7" t="s">
        <v>577</v>
      </c>
      <c r="C7" t="s">
        <v>210</v>
      </c>
      <c r="D7" t="s">
        <v>89</v>
      </c>
      <c r="I7" t="s">
        <v>87</v>
      </c>
      <c r="J7" t="s">
        <v>81</v>
      </c>
      <c r="K7" t="s">
        <v>210</v>
      </c>
      <c r="L7" t="s">
        <v>89</v>
      </c>
    </row>
    <row r="8" spans="1:12" x14ac:dyDescent="0.25">
      <c r="A8" t="s">
        <v>87</v>
      </c>
      <c r="B8" t="s">
        <v>577</v>
      </c>
      <c r="C8" t="s">
        <v>597</v>
      </c>
      <c r="D8" t="s">
        <v>680</v>
      </c>
      <c r="I8" t="s">
        <v>87</v>
      </c>
      <c r="J8" t="s">
        <v>81</v>
      </c>
      <c r="K8" t="s">
        <v>597</v>
      </c>
      <c r="L8" t="s">
        <v>680</v>
      </c>
    </row>
    <row r="9" spans="1:12" x14ac:dyDescent="0.25">
      <c r="A9" t="s">
        <v>87</v>
      </c>
      <c r="B9" t="s">
        <v>577</v>
      </c>
      <c r="C9" t="s">
        <v>255</v>
      </c>
      <c r="D9" t="s">
        <v>256</v>
      </c>
      <c r="I9" t="s">
        <v>87</v>
      </c>
      <c r="J9" t="s">
        <v>81</v>
      </c>
      <c r="K9" t="s">
        <v>255</v>
      </c>
      <c r="L9" t="s">
        <v>256</v>
      </c>
    </row>
    <row r="10" spans="1:12" x14ac:dyDescent="0.25">
      <c r="A10" t="s">
        <v>87</v>
      </c>
      <c r="B10" t="s">
        <v>577</v>
      </c>
      <c r="C10" t="s">
        <v>600</v>
      </c>
      <c r="D10" t="s">
        <v>681</v>
      </c>
      <c r="I10" t="s">
        <v>87</v>
      </c>
      <c r="J10" t="s">
        <v>81</v>
      </c>
      <c r="K10" t="s">
        <v>600</v>
      </c>
      <c r="L10" t="s">
        <v>681</v>
      </c>
    </row>
    <row r="11" spans="1:12" x14ac:dyDescent="0.25">
      <c r="A11" t="s">
        <v>87</v>
      </c>
      <c r="B11" t="s">
        <v>577</v>
      </c>
      <c r="C11" t="s">
        <v>602</v>
      </c>
      <c r="D11" t="s">
        <v>682</v>
      </c>
      <c r="I11" t="s">
        <v>87</v>
      </c>
      <c r="J11" t="s">
        <v>81</v>
      </c>
      <c r="K11" t="s">
        <v>602</v>
      </c>
      <c r="L11" t="s">
        <v>682</v>
      </c>
    </row>
    <row r="12" spans="1:12" x14ac:dyDescent="0.25">
      <c r="A12" t="s">
        <v>87</v>
      </c>
      <c r="B12" t="s">
        <v>577</v>
      </c>
      <c r="C12" t="s">
        <v>604</v>
      </c>
      <c r="D12" t="s">
        <v>683</v>
      </c>
      <c r="I12" t="s">
        <v>87</v>
      </c>
      <c r="J12" t="s">
        <v>81</v>
      </c>
      <c r="K12" t="s">
        <v>604</v>
      </c>
      <c r="L12" t="s">
        <v>683</v>
      </c>
    </row>
    <row r="13" spans="1:12" x14ac:dyDescent="0.25">
      <c r="A13" t="s">
        <v>87</v>
      </c>
      <c r="B13" t="s">
        <v>577</v>
      </c>
      <c r="C13" t="s">
        <v>606</v>
      </c>
      <c r="D13" t="s">
        <v>684</v>
      </c>
      <c r="I13" t="s">
        <v>87</v>
      </c>
      <c r="J13" t="s">
        <v>81</v>
      </c>
      <c r="K13" t="s">
        <v>606</v>
      </c>
      <c r="L13" t="s">
        <v>684</v>
      </c>
    </row>
    <row r="14" spans="1:12" hidden="1" x14ac:dyDescent="0.25">
      <c r="A14" t="s">
        <v>30</v>
      </c>
      <c r="B14" t="s">
        <v>577</v>
      </c>
      <c r="C14" t="s">
        <v>31</v>
      </c>
      <c r="D14" t="s">
        <v>32</v>
      </c>
      <c r="I14" t="s">
        <v>30</v>
      </c>
      <c r="J14" t="s">
        <v>81</v>
      </c>
      <c r="K14" t="s">
        <v>31</v>
      </c>
      <c r="L14" t="s">
        <v>32</v>
      </c>
    </row>
    <row r="15" spans="1:12" hidden="1" x14ac:dyDescent="0.25">
      <c r="A15" t="s">
        <v>30</v>
      </c>
      <c r="B15" t="s">
        <v>461</v>
      </c>
      <c r="C15" t="s">
        <v>46</v>
      </c>
      <c r="D15" t="s">
        <v>47</v>
      </c>
      <c r="I15" t="s">
        <v>30</v>
      </c>
      <c r="J15" t="s">
        <v>45</v>
      </c>
      <c r="K15" t="s">
        <v>46</v>
      </c>
      <c r="L15" t="s">
        <v>47</v>
      </c>
    </row>
    <row r="16" spans="1:12" hidden="1" x14ac:dyDescent="0.25">
      <c r="A16" t="s">
        <v>30</v>
      </c>
      <c r="B16" t="s">
        <v>461</v>
      </c>
      <c r="C16" t="s">
        <v>189</v>
      </c>
      <c r="D16" t="s">
        <v>190</v>
      </c>
      <c r="I16" t="s">
        <v>30</v>
      </c>
      <c r="J16" t="s">
        <v>45</v>
      </c>
      <c r="K16" t="s">
        <v>189</v>
      </c>
      <c r="L16" t="s">
        <v>190</v>
      </c>
    </row>
    <row r="17" spans="1:12" hidden="1" x14ac:dyDescent="0.25">
      <c r="A17" t="s">
        <v>30</v>
      </c>
      <c r="B17" t="s">
        <v>461</v>
      </c>
      <c r="C17" t="s">
        <v>64</v>
      </c>
      <c r="D17" t="s">
        <v>65</v>
      </c>
      <c r="I17" t="s">
        <v>30</v>
      </c>
      <c r="J17" t="s">
        <v>45</v>
      </c>
      <c r="K17" t="s">
        <v>64</v>
      </c>
      <c r="L17" t="s">
        <v>65</v>
      </c>
    </row>
    <row r="18" spans="1:12" hidden="1" x14ac:dyDescent="0.25">
      <c r="A18" t="s">
        <v>30</v>
      </c>
      <c r="B18" t="s">
        <v>461</v>
      </c>
      <c r="C18" t="s">
        <v>77</v>
      </c>
      <c r="D18" t="s">
        <v>78</v>
      </c>
      <c r="I18" t="s">
        <v>30</v>
      </c>
      <c r="J18" t="s">
        <v>45</v>
      </c>
      <c r="K18" t="s">
        <v>77</v>
      </c>
      <c r="L18" t="s">
        <v>78</v>
      </c>
    </row>
    <row r="19" spans="1:12" hidden="1" x14ac:dyDescent="0.25">
      <c r="A19" t="s">
        <v>30</v>
      </c>
      <c r="B19" t="s">
        <v>461</v>
      </c>
      <c r="C19" t="s">
        <v>466</v>
      </c>
      <c r="D19" t="s">
        <v>754</v>
      </c>
      <c r="I19" t="s">
        <v>30</v>
      </c>
      <c r="J19" t="s">
        <v>45</v>
      </c>
      <c r="K19" t="s">
        <v>466</v>
      </c>
      <c r="L19" t="s">
        <v>754</v>
      </c>
    </row>
    <row r="20" spans="1:12" hidden="1" x14ac:dyDescent="0.25">
      <c r="A20" t="s">
        <v>30</v>
      </c>
      <c r="B20" t="s">
        <v>461</v>
      </c>
      <c r="C20" t="s">
        <v>132</v>
      </c>
      <c r="D20" t="s">
        <v>133</v>
      </c>
      <c r="I20" t="s">
        <v>30</v>
      </c>
      <c r="J20" t="s">
        <v>45</v>
      </c>
      <c r="K20" t="s">
        <v>132</v>
      </c>
      <c r="L20" t="s">
        <v>133</v>
      </c>
    </row>
    <row r="21" spans="1:12" hidden="1" x14ac:dyDescent="0.25">
      <c r="A21" t="s">
        <v>30</v>
      </c>
      <c r="B21" t="s">
        <v>461</v>
      </c>
      <c r="C21" t="s">
        <v>166</v>
      </c>
      <c r="D21" t="s">
        <v>167</v>
      </c>
      <c r="I21" t="s">
        <v>30</v>
      </c>
      <c r="J21" t="s">
        <v>45</v>
      </c>
      <c r="K21" t="s">
        <v>166</v>
      </c>
      <c r="L21" t="s">
        <v>167</v>
      </c>
    </row>
    <row r="22" spans="1:12" hidden="1" x14ac:dyDescent="0.25">
      <c r="A22" t="s">
        <v>30</v>
      </c>
      <c r="B22" t="s">
        <v>461</v>
      </c>
      <c r="C22" t="s">
        <v>172</v>
      </c>
      <c r="D22" t="s">
        <v>173</v>
      </c>
      <c r="I22" t="s">
        <v>30</v>
      </c>
      <c r="J22" t="s">
        <v>45</v>
      </c>
      <c r="K22" t="s">
        <v>172</v>
      </c>
      <c r="L22" t="s">
        <v>173</v>
      </c>
    </row>
    <row r="23" spans="1:12" hidden="1" x14ac:dyDescent="0.25">
      <c r="A23" t="s">
        <v>30</v>
      </c>
      <c r="B23" t="s">
        <v>48</v>
      </c>
      <c r="C23" t="s">
        <v>186</v>
      </c>
      <c r="D23" t="s">
        <v>187</v>
      </c>
      <c r="I23" t="s">
        <v>30</v>
      </c>
      <c r="J23" t="s">
        <v>48</v>
      </c>
      <c r="K23" t="s">
        <v>186</v>
      </c>
      <c r="L23" t="s">
        <v>187</v>
      </c>
    </row>
    <row r="24" spans="1:12" hidden="1" x14ac:dyDescent="0.25">
      <c r="A24" t="s">
        <v>30</v>
      </c>
      <c r="B24" t="s">
        <v>48</v>
      </c>
      <c r="C24" t="s">
        <v>48</v>
      </c>
      <c r="D24" t="s">
        <v>94</v>
      </c>
      <c r="I24" t="s">
        <v>30</v>
      </c>
      <c r="J24" t="s">
        <v>48</v>
      </c>
      <c r="K24" t="s">
        <v>48</v>
      </c>
      <c r="L24" t="s">
        <v>94</v>
      </c>
    </row>
    <row r="25" spans="1:12" hidden="1" x14ac:dyDescent="0.25">
      <c r="A25" t="s">
        <v>30</v>
      </c>
      <c r="B25" t="s">
        <v>48</v>
      </c>
      <c r="C25" t="s">
        <v>330</v>
      </c>
      <c r="D25" t="s">
        <v>94</v>
      </c>
      <c r="I25" t="s">
        <v>30</v>
      </c>
      <c r="J25" t="s">
        <v>48</v>
      </c>
      <c r="K25" t="s">
        <v>330</v>
      </c>
      <c r="L25" t="s">
        <v>94</v>
      </c>
    </row>
    <row r="26" spans="1:12" hidden="1" x14ac:dyDescent="0.25">
      <c r="A26" t="s">
        <v>30</v>
      </c>
      <c r="B26" t="s">
        <v>48</v>
      </c>
      <c r="C26" t="s">
        <v>141</v>
      </c>
      <c r="D26" t="s">
        <v>142</v>
      </c>
      <c r="I26" t="s">
        <v>30</v>
      </c>
      <c r="J26" t="s">
        <v>48</v>
      </c>
      <c r="K26" t="s">
        <v>141</v>
      </c>
      <c r="L26" t="s">
        <v>142</v>
      </c>
    </row>
    <row r="27" spans="1:12" hidden="1" x14ac:dyDescent="0.25">
      <c r="A27" t="s">
        <v>30</v>
      </c>
      <c r="B27" t="s">
        <v>48</v>
      </c>
      <c r="C27" t="s">
        <v>174</v>
      </c>
      <c r="D27" t="s">
        <v>175</v>
      </c>
      <c r="I27" t="s">
        <v>30</v>
      </c>
      <c r="J27" t="s">
        <v>48</v>
      </c>
      <c r="K27" t="s">
        <v>174</v>
      </c>
      <c r="L27" t="s">
        <v>175</v>
      </c>
    </row>
    <row r="28" spans="1:12" x14ac:dyDescent="0.25">
      <c r="A28" t="s">
        <v>177</v>
      </c>
      <c r="B28" t="s">
        <v>577</v>
      </c>
      <c r="C28" t="s">
        <v>211</v>
      </c>
      <c r="D28" t="s">
        <v>212</v>
      </c>
      <c r="I28" t="s">
        <v>177</v>
      </c>
      <c r="J28" t="s">
        <v>81</v>
      </c>
      <c r="K28" t="s">
        <v>211</v>
      </c>
      <c r="L28" t="s">
        <v>212</v>
      </c>
    </row>
    <row r="29" spans="1:12" x14ac:dyDescent="0.25">
      <c r="A29" t="s">
        <v>177</v>
      </c>
      <c r="B29" t="s">
        <v>577</v>
      </c>
      <c r="C29" t="s">
        <v>182</v>
      </c>
      <c r="D29" t="s">
        <v>183</v>
      </c>
      <c r="I29" t="s">
        <v>177</v>
      </c>
      <c r="J29" t="s">
        <v>81</v>
      </c>
      <c r="K29" t="s">
        <v>182</v>
      </c>
      <c r="L29" t="s">
        <v>183</v>
      </c>
    </row>
    <row r="30" spans="1:12" x14ac:dyDescent="0.25">
      <c r="A30" t="s">
        <v>177</v>
      </c>
      <c r="B30" t="s">
        <v>577</v>
      </c>
      <c r="C30" t="s">
        <v>213</v>
      </c>
      <c r="D30" t="s">
        <v>214</v>
      </c>
      <c r="I30" t="s">
        <v>177</v>
      </c>
      <c r="J30" t="s">
        <v>81</v>
      </c>
      <c r="K30" t="s">
        <v>213</v>
      </c>
      <c r="L30" t="s">
        <v>214</v>
      </c>
    </row>
    <row r="31" spans="1:12" x14ac:dyDescent="0.25">
      <c r="A31" t="s">
        <v>177</v>
      </c>
      <c r="B31" t="s">
        <v>577</v>
      </c>
      <c r="C31" t="s">
        <v>215</v>
      </c>
      <c r="D31" t="s">
        <v>216</v>
      </c>
      <c r="I31" t="s">
        <v>177</v>
      </c>
      <c r="J31" t="s">
        <v>81</v>
      </c>
      <c r="K31" t="s">
        <v>215</v>
      </c>
      <c r="L31" t="s">
        <v>216</v>
      </c>
    </row>
    <row r="32" spans="1:12" x14ac:dyDescent="0.25">
      <c r="A32" t="s">
        <v>177</v>
      </c>
      <c r="B32" t="s">
        <v>577</v>
      </c>
      <c r="C32" t="s">
        <v>217</v>
      </c>
      <c r="D32" t="s">
        <v>218</v>
      </c>
      <c r="I32" t="s">
        <v>177</v>
      </c>
      <c r="J32" t="s">
        <v>81</v>
      </c>
      <c r="K32" t="s">
        <v>217</v>
      </c>
      <c r="L32" t="s">
        <v>218</v>
      </c>
    </row>
    <row r="33" spans="1:12" x14ac:dyDescent="0.25">
      <c r="A33" t="s">
        <v>177</v>
      </c>
      <c r="B33" t="s">
        <v>577</v>
      </c>
      <c r="C33" t="s">
        <v>219</v>
      </c>
      <c r="D33" t="s">
        <v>220</v>
      </c>
      <c r="I33" t="s">
        <v>177</v>
      </c>
      <c r="J33" t="s">
        <v>81</v>
      </c>
      <c r="K33" t="s">
        <v>219</v>
      </c>
      <c r="L33" t="s">
        <v>220</v>
      </c>
    </row>
    <row r="34" spans="1:12" x14ac:dyDescent="0.25">
      <c r="A34" t="s">
        <v>177</v>
      </c>
      <c r="B34" t="s">
        <v>577</v>
      </c>
      <c r="C34" t="s">
        <v>178</v>
      </c>
      <c r="D34" t="s">
        <v>179</v>
      </c>
      <c r="I34" t="s">
        <v>177</v>
      </c>
      <c r="J34" t="s">
        <v>81</v>
      </c>
      <c r="K34" t="s">
        <v>178</v>
      </c>
      <c r="L34" t="s">
        <v>179</v>
      </c>
    </row>
    <row r="35" spans="1:12" x14ac:dyDescent="0.25">
      <c r="A35" t="s">
        <v>177</v>
      </c>
      <c r="B35" t="s">
        <v>577</v>
      </c>
      <c r="C35" t="s">
        <v>221</v>
      </c>
      <c r="D35" t="s">
        <v>222</v>
      </c>
      <c r="I35" t="s">
        <v>177</v>
      </c>
      <c r="J35" t="s">
        <v>81</v>
      </c>
      <c r="K35" t="s">
        <v>221</v>
      </c>
      <c r="L35" t="s">
        <v>222</v>
      </c>
    </row>
    <row r="36" spans="1:12" x14ac:dyDescent="0.25">
      <c r="A36" t="s">
        <v>58</v>
      </c>
      <c r="B36" t="s">
        <v>543</v>
      </c>
      <c r="C36" t="s">
        <v>542</v>
      </c>
      <c r="D36" t="s">
        <v>701</v>
      </c>
      <c r="I36" t="s">
        <v>58</v>
      </c>
      <c r="J36" t="s">
        <v>858</v>
      </c>
      <c r="K36" t="s">
        <v>542</v>
      </c>
      <c r="L36" t="s">
        <v>701</v>
      </c>
    </row>
    <row r="37" spans="1:12" x14ac:dyDescent="0.25">
      <c r="A37" t="s">
        <v>58</v>
      </c>
      <c r="B37" t="s">
        <v>543</v>
      </c>
      <c r="C37" t="s">
        <v>545</v>
      </c>
      <c r="D37" t="s">
        <v>702</v>
      </c>
      <c r="I37" t="s">
        <v>58</v>
      </c>
      <c r="J37" t="s">
        <v>858</v>
      </c>
      <c r="K37" t="s">
        <v>545</v>
      </c>
      <c r="L37" t="s">
        <v>702</v>
      </c>
    </row>
    <row r="38" spans="1:12" x14ac:dyDescent="0.25">
      <c r="A38" t="s">
        <v>58</v>
      </c>
      <c r="B38" t="s">
        <v>543</v>
      </c>
      <c r="C38" t="s">
        <v>546</v>
      </c>
      <c r="D38" t="s">
        <v>703</v>
      </c>
      <c r="I38" t="s">
        <v>58</v>
      </c>
      <c r="J38" t="s">
        <v>858</v>
      </c>
      <c r="K38" t="s">
        <v>546</v>
      </c>
      <c r="L38" t="s">
        <v>703</v>
      </c>
    </row>
    <row r="39" spans="1:12" x14ac:dyDescent="0.25">
      <c r="A39" t="s">
        <v>58</v>
      </c>
      <c r="B39" t="s">
        <v>543</v>
      </c>
      <c r="C39" t="s">
        <v>229</v>
      </c>
      <c r="D39" t="s">
        <v>230</v>
      </c>
      <c r="I39" t="s">
        <v>58</v>
      </c>
      <c r="J39" t="s">
        <v>858</v>
      </c>
      <c r="K39" t="s">
        <v>229</v>
      </c>
      <c r="L39" t="s">
        <v>230</v>
      </c>
    </row>
    <row r="40" spans="1:12" x14ac:dyDescent="0.25">
      <c r="A40" t="s">
        <v>58</v>
      </c>
      <c r="B40" t="s">
        <v>543</v>
      </c>
      <c r="C40" t="s">
        <v>223</v>
      </c>
      <c r="D40" t="s">
        <v>224</v>
      </c>
      <c r="I40" t="s">
        <v>58</v>
      </c>
      <c r="J40" t="s">
        <v>858</v>
      </c>
      <c r="K40" t="s">
        <v>223</v>
      </c>
      <c r="L40" t="s">
        <v>224</v>
      </c>
    </row>
    <row r="41" spans="1:12" x14ac:dyDescent="0.25">
      <c r="A41" t="s">
        <v>58</v>
      </c>
      <c r="B41" t="s">
        <v>543</v>
      </c>
      <c r="C41" t="s">
        <v>225</v>
      </c>
      <c r="D41" t="s">
        <v>226</v>
      </c>
      <c r="I41" t="s">
        <v>58</v>
      </c>
      <c r="J41" t="s">
        <v>858</v>
      </c>
      <c r="K41" t="s">
        <v>225</v>
      </c>
      <c r="L41" t="s">
        <v>226</v>
      </c>
    </row>
    <row r="42" spans="1:12" x14ac:dyDescent="0.25">
      <c r="A42" t="s">
        <v>58</v>
      </c>
      <c r="B42" t="s">
        <v>543</v>
      </c>
      <c r="C42" t="s">
        <v>548</v>
      </c>
      <c r="D42" t="s">
        <v>704</v>
      </c>
      <c r="I42" t="s">
        <v>58</v>
      </c>
      <c r="J42" t="s">
        <v>858</v>
      </c>
      <c r="K42" t="s">
        <v>548</v>
      </c>
      <c r="L42" t="s">
        <v>704</v>
      </c>
    </row>
    <row r="43" spans="1:12" x14ac:dyDescent="0.25">
      <c r="A43" t="s">
        <v>58</v>
      </c>
      <c r="B43" t="s">
        <v>543</v>
      </c>
      <c r="C43" t="s">
        <v>59</v>
      </c>
      <c r="D43" t="s">
        <v>60</v>
      </c>
      <c r="I43" t="s">
        <v>58</v>
      </c>
      <c r="J43" t="s">
        <v>858</v>
      </c>
      <c r="K43" t="s">
        <v>59</v>
      </c>
      <c r="L43" t="s">
        <v>60</v>
      </c>
    </row>
    <row r="44" spans="1:12" x14ac:dyDescent="0.25">
      <c r="A44" t="s">
        <v>58</v>
      </c>
      <c r="B44" t="s">
        <v>543</v>
      </c>
      <c r="C44" t="s">
        <v>551</v>
      </c>
      <c r="D44" t="s">
        <v>705</v>
      </c>
      <c r="I44" t="s">
        <v>58</v>
      </c>
      <c r="J44" t="s">
        <v>858</v>
      </c>
      <c r="K44" t="s">
        <v>551</v>
      </c>
      <c r="L44" t="s">
        <v>705</v>
      </c>
    </row>
    <row r="45" spans="1:12" x14ac:dyDescent="0.25">
      <c r="A45" t="s">
        <v>58</v>
      </c>
      <c r="B45" t="s">
        <v>543</v>
      </c>
      <c r="C45" t="s">
        <v>552</v>
      </c>
      <c r="D45" t="s">
        <v>706</v>
      </c>
      <c r="I45" t="s">
        <v>58</v>
      </c>
      <c r="J45" t="s">
        <v>858</v>
      </c>
      <c r="K45" t="s">
        <v>552</v>
      </c>
      <c r="L45" t="s">
        <v>706</v>
      </c>
    </row>
    <row r="46" spans="1:12" x14ac:dyDescent="0.25">
      <c r="A46" t="s">
        <v>58</v>
      </c>
      <c r="B46" t="s">
        <v>543</v>
      </c>
      <c r="C46" t="s">
        <v>553</v>
      </c>
      <c r="D46" t="s">
        <v>707</v>
      </c>
      <c r="I46" t="s">
        <v>58</v>
      </c>
      <c r="J46" t="s">
        <v>858</v>
      </c>
      <c r="K46" t="s">
        <v>553</v>
      </c>
      <c r="L46" t="s">
        <v>707</v>
      </c>
    </row>
    <row r="47" spans="1:12" x14ac:dyDescent="0.25">
      <c r="A47" t="s">
        <v>58</v>
      </c>
      <c r="B47" t="s">
        <v>543</v>
      </c>
      <c r="C47" t="s">
        <v>554</v>
      </c>
      <c r="D47" t="s">
        <v>708</v>
      </c>
      <c r="I47" t="s">
        <v>58</v>
      </c>
      <c r="J47" t="s">
        <v>858</v>
      </c>
      <c r="K47" t="s">
        <v>554</v>
      </c>
      <c r="L47" t="s">
        <v>708</v>
      </c>
    </row>
    <row r="48" spans="1:12" x14ac:dyDescent="0.25">
      <c r="A48" t="s">
        <v>58</v>
      </c>
      <c r="B48" t="s">
        <v>543</v>
      </c>
      <c r="C48" t="s">
        <v>555</v>
      </c>
      <c r="D48" t="s">
        <v>709</v>
      </c>
      <c r="I48" t="s">
        <v>58</v>
      </c>
      <c r="J48" t="s">
        <v>858</v>
      </c>
      <c r="K48" t="s">
        <v>555</v>
      </c>
      <c r="L48" t="s">
        <v>709</v>
      </c>
    </row>
    <row r="49" spans="1:12" x14ac:dyDescent="0.25">
      <c r="A49" t="s">
        <v>58</v>
      </c>
      <c r="B49" t="s">
        <v>543</v>
      </c>
      <c r="C49" t="s">
        <v>556</v>
      </c>
      <c r="D49" t="s">
        <v>710</v>
      </c>
      <c r="I49" t="s">
        <v>58</v>
      </c>
      <c r="J49" t="s">
        <v>858</v>
      </c>
      <c r="K49" t="s">
        <v>556</v>
      </c>
      <c r="L49" t="s">
        <v>710</v>
      </c>
    </row>
    <row r="50" spans="1:12" x14ac:dyDescent="0.25">
      <c r="A50" t="s">
        <v>58</v>
      </c>
      <c r="B50" t="s">
        <v>543</v>
      </c>
      <c r="C50" t="s">
        <v>557</v>
      </c>
      <c r="D50" t="s">
        <v>711</v>
      </c>
      <c r="I50" t="s">
        <v>58</v>
      </c>
      <c r="J50" t="s">
        <v>858</v>
      </c>
      <c r="K50" t="s">
        <v>557</v>
      </c>
      <c r="L50" t="s">
        <v>711</v>
      </c>
    </row>
    <row r="51" spans="1:12" x14ac:dyDescent="0.25">
      <c r="A51" t="s">
        <v>58</v>
      </c>
      <c r="B51" t="s">
        <v>543</v>
      </c>
      <c r="C51" t="s">
        <v>559</v>
      </c>
      <c r="D51" t="s">
        <v>712</v>
      </c>
      <c r="I51" t="s">
        <v>58</v>
      </c>
      <c r="J51" t="s">
        <v>858</v>
      </c>
      <c r="K51" t="s">
        <v>559</v>
      </c>
      <c r="L51" t="s">
        <v>712</v>
      </c>
    </row>
    <row r="52" spans="1:12" x14ac:dyDescent="0.25">
      <c r="A52" t="s">
        <v>58</v>
      </c>
      <c r="B52" t="s">
        <v>543</v>
      </c>
      <c r="C52" t="s">
        <v>119</v>
      </c>
      <c r="D52" t="s">
        <v>120</v>
      </c>
      <c r="I52" t="s">
        <v>58</v>
      </c>
      <c r="J52" t="s">
        <v>858</v>
      </c>
      <c r="K52" t="s">
        <v>119</v>
      </c>
      <c r="L52" t="s">
        <v>120</v>
      </c>
    </row>
    <row r="53" spans="1:12" x14ac:dyDescent="0.25">
      <c r="A53" t="s">
        <v>58</v>
      </c>
      <c r="B53" t="s">
        <v>543</v>
      </c>
      <c r="C53" t="s">
        <v>227</v>
      </c>
      <c r="D53" t="s">
        <v>228</v>
      </c>
      <c r="I53" t="s">
        <v>58</v>
      </c>
      <c r="J53" t="s">
        <v>858</v>
      </c>
      <c r="K53" t="s">
        <v>227</v>
      </c>
      <c r="L53" t="s">
        <v>228</v>
      </c>
    </row>
    <row r="54" spans="1:12" x14ac:dyDescent="0.25">
      <c r="A54" t="s">
        <v>58</v>
      </c>
      <c r="B54" t="s">
        <v>543</v>
      </c>
      <c r="C54" t="s">
        <v>563</v>
      </c>
      <c r="D54" t="s">
        <v>134</v>
      </c>
      <c r="I54" t="s">
        <v>58</v>
      </c>
      <c r="J54" t="s">
        <v>858</v>
      </c>
      <c r="K54" t="s">
        <v>563</v>
      </c>
      <c r="L54" t="s">
        <v>134</v>
      </c>
    </row>
    <row r="55" spans="1:12" x14ac:dyDescent="0.25">
      <c r="A55" t="s">
        <v>58</v>
      </c>
      <c r="B55" t="s">
        <v>543</v>
      </c>
      <c r="C55" t="s">
        <v>564</v>
      </c>
      <c r="D55" t="s">
        <v>713</v>
      </c>
      <c r="I55" t="s">
        <v>58</v>
      </c>
      <c r="J55" t="s">
        <v>858</v>
      </c>
      <c r="K55" t="s">
        <v>564</v>
      </c>
      <c r="L55" t="s">
        <v>713</v>
      </c>
    </row>
    <row r="56" spans="1:12" x14ac:dyDescent="0.25">
      <c r="A56" t="s">
        <v>58</v>
      </c>
      <c r="B56" t="s">
        <v>543</v>
      </c>
      <c r="C56" t="s">
        <v>566</v>
      </c>
      <c r="D56" t="s">
        <v>714</v>
      </c>
      <c r="I56" t="s">
        <v>58</v>
      </c>
      <c r="J56" t="s">
        <v>858</v>
      </c>
      <c r="K56" t="s">
        <v>566</v>
      </c>
      <c r="L56" t="s">
        <v>714</v>
      </c>
    </row>
    <row r="57" spans="1:12" x14ac:dyDescent="0.25">
      <c r="A57" t="s">
        <v>58</v>
      </c>
      <c r="B57" t="s">
        <v>543</v>
      </c>
      <c r="C57" t="s">
        <v>568</v>
      </c>
      <c r="D57" t="s">
        <v>715</v>
      </c>
      <c r="I57" t="s">
        <v>58</v>
      </c>
      <c r="J57" t="s">
        <v>858</v>
      </c>
      <c r="K57" t="s">
        <v>568</v>
      </c>
      <c r="L57" t="s">
        <v>715</v>
      </c>
    </row>
    <row r="58" spans="1:12" x14ac:dyDescent="0.25">
      <c r="A58" t="s">
        <v>58</v>
      </c>
      <c r="B58" t="s">
        <v>543</v>
      </c>
      <c r="C58" t="s">
        <v>570</v>
      </c>
      <c r="D58" t="s">
        <v>716</v>
      </c>
      <c r="I58" t="s">
        <v>58</v>
      </c>
      <c r="J58" t="s">
        <v>858</v>
      </c>
      <c r="K58" t="s">
        <v>570</v>
      </c>
      <c r="L58" t="s">
        <v>716</v>
      </c>
    </row>
    <row r="59" spans="1:12" x14ac:dyDescent="0.25">
      <c r="A59" t="s">
        <v>58</v>
      </c>
      <c r="B59" t="s">
        <v>543</v>
      </c>
      <c r="C59" t="s">
        <v>571</v>
      </c>
      <c r="D59" t="s">
        <v>717</v>
      </c>
      <c r="I59" t="s">
        <v>58</v>
      </c>
      <c r="J59" t="s">
        <v>858</v>
      </c>
      <c r="K59" t="s">
        <v>571</v>
      </c>
      <c r="L59" t="s">
        <v>717</v>
      </c>
    </row>
    <row r="60" spans="1:12" x14ac:dyDescent="0.25">
      <c r="A60" t="s">
        <v>58</v>
      </c>
      <c r="B60" t="s">
        <v>543</v>
      </c>
      <c r="C60" t="s">
        <v>168</v>
      </c>
      <c r="D60" t="s">
        <v>169</v>
      </c>
      <c r="I60" t="s">
        <v>58</v>
      </c>
      <c r="J60" t="s">
        <v>858</v>
      </c>
      <c r="K60" t="s">
        <v>168</v>
      </c>
      <c r="L60" t="s">
        <v>169</v>
      </c>
    </row>
    <row r="61" spans="1:12" x14ac:dyDescent="0.25">
      <c r="A61" t="s">
        <v>58</v>
      </c>
      <c r="B61" t="s">
        <v>496</v>
      </c>
      <c r="C61" t="s">
        <v>495</v>
      </c>
      <c r="D61" t="s">
        <v>743</v>
      </c>
      <c r="I61" t="s">
        <v>58</v>
      </c>
      <c r="J61" t="s">
        <v>85</v>
      </c>
      <c r="K61" t="s">
        <v>495</v>
      </c>
      <c r="L61" t="s">
        <v>743</v>
      </c>
    </row>
    <row r="62" spans="1:12" x14ac:dyDescent="0.25">
      <c r="A62" t="s">
        <v>58</v>
      </c>
      <c r="B62" t="s">
        <v>496</v>
      </c>
      <c r="C62" t="s">
        <v>85</v>
      </c>
      <c r="D62" t="s">
        <v>86</v>
      </c>
      <c r="I62" t="s">
        <v>58</v>
      </c>
      <c r="J62" t="s">
        <v>85</v>
      </c>
      <c r="K62" t="s">
        <v>85</v>
      </c>
      <c r="L62" t="s">
        <v>86</v>
      </c>
    </row>
    <row r="63" spans="1:12" x14ac:dyDescent="0.25">
      <c r="A63" t="s">
        <v>90</v>
      </c>
      <c r="B63" t="s">
        <v>480</v>
      </c>
      <c r="C63" t="s">
        <v>479</v>
      </c>
      <c r="D63" t="s">
        <v>749</v>
      </c>
      <c r="I63" t="s">
        <v>90</v>
      </c>
      <c r="J63" t="s">
        <v>91</v>
      </c>
      <c r="K63" t="s">
        <v>479</v>
      </c>
      <c r="L63" t="s">
        <v>749</v>
      </c>
    </row>
    <row r="64" spans="1:12" x14ac:dyDescent="0.25">
      <c r="A64" t="s">
        <v>90</v>
      </c>
      <c r="B64" t="s">
        <v>480</v>
      </c>
      <c r="C64" t="s">
        <v>231</v>
      </c>
      <c r="D64" t="s">
        <v>232</v>
      </c>
      <c r="I64" t="s">
        <v>90</v>
      </c>
      <c r="J64" t="s">
        <v>91</v>
      </c>
      <c r="K64" t="s">
        <v>231</v>
      </c>
      <c r="L64" t="s">
        <v>232</v>
      </c>
    </row>
    <row r="65" spans="1:12" x14ac:dyDescent="0.25">
      <c r="A65" t="s">
        <v>90</v>
      </c>
      <c r="B65" t="s">
        <v>480</v>
      </c>
      <c r="C65" t="s">
        <v>484</v>
      </c>
      <c r="D65" t="s">
        <v>750</v>
      </c>
      <c r="I65" t="s">
        <v>90</v>
      </c>
      <c r="J65" t="s">
        <v>91</v>
      </c>
      <c r="K65" t="s">
        <v>484</v>
      </c>
      <c r="L65" t="s">
        <v>750</v>
      </c>
    </row>
    <row r="66" spans="1:12" x14ac:dyDescent="0.25">
      <c r="A66" t="s">
        <v>90</v>
      </c>
      <c r="B66" t="s">
        <v>480</v>
      </c>
      <c r="C66" t="s">
        <v>233</v>
      </c>
      <c r="D66" t="s">
        <v>234</v>
      </c>
      <c r="I66" t="s">
        <v>90</v>
      </c>
      <c r="J66" t="s">
        <v>91</v>
      </c>
      <c r="K66" t="s">
        <v>233</v>
      </c>
      <c r="L66" t="s">
        <v>234</v>
      </c>
    </row>
    <row r="67" spans="1:12" x14ac:dyDescent="0.25">
      <c r="A67" t="s">
        <v>90</v>
      </c>
      <c r="B67" t="s">
        <v>480</v>
      </c>
      <c r="C67" t="s">
        <v>235</v>
      </c>
      <c r="D67" t="s">
        <v>236</v>
      </c>
      <c r="I67" t="s">
        <v>90</v>
      </c>
      <c r="J67" t="s">
        <v>91</v>
      </c>
      <c r="K67" t="s">
        <v>235</v>
      </c>
      <c r="L67" t="s">
        <v>236</v>
      </c>
    </row>
    <row r="68" spans="1:12" x14ac:dyDescent="0.25">
      <c r="A68" t="s">
        <v>90</v>
      </c>
      <c r="B68" t="s">
        <v>480</v>
      </c>
      <c r="C68" t="s">
        <v>237</v>
      </c>
      <c r="D68" t="s">
        <v>238</v>
      </c>
      <c r="I68" t="s">
        <v>90</v>
      </c>
      <c r="J68" t="s">
        <v>91</v>
      </c>
      <c r="K68" t="s">
        <v>237</v>
      </c>
      <c r="L68" t="s">
        <v>238</v>
      </c>
    </row>
    <row r="69" spans="1:12" x14ac:dyDescent="0.25">
      <c r="A69" t="s">
        <v>90</v>
      </c>
      <c r="B69" t="s">
        <v>480</v>
      </c>
      <c r="C69" t="s">
        <v>91</v>
      </c>
      <c r="D69" t="s">
        <v>92</v>
      </c>
      <c r="I69" t="s">
        <v>90</v>
      </c>
      <c r="J69" t="s">
        <v>91</v>
      </c>
      <c r="K69" t="s">
        <v>91</v>
      </c>
      <c r="L69" t="s">
        <v>92</v>
      </c>
    </row>
    <row r="70" spans="1:12" x14ac:dyDescent="0.25">
      <c r="A70" t="s">
        <v>90</v>
      </c>
      <c r="B70" t="s">
        <v>480</v>
      </c>
      <c r="C70" t="s">
        <v>475</v>
      </c>
      <c r="D70" t="s">
        <v>147</v>
      </c>
      <c r="I70" t="s">
        <v>90</v>
      </c>
      <c r="J70" t="s">
        <v>91</v>
      </c>
      <c r="K70" t="s">
        <v>475</v>
      </c>
      <c r="L70" t="s">
        <v>147</v>
      </c>
    </row>
    <row r="71" spans="1:12" x14ac:dyDescent="0.25">
      <c r="A71" t="s">
        <v>90</v>
      </c>
      <c r="B71" t="s">
        <v>480</v>
      </c>
      <c r="C71" t="s">
        <v>489</v>
      </c>
      <c r="D71" t="s">
        <v>751</v>
      </c>
      <c r="I71" t="s">
        <v>90</v>
      </c>
      <c r="J71" t="s">
        <v>91</v>
      </c>
      <c r="K71" t="s">
        <v>489</v>
      </c>
      <c r="L71" t="s">
        <v>751</v>
      </c>
    </row>
    <row r="72" spans="1:12" x14ac:dyDescent="0.25">
      <c r="A72" t="s">
        <v>90</v>
      </c>
      <c r="B72" t="s">
        <v>480</v>
      </c>
      <c r="C72" t="s">
        <v>239</v>
      </c>
      <c r="D72" t="s">
        <v>240</v>
      </c>
      <c r="I72" t="s">
        <v>90</v>
      </c>
      <c r="J72" t="s">
        <v>91</v>
      </c>
      <c r="K72" t="s">
        <v>239</v>
      </c>
      <c r="L72" t="s">
        <v>240</v>
      </c>
    </row>
    <row r="73" spans="1:12" x14ac:dyDescent="0.25">
      <c r="A73" t="s">
        <v>90</v>
      </c>
      <c r="B73" t="s">
        <v>480</v>
      </c>
      <c r="C73" t="s">
        <v>491</v>
      </c>
      <c r="D73" t="s">
        <v>752</v>
      </c>
      <c r="I73" t="s">
        <v>90</v>
      </c>
      <c r="J73" t="s">
        <v>91</v>
      </c>
      <c r="K73" t="s">
        <v>491</v>
      </c>
      <c r="L73" t="s">
        <v>752</v>
      </c>
    </row>
    <row r="74" spans="1:12" x14ac:dyDescent="0.25">
      <c r="A74" t="s">
        <v>90</v>
      </c>
      <c r="B74" t="s">
        <v>480</v>
      </c>
      <c r="C74" t="s">
        <v>146</v>
      </c>
      <c r="D74" t="s">
        <v>147</v>
      </c>
      <c r="I74" t="s">
        <v>90</v>
      </c>
      <c r="J74" t="s">
        <v>91</v>
      </c>
      <c r="K74" t="s">
        <v>146</v>
      </c>
      <c r="L74" t="s">
        <v>147</v>
      </c>
    </row>
    <row r="75" spans="1:12" x14ac:dyDescent="0.25">
      <c r="A75" t="s">
        <v>90</v>
      </c>
      <c r="B75" t="s">
        <v>480</v>
      </c>
      <c r="C75" t="s">
        <v>493</v>
      </c>
      <c r="D75" t="s">
        <v>753</v>
      </c>
      <c r="I75" t="s">
        <v>90</v>
      </c>
      <c r="J75" t="s">
        <v>91</v>
      </c>
      <c r="K75" t="s">
        <v>493</v>
      </c>
      <c r="L75" t="s">
        <v>753</v>
      </c>
    </row>
    <row r="76" spans="1:12" x14ac:dyDescent="0.25">
      <c r="A76" t="s">
        <v>90</v>
      </c>
      <c r="B76" t="s">
        <v>450</v>
      </c>
      <c r="C76" t="s">
        <v>136</v>
      </c>
      <c r="D76" t="s">
        <v>137</v>
      </c>
      <c r="I76" t="s">
        <v>90</v>
      </c>
      <c r="J76" t="s">
        <v>135</v>
      </c>
      <c r="K76" t="s">
        <v>136</v>
      </c>
      <c r="L76" t="s">
        <v>137</v>
      </c>
    </row>
    <row r="77" spans="1:12" x14ac:dyDescent="0.25">
      <c r="A77" t="s">
        <v>90</v>
      </c>
      <c r="B77" t="s">
        <v>450</v>
      </c>
      <c r="C77" t="s">
        <v>241</v>
      </c>
      <c r="D77" t="s">
        <v>242</v>
      </c>
      <c r="I77" t="s">
        <v>90</v>
      </c>
      <c r="J77" t="s">
        <v>135</v>
      </c>
      <c r="K77" t="s">
        <v>241</v>
      </c>
      <c r="L77" t="s">
        <v>242</v>
      </c>
    </row>
    <row r="78" spans="1:12" x14ac:dyDescent="0.25">
      <c r="A78" t="s">
        <v>90</v>
      </c>
      <c r="B78" t="s">
        <v>450</v>
      </c>
      <c r="C78" t="s">
        <v>453</v>
      </c>
      <c r="D78" t="s">
        <v>778</v>
      </c>
      <c r="I78" t="s">
        <v>90</v>
      </c>
      <c r="J78" t="s">
        <v>135</v>
      </c>
      <c r="K78" t="s">
        <v>453</v>
      </c>
      <c r="L78" t="s">
        <v>778</v>
      </c>
    </row>
    <row r="79" spans="1:12" x14ac:dyDescent="0.25">
      <c r="A79" t="s">
        <v>90</v>
      </c>
      <c r="B79" t="s">
        <v>446</v>
      </c>
      <c r="C79" t="s">
        <v>138</v>
      </c>
      <c r="D79" t="s">
        <v>140</v>
      </c>
      <c r="I79" t="s">
        <v>90</v>
      </c>
      <c r="J79" t="s">
        <v>138</v>
      </c>
      <c r="K79" t="s">
        <v>138</v>
      </c>
      <c r="L79" t="s">
        <v>140</v>
      </c>
    </row>
    <row r="80" spans="1:12" x14ac:dyDescent="0.25">
      <c r="A80" t="s">
        <v>90</v>
      </c>
      <c r="B80" t="s">
        <v>446</v>
      </c>
      <c r="C80" t="s">
        <v>170</v>
      </c>
      <c r="D80" t="s">
        <v>171</v>
      </c>
      <c r="I80" t="s">
        <v>90</v>
      </c>
      <c r="J80" t="s">
        <v>138</v>
      </c>
      <c r="K80" t="s">
        <v>170</v>
      </c>
      <c r="L80" t="s">
        <v>171</v>
      </c>
    </row>
    <row r="81" spans="1:12" x14ac:dyDescent="0.25">
      <c r="A81" t="s">
        <v>54</v>
      </c>
      <c r="B81" t="s">
        <v>518</v>
      </c>
      <c r="C81" t="s">
        <v>517</v>
      </c>
      <c r="D81" t="s">
        <v>723</v>
      </c>
      <c r="I81" t="s">
        <v>54</v>
      </c>
      <c r="J81" t="s">
        <v>859</v>
      </c>
      <c r="K81" t="s">
        <v>517</v>
      </c>
      <c r="L81" t="s">
        <v>723</v>
      </c>
    </row>
    <row r="82" spans="1:12" x14ac:dyDescent="0.25">
      <c r="A82" t="s">
        <v>54</v>
      </c>
      <c r="B82" t="s">
        <v>518</v>
      </c>
      <c r="C82" t="s">
        <v>520</v>
      </c>
      <c r="D82" t="s">
        <v>724</v>
      </c>
      <c r="I82" t="s">
        <v>54</v>
      </c>
      <c r="J82" t="s">
        <v>859</v>
      </c>
      <c r="K82" t="s">
        <v>520</v>
      </c>
      <c r="L82" t="s">
        <v>724</v>
      </c>
    </row>
    <row r="83" spans="1:12" x14ac:dyDescent="0.25">
      <c r="A83" t="s">
        <v>54</v>
      </c>
      <c r="B83" t="s">
        <v>518</v>
      </c>
      <c r="C83" t="s">
        <v>522</v>
      </c>
      <c r="D83" t="s">
        <v>725</v>
      </c>
      <c r="I83" t="s">
        <v>54</v>
      </c>
      <c r="J83" t="s">
        <v>859</v>
      </c>
      <c r="K83" t="s">
        <v>522</v>
      </c>
      <c r="L83" t="s">
        <v>725</v>
      </c>
    </row>
    <row r="84" spans="1:12" x14ac:dyDescent="0.25">
      <c r="A84" t="s">
        <v>54</v>
      </c>
      <c r="B84" t="s">
        <v>518</v>
      </c>
      <c r="C84" t="s">
        <v>56</v>
      </c>
      <c r="D84" t="s">
        <v>57</v>
      </c>
      <c r="I84" t="s">
        <v>54</v>
      </c>
      <c r="J84" t="s">
        <v>859</v>
      </c>
      <c r="K84" t="s">
        <v>56</v>
      </c>
      <c r="L84" t="s">
        <v>57</v>
      </c>
    </row>
    <row r="85" spans="1:12" x14ac:dyDescent="0.25">
      <c r="A85" t="s">
        <v>54</v>
      </c>
      <c r="B85" t="s">
        <v>518</v>
      </c>
      <c r="C85" t="s">
        <v>524</v>
      </c>
      <c r="D85" t="s">
        <v>726</v>
      </c>
      <c r="I85" t="s">
        <v>54</v>
      </c>
      <c r="J85" t="s">
        <v>859</v>
      </c>
      <c r="K85" t="s">
        <v>524</v>
      </c>
      <c r="L85" t="s">
        <v>726</v>
      </c>
    </row>
    <row r="86" spans="1:12" x14ac:dyDescent="0.25">
      <c r="A86" t="s">
        <v>54</v>
      </c>
      <c r="B86" t="s">
        <v>518</v>
      </c>
      <c r="C86" t="s">
        <v>525</v>
      </c>
      <c r="D86" t="s">
        <v>727</v>
      </c>
      <c r="I86" t="s">
        <v>54</v>
      </c>
      <c r="J86" t="s">
        <v>859</v>
      </c>
      <c r="K86" t="s">
        <v>525</v>
      </c>
      <c r="L86" t="s">
        <v>727</v>
      </c>
    </row>
    <row r="87" spans="1:12" x14ac:dyDescent="0.25">
      <c r="A87" t="s">
        <v>54</v>
      </c>
      <c r="B87" t="s">
        <v>518</v>
      </c>
      <c r="C87" t="s">
        <v>526</v>
      </c>
      <c r="D87" t="s">
        <v>728</v>
      </c>
      <c r="I87" t="s">
        <v>54</v>
      </c>
      <c r="J87" t="s">
        <v>859</v>
      </c>
      <c r="K87" t="s">
        <v>526</v>
      </c>
      <c r="L87" t="s">
        <v>728</v>
      </c>
    </row>
    <row r="88" spans="1:12" x14ac:dyDescent="0.25">
      <c r="A88" t="s">
        <v>54</v>
      </c>
      <c r="B88" t="s">
        <v>518</v>
      </c>
      <c r="C88" t="s">
        <v>79</v>
      </c>
      <c r="D88" t="s">
        <v>80</v>
      </c>
      <c r="I88" t="s">
        <v>54</v>
      </c>
      <c r="J88" t="s">
        <v>859</v>
      </c>
      <c r="K88" t="s">
        <v>79</v>
      </c>
      <c r="L88" t="s">
        <v>80</v>
      </c>
    </row>
    <row r="89" spans="1:12" x14ac:dyDescent="0.25">
      <c r="A89" t="s">
        <v>54</v>
      </c>
      <c r="B89" t="s">
        <v>518</v>
      </c>
      <c r="C89" t="s">
        <v>528</v>
      </c>
      <c r="D89" t="s">
        <v>729</v>
      </c>
      <c r="I89" t="s">
        <v>54</v>
      </c>
      <c r="J89" t="s">
        <v>859</v>
      </c>
      <c r="K89" t="s">
        <v>528</v>
      </c>
      <c r="L89" t="s">
        <v>729</v>
      </c>
    </row>
    <row r="90" spans="1:12" x14ac:dyDescent="0.25">
      <c r="A90" t="s">
        <v>54</v>
      </c>
      <c r="B90" t="s">
        <v>518</v>
      </c>
      <c r="C90" t="s">
        <v>529</v>
      </c>
      <c r="D90" t="s">
        <v>730</v>
      </c>
      <c r="I90" t="s">
        <v>54</v>
      </c>
      <c r="J90" t="s">
        <v>859</v>
      </c>
      <c r="K90" t="s">
        <v>529</v>
      </c>
      <c r="L90" t="s">
        <v>730</v>
      </c>
    </row>
    <row r="91" spans="1:12" x14ac:dyDescent="0.25">
      <c r="A91" t="s">
        <v>54</v>
      </c>
      <c r="B91" t="s">
        <v>518</v>
      </c>
      <c r="C91" t="s">
        <v>530</v>
      </c>
      <c r="D91" t="s">
        <v>731</v>
      </c>
      <c r="I91" t="s">
        <v>54</v>
      </c>
      <c r="J91" t="s">
        <v>859</v>
      </c>
      <c r="K91" t="s">
        <v>530</v>
      </c>
      <c r="L91" t="s">
        <v>731</v>
      </c>
    </row>
    <row r="92" spans="1:12" x14ac:dyDescent="0.25">
      <c r="A92" t="s">
        <v>54</v>
      </c>
      <c r="B92" t="s">
        <v>518</v>
      </c>
      <c r="C92" t="s">
        <v>531</v>
      </c>
      <c r="D92" t="s">
        <v>732</v>
      </c>
      <c r="I92" t="s">
        <v>54</v>
      </c>
      <c r="J92" t="s">
        <v>859</v>
      </c>
      <c r="K92" t="s">
        <v>531</v>
      </c>
      <c r="L92" t="s">
        <v>732</v>
      </c>
    </row>
    <row r="93" spans="1:12" x14ac:dyDescent="0.25">
      <c r="A93" t="s">
        <v>54</v>
      </c>
      <c r="B93" t="s">
        <v>518</v>
      </c>
      <c r="C93" t="s">
        <v>532</v>
      </c>
      <c r="D93" t="s">
        <v>733</v>
      </c>
      <c r="I93" t="s">
        <v>54</v>
      </c>
      <c r="J93" t="s">
        <v>859</v>
      </c>
      <c r="K93" t="s">
        <v>532</v>
      </c>
      <c r="L93" t="s">
        <v>733</v>
      </c>
    </row>
    <row r="94" spans="1:12" x14ac:dyDescent="0.25">
      <c r="A94" t="s">
        <v>54</v>
      </c>
      <c r="B94" t="s">
        <v>518</v>
      </c>
      <c r="C94" t="s">
        <v>533</v>
      </c>
      <c r="D94" t="s">
        <v>734</v>
      </c>
      <c r="I94" t="s">
        <v>54</v>
      </c>
      <c r="J94" t="s">
        <v>859</v>
      </c>
      <c r="K94" t="s">
        <v>533</v>
      </c>
      <c r="L94" t="s">
        <v>734</v>
      </c>
    </row>
    <row r="95" spans="1:12" x14ac:dyDescent="0.25">
      <c r="A95" t="s">
        <v>70</v>
      </c>
      <c r="B95" t="s">
        <v>536</v>
      </c>
      <c r="C95" t="s">
        <v>245</v>
      </c>
      <c r="D95" t="s">
        <v>246</v>
      </c>
      <c r="I95" t="s">
        <v>70</v>
      </c>
      <c r="J95" t="s">
        <v>245</v>
      </c>
      <c r="K95" t="s">
        <v>245</v>
      </c>
      <c r="L95" t="s">
        <v>246</v>
      </c>
    </row>
    <row r="96" spans="1:12" x14ac:dyDescent="0.25">
      <c r="A96" t="s">
        <v>70</v>
      </c>
      <c r="B96" t="s">
        <v>536</v>
      </c>
      <c r="C96" t="s">
        <v>538</v>
      </c>
      <c r="D96" t="s">
        <v>721</v>
      </c>
      <c r="I96" t="s">
        <v>70</v>
      </c>
      <c r="J96" t="s">
        <v>245</v>
      </c>
      <c r="K96" t="s">
        <v>538</v>
      </c>
      <c r="L96" t="s">
        <v>721</v>
      </c>
    </row>
    <row r="97" spans="1:12" x14ac:dyDescent="0.25">
      <c r="A97" t="s">
        <v>70</v>
      </c>
      <c r="B97" t="s">
        <v>536</v>
      </c>
      <c r="C97" t="s">
        <v>540</v>
      </c>
      <c r="D97" t="s">
        <v>722</v>
      </c>
      <c r="I97" t="s">
        <v>70</v>
      </c>
      <c r="J97" t="s">
        <v>245</v>
      </c>
      <c r="K97" t="s">
        <v>540</v>
      </c>
      <c r="L97" t="s">
        <v>722</v>
      </c>
    </row>
    <row r="98" spans="1:12" x14ac:dyDescent="0.25">
      <c r="A98" t="s">
        <v>70</v>
      </c>
      <c r="B98" t="s">
        <v>514</v>
      </c>
      <c r="C98" t="s">
        <v>513</v>
      </c>
      <c r="D98" t="s">
        <v>736</v>
      </c>
      <c r="I98" t="s">
        <v>70</v>
      </c>
      <c r="J98" t="s">
        <v>71</v>
      </c>
      <c r="K98" t="s">
        <v>513</v>
      </c>
      <c r="L98" t="s">
        <v>736</v>
      </c>
    </row>
    <row r="99" spans="1:12" x14ac:dyDescent="0.25">
      <c r="A99" t="s">
        <v>70</v>
      </c>
      <c r="B99" t="s">
        <v>514</v>
      </c>
      <c r="C99" t="s">
        <v>71</v>
      </c>
      <c r="D99" t="s">
        <v>72</v>
      </c>
      <c r="I99" t="s">
        <v>70</v>
      </c>
      <c r="J99" t="s">
        <v>71</v>
      </c>
      <c r="K99" t="s">
        <v>71</v>
      </c>
      <c r="L99" t="s">
        <v>72</v>
      </c>
    </row>
    <row r="100" spans="1:12" x14ac:dyDescent="0.25">
      <c r="A100" t="s">
        <v>70</v>
      </c>
      <c r="B100" t="s">
        <v>471</v>
      </c>
      <c r="C100" t="s">
        <v>470</v>
      </c>
      <c r="D100" t="s">
        <v>744</v>
      </c>
      <c r="I100" t="s">
        <v>70</v>
      </c>
      <c r="J100" t="s">
        <v>104</v>
      </c>
      <c r="K100" t="s">
        <v>470</v>
      </c>
      <c r="L100" t="s">
        <v>744</v>
      </c>
    </row>
    <row r="101" spans="1:12" x14ac:dyDescent="0.25">
      <c r="A101" t="s">
        <v>70</v>
      </c>
      <c r="B101" t="s">
        <v>471</v>
      </c>
      <c r="C101" t="s">
        <v>473</v>
      </c>
      <c r="D101" t="s">
        <v>745</v>
      </c>
      <c r="I101" t="s">
        <v>70</v>
      </c>
      <c r="J101" t="s">
        <v>104</v>
      </c>
      <c r="K101" t="s">
        <v>473</v>
      </c>
      <c r="L101" t="s">
        <v>745</v>
      </c>
    </row>
    <row r="102" spans="1:12" x14ac:dyDescent="0.25">
      <c r="A102" t="s">
        <v>70</v>
      </c>
      <c r="B102" t="s">
        <v>471</v>
      </c>
      <c r="C102" t="s">
        <v>474</v>
      </c>
      <c r="D102" t="s">
        <v>746</v>
      </c>
      <c r="I102" t="s">
        <v>70</v>
      </c>
      <c r="J102" t="s">
        <v>104</v>
      </c>
      <c r="K102" t="s">
        <v>474</v>
      </c>
      <c r="L102" t="s">
        <v>746</v>
      </c>
    </row>
    <row r="103" spans="1:12" x14ac:dyDescent="0.25">
      <c r="A103" t="s">
        <v>70</v>
      </c>
      <c r="B103" t="s">
        <v>471</v>
      </c>
      <c r="C103" t="s">
        <v>475</v>
      </c>
      <c r="D103" t="s">
        <v>747</v>
      </c>
      <c r="I103" t="s">
        <v>70</v>
      </c>
      <c r="J103" t="s">
        <v>104</v>
      </c>
      <c r="K103" t="s">
        <v>475</v>
      </c>
      <c r="L103" t="s">
        <v>747</v>
      </c>
    </row>
    <row r="104" spans="1:12" x14ac:dyDescent="0.25">
      <c r="A104" t="s">
        <v>70</v>
      </c>
      <c r="B104" t="s">
        <v>471</v>
      </c>
      <c r="C104" t="s">
        <v>105</v>
      </c>
      <c r="D104" t="s">
        <v>106</v>
      </c>
      <c r="I104" t="s">
        <v>70</v>
      </c>
      <c r="J104" t="s">
        <v>104</v>
      </c>
      <c r="K104" t="s">
        <v>105</v>
      </c>
      <c r="L104" t="s">
        <v>106</v>
      </c>
    </row>
    <row r="105" spans="1:12" x14ac:dyDescent="0.25">
      <c r="A105" t="s">
        <v>70</v>
      </c>
      <c r="B105" t="s">
        <v>471</v>
      </c>
      <c r="C105" t="s">
        <v>477</v>
      </c>
      <c r="D105" t="s">
        <v>748</v>
      </c>
      <c r="I105" t="s">
        <v>70</v>
      </c>
      <c r="J105" t="s">
        <v>104</v>
      </c>
      <c r="K105" t="s">
        <v>477</v>
      </c>
      <c r="L105" t="s">
        <v>748</v>
      </c>
    </row>
    <row r="106" spans="1:12" x14ac:dyDescent="0.25">
      <c r="A106" t="s">
        <v>70</v>
      </c>
      <c r="B106" t="s">
        <v>95</v>
      </c>
      <c r="C106" t="s">
        <v>351</v>
      </c>
      <c r="D106" t="s">
        <v>718</v>
      </c>
      <c r="I106" t="s">
        <v>70</v>
      </c>
      <c r="J106" t="s">
        <v>95</v>
      </c>
      <c r="K106" t="s">
        <v>351</v>
      </c>
      <c r="L106" t="s">
        <v>718</v>
      </c>
    </row>
    <row r="107" spans="1:12" x14ac:dyDescent="0.25">
      <c r="A107" t="s">
        <v>70</v>
      </c>
      <c r="B107" t="s">
        <v>95</v>
      </c>
      <c r="C107" t="s">
        <v>96</v>
      </c>
      <c r="D107" t="s">
        <v>97</v>
      </c>
      <c r="I107" t="s">
        <v>70</v>
      </c>
      <c r="J107" t="s">
        <v>95</v>
      </c>
      <c r="K107" t="s">
        <v>96</v>
      </c>
      <c r="L107" t="s">
        <v>97</v>
      </c>
    </row>
    <row r="108" spans="1:12" x14ac:dyDescent="0.25">
      <c r="A108" t="s">
        <v>70</v>
      </c>
      <c r="B108" t="s">
        <v>95</v>
      </c>
      <c r="C108" t="s">
        <v>355</v>
      </c>
      <c r="D108" t="s">
        <v>719</v>
      </c>
      <c r="I108" t="s">
        <v>70</v>
      </c>
      <c r="J108" t="s">
        <v>95</v>
      </c>
      <c r="K108" t="s">
        <v>355</v>
      </c>
      <c r="L108" t="s">
        <v>719</v>
      </c>
    </row>
    <row r="109" spans="1:12" x14ac:dyDescent="0.25">
      <c r="A109" t="s">
        <v>70</v>
      </c>
      <c r="B109" t="s">
        <v>95</v>
      </c>
      <c r="C109" t="s">
        <v>117</v>
      </c>
      <c r="D109" t="s">
        <v>118</v>
      </c>
      <c r="I109" t="s">
        <v>70</v>
      </c>
      <c r="J109" t="s">
        <v>95</v>
      </c>
      <c r="K109" t="s">
        <v>117</v>
      </c>
      <c r="L109" t="s">
        <v>118</v>
      </c>
    </row>
    <row r="110" spans="1:12" x14ac:dyDescent="0.25">
      <c r="A110" t="s">
        <v>70</v>
      </c>
      <c r="B110" t="s">
        <v>95</v>
      </c>
      <c r="C110" t="s">
        <v>358</v>
      </c>
      <c r="D110" t="s">
        <v>720</v>
      </c>
      <c r="I110" t="s">
        <v>70</v>
      </c>
      <c r="J110" t="s">
        <v>95</v>
      </c>
      <c r="K110" t="s">
        <v>358</v>
      </c>
      <c r="L110" t="s">
        <v>720</v>
      </c>
    </row>
    <row r="111" spans="1:12" x14ac:dyDescent="0.25">
      <c r="A111" t="s">
        <v>42</v>
      </c>
      <c r="B111" t="s">
        <v>574</v>
      </c>
      <c r="C111" t="s">
        <v>43</v>
      </c>
      <c r="D111" t="s">
        <v>44</v>
      </c>
      <c r="I111" t="s">
        <v>42</v>
      </c>
      <c r="J111" t="s">
        <v>43</v>
      </c>
      <c r="K111" t="s">
        <v>43</v>
      </c>
      <c r="L111" t="s">
        <v>44</v>
      </c>
    </row>
    <row r="112" spans="1:12" x14ac:dyDescent="0.25">
      <c r="A112" t="s">
        <v>42</v>
      </c>
      <c r="B112" t="s">
        <v>505</v>
      </c>
      <c r="C112" t="s">
        <v>504</v>
      </c>
      <c r="D112" t="s">
        <v>737</v>
      </c>
      <c r="I112" t="s">
        <v>42</v>
      </c>
      <c r="J112" t="s">
        <v>148</v>
      </c>
      <c r="K112" t="s">
        <v>504</v>
      </c>
      <c r="L112" t="s">
        <v>737</v>
      </c>
    </row>
    <row r="113" spans="1:12" x14ac:dyDescent="0.25">
      <c r="A113" t="s">
        <v>42</v>
      </c>
      <c r="B113" t="s">
        <v>505</v>
      </c>
      <c r="C113" t="s">
        <v>508</v>
      </c>
      <c r="D113" t="s">
        <v>738</v>
      </c>
      <c r="I113" t="s">
        <v>42</v>
      </c>
      <c r="J113" t="s">
        <v>148</v>
      </c>
      <c r="K113" t="s">
        <v>508</v>
      </c>
      <c r="L113" t="s">
        <v>738</v>
      </c>
    </row>
    <row r="114" spans="1:12" x14ac:dyDescent="0.25">
      <c r="A114" t="s">
        <v>42</v>
      </c>
      <c r="B114" t="s">
        <v>505</v>
      </c>
      <c r="C114" t="s">
        <v>510</v>
      </c>
      <c r="D114" t="s">
        <v>739</v>
      </c>
      <c r="I114" t="s">
        <v>42</v>
      </c>
      <c r="J114" t="s">
        <v>148</v>
      </c>
      <c r="K114" t="s">
        <v>510</v>
      </c>
      <c r="L114" t="s">
        <v>739</v>
      </c>
    </row>
    <row r="115" spans="1:12" x14ac:dyDescent="0.25">
      <c r="A115" t="s">
        <v>42</v>
      </c>
      <c r="B115" t="s">
        <v>505</v>
      </c>
      <c r="C115" t="s">
        <v>511</v>
      </c>
      <c r="D115" t="s">
        <v>740</v>
      </c>
      <c r="I115" t="s">
        <v>42</v>
      </c>
      <c r="J115" t="s">
        <v>148</v>
      </c>
      <c r="K115" t="s">
        <v>511</v>
      </c>
      <c r="L115" t="s">
        <v>740</v>
      </c>
    </row>
    <row r="116" spans="1:12" x14ac:dyDescent="0.25">
      <c r="A116" t="s">
        <v>42</v>
      </c>
      <c r="B116" t="s">
        <v>505</v>
      </c>
      <c r="C116" t="s">
        <v>149</v>
      </c>
      <c r="D116" t="s">
        <v>150</v>
      </c>
      <c r="I116" t="s">
        <v>42</v>
      </c>
      <c r="J116" t="s">
        <v>148</v>
      </c>
      <c r="K116" t="s">
        <v>149</v>
      </c>
      <c r="L116" t="s">
        <v>150</v>
      </c>
    </row>
    <row r="117" spans="1:12" x14ac:dyDescent="0.25">
      <c r="A117" t="s">
        <v>42</v>
      </c>
      <c r="B117" t="s">
        <v>456</v>
      </c>
      <c r="C117" t="s">
        <v>455</v>
      </c>
      <c r="D117" t="s">
        <v>755</v>
      </c>
      <c r="I117" t="s">
        <v>42</v>
      </c>
      <c r="J117" t="s">
        <v>130</v>
      </c>
      <c r="K117" t="s">
        <v>455</v>
      </c>
      <c r="L117" t="s">
        <v>755</v>
      </c>
    </row>
    <row r="118" spans="1:12" x14ac:dyDescent="0.25">
      <c r="A118" t="s">
        <v>42</v>
      </c>
      <c r="B118" t="s">
        <v>456</v>
      </c>
      <c r="C118" t="s">
        <v>458</v>
      </c>
      <c r="D118" t="s">
        <v>756</v>
      </c>
      <c r="I118" t="s">
        <v>42</v>
      </c>
      <c r="J118" t="s">
        <v>130</v>
      </c>
      <c r="K118" t="s">
        <v>458</v>
      </c>
      <c r="L118" t="s">
        <v>756</v>
      </c>
    </row>
    <row r="119" spans="1:12" x14ac:dyDescent="0.25">
      <c r="A119" t="s">
        <v>42</v>
      </c>
      <c r="B119" t="s">
        <v>456</v>
      </c>
      <c r="C119" t="s">
        <v>130</v>
      </c>
      <c r="D119" t="s">
        <v>131</v>
      </c>
      <c r="I119" t="s">
        <v>42</v>
      </c>
      <c r="J119" t="s">
        <v>130</v>
      </c>
      <c r="K119" t="s">
        <v>130</v>
      </c>
      <c r="L119" t="s">
        <v>131</v>
      </c>
    </row>
    <row r="120" spans="1:12" x14ac:dyDescent="0.25">
      <c r="A120" t="s">
        <v>42</v>
      </c>
      <c r="B120" t="s">
        <v>372</v>
      </c>
      <c r="C120" t="s">
        <v>371</v>
      </c>
      <c r="D120" t="s">
        <v>758</v>
      </c>
      <c r="I120" t="s">
        <v>42</v>
      </c>
      <c r="J120" t="s">
        <v>154</v>
      </c>
      <c r="K120" t="s">
        <v>371</v>
      </c>
      <c r="L120" t="s">
        <v>758</v>
      </c>
    </row>
    <row r="121" spans="1:12" x14ac:dyDescent="0.25">
      <c r="A121" t="s">
        <v>42</v>
      </c>
      <c r="B121" t="s">
        <v>372</v>
      </c>
      <c r="C121" t="s">
        <v>154</v>
      </c>
      <c r="D121" t="s">
        <v>155</v>
      </c>
      <c r="I121" t="s">
        <v>42</v>
      </c>
      <c r="J121" t="s">
        <v>154</v>
      </c>
      <c r="K121" t="s">
        <v>154</v>
      </c>
      <c r="L121" t="s">
        <v>155</v>
      </c>
    </row>
    <row r="122" spans="1:12" x14ac:dyDescent="0.25">
      <c r="A122" t="s">
        <v>42</v>
      </c>
      <c r="B122" t="s">
        <v>360</v>
      </c>
      <c r="C122" t="s">
        <v>359</v>
      </c>
      <c r="D122" t="s">
        <v>779</v>
      </c>
      <c r="I122" t="s">
        <v>42</v>
      </c>
      <c r="J122" t="s">
        <v>860</v>
      </c>
      <c r="K122" t="s">
        <v>359</v>
      </c>
      <c r="L122" t="s">
        <v>779</v>
      </c>
    </row>
    <row r="123" spans="1:12" x14ac:dyDescent="0.25">
      <c r="A123" t="s">
        <v>42</v>
      </c>
      <c r="B123" t="s">
        <v>360</v>
      </c>
      <c r="C123" t="s">
        <v>362</v>
      </c>
      <c r="D123" t="s">
        <v>780</v>
      </c>
      <c r="I123" t="s">
        <v>42</v>
      </c>
      <c r="J123" t="s">
        <v>860</v>
      </c>
      <c r="K123" t="s">
        <v>362</v>
      </c>
      <c r="L123" t="s">
        <v>780</v>
      </c>
    </row>
    <row r="124" spans="1:12" x14ac:dyDescent="0.25">
      <c r="A124" t="s">
        <v>42</v>
      </c>
      <c r="B124" t="s">
        <v>360</v>
      </c>
      <c r="C124" t="s">
        <v>363</v>
      </c>
      <c r="D124" t="s">
        <v>781</v>
      </c>
      <c r="I124" t="s">
        <v>42</v>
      </c>
      <c r="J124" t="s">
        <v>860</v>
      </c>
      <c r="K124" t="s">
        <v>363</v>
      </c>
      <c r="L124" t="s">
        <v>781</v>
      </c>
    </row>
    <row r="125" spans="1:12" x14ac:dyDescent="0.25">
      <c r="A125" t="s">
        <v>42</v>
      </c>
      <c r="B125" t="s">
        <v>360</v>
      </c>
      <c r="C125" t="s">
        <v>364</v>
      </c>
      <c r="D125" t="s">
        <v>782</v>
      </c>
      <c r="I125" t="s">
        <v>42</v>
      </c>
      <c r="J125" t="s">
        <v>860</v>
      </c>
      <c r="K125" t="s">
        <v>364</v>
      </c>
      <c r="L125" t="s">
        <v>782</v>
      </c>
    </row>
    <row r="126" spans="1:12" x14ac:dyDescent="0.25">
      <c r="A126" t="s">
        <v>42</v>
      </c>
      <c r="B126" t="s">
        <v>360</v>
      </c>
      <c r="C126" t="s">
        <v>144</v>
      </c>
      <c r="D126" t="s">
        <v>145</v>
      </c>
      <c r="I126" t="s">
        <v>42</v>
      </c>
      <c r="J126" t="s">
        <v>860</v>
      </c>
      <c r="K126" t="s">
        <v>144</v>
      </c>
      <c r="L126" t="s">
        <v>145</v>
      </c>
    </row>
    <row r="127" spans="1:12" x14ac:dyDescent="0.25">
      <c r="A127" t="s">
        <v>42</v>
      </c>
      <c r="B127" t="s">
        <v>360</v>
      </c>
      <c r="C127" t="s">
        <v>366</v>
      </c>
      <c r="D127" t="s">
        <v>783</v>
      </c>
      <c r="I127" t="s">
        <v>42</v>
      </c>
      <c r="J127" t="s">
        <v>860</v>
      </c>
      <c r="K127" t="s">
        <v>366</v>
      </c>
      <c r="L127" t="s">
        <v>783</v>
      </c>
    </row>
    <row r="128" spans="1:12" x14ac:dyDescent="0.25">
      <c r="A128" t="s">
        <v>73</v>
      </c>
      <c r="B128" t="s">
        <v>577</v>
      </c>
      <c r="C128" t="s">
        <v>610</v>
      </c>
      <c r="D128" t="s">
        <v>685</v>
      </c>
      <c r="I128" t="s">
        <v>73</v>
      </c>
      <c r="J128" t="s">
        <v>81</v>
      </c>
      <c r="K128" t="s">
        <v>610</v>
      </c>
      <c r="L128" t="s">
        <v>685</v>
      </c>
    </row>
    <row r="129" spans="1:12" x14ac:dyDescent="0.25">
      <c r="A129" t="s">
        <v>73</v>
      </c>
      <c r="B129" t="s">
        <v>577</v>
      </c>
      <c r="C129" t="s">
        <v>613</v>
      </c>
      <c r="D129" t="s">
        <v>686</v>
      </c>
      <c r="I129" t="s">
        <v>73</v>
      </c>
      <c r="J129" t="s">
        <v>81</v>
      </c>
      <c r="K129" t="s">
        <v>613</v>
      </c>
      <c r="L129" t="s">
        <v>686</v>
      </c>
    </row>
    <row r="130" spans="1:12" x14ac:dyDescent="0.25">
      <c r="A130" t="s">
        <v>73</v>
      </c>
      <c r="B130" t="s">
        <v>577</v>
      </c>
      <c r="C130" t="s">
        <v>615</v>
      </c>
      <c r="D130" t="s">
        <v>687</v>
      </c>
      <c r="I130" t="s">
        <v>73</v>
      </c>
      <c r="J130" t="s">
        <v>81</v>
      </c>
      <c r="K130" t="s">
        <v>615</v>
      </c>
      <c r="L130" t="s">
        <v>687</v>
      </c>
    </row>
    <row r="131" spans="1:12" x14ac:dyDescent="0.25">
      <c r="A131" t="s">
        <v>73</v>
      </c>
      <c r="B131" t="s">
        <v>577</v>
      </c>
      <c r="C131" t="s">
        <v>623</v>
      </c>
      <c r="D131" t="s">
        <v>691</v>
      </c>
      <c r="I131" t="s">
        <v>73</v>
      </c>
      <c r="J131" t="s">
        <v>81</v>
      </c>
      <c r="K131" t="s">
        <v>623</v>
      </c>
      <c r="L131" t="s">
        <v>691</v>
      </c>
    </row>
    <row r="132" spans="1:12" x14ac:dyDescent="0.25">
      <c r="A132" t="s">
        <v>73</v>
      </c>
      <c r="B132" t="s">
        <v>577</v>
      </c>
      <c r="C132" t="s">
        <v>247</v>
      </c>
      <c r="D132" t="s">
        <v>248</v>
      </c>
      <c r="I132" t="s">
        <v>73</v>
      </c>
      <c r="J132" t="s">
        <v>81</v>
      </c>
      <c r="K132" t="s">
        <v>247</v>
      </c>
      <c r="L132" t="s">
        <v>248</v>
      </c>
    </row>
    <row r="133" spans="1:12" x14ac:dyDescent="0.25">
      <c r="A133" t="s">
        <v>73</v>
      </c>
      <c r="B133" t="s">
        <v>577</v>
      </c>
      <c r="C133" t="s">
        <v>211</v>
      </c>
      <c r="D133" t="s">
        <v>688</v>
      </c>
      <c r="I133" t="s">
        <v>73</v>
      </c>
      <c r="J133" t="s">
        <v>81</v>
      </c>
      <c r="K133" t="s">
        <v>211</v>
      </c>
      <c r="L133" t="s">
        <v>688</v>
      </c>
    </row>
    <row r="134" spans="1:12" x14ac:dyDescent="0.25">
      <c r="A134" t="s">
        <v>73</v>
      </c>
      <c r="B134" t="s">
        <v>577</v>
      </c>
      <c r="C134" t="s">
        <v>249</v>
      </c>
      <c r="D134" t="s">
        <v>250</v>
      </c>
      <c r="I134" t="s">
        <v>73</v>
      </c>
      <c r="J134" t="s">
        <v>81</v>
      </c>
      <c r="K134" t="s">
        <v>249</v>
      </c>
      <c r="L134" t="s">
        <v>250</v>
      </c>
    </row>
    <row r="135" spans="1:12" x14ac:dyDescent="0.25">
      <c r="A135" t="s">
        <v>73</v>
      </c>
      <c r="B135" t="s">
        <v>577</v>
      </c>
      <c r="C135" t="s">
        <v>619</v>
      </c>
      <c r="D135" t="s">
        <v>689</v>
      </c>
      <c r="I135" t="s">
        <v>73</v>
      </c>
      <c r="J135" t="s">
        <v>81</v>
      </c>
      <c r="K135" t="s">
        <v>619</v>
      </c>
      <c r="L135" t="s">
        <v>689</v>
      </c>
    </row>
    <row r="136" spans="1:12" x14ac:dyDescent="0.25">
      <c r="A136" t="s">
        <v>73</v>
      </c>
      <c r="B136" t="s">
        <v>577</v>
      </c>
      <c r="C136" t="s">
        <v>191</v>
      </c>
      <c r="D136" t="s">
        <v>192</v>
      </c>
      <c r="I136" t="s">
        <v>73</v>
      </c>
      <c r="J136" t="s">
        <v>81</v>
      </c>
      <c r="K136" t="s">
        <v>191</v>
      </c>
      <c r="L136" t="s">
        <v>192</v>
      </c>
    </row>
    <row r="137" spans="1:12" x14ac:dyDescent="0.25">
      <c r="A137" t="s">
        <v>73</v>
      </c>
      <c r="B137" t="s">
        <v>577</v>
      </c>
      <c r="C137" t="s">
        <v>621</v>
      </c>
      <c r="D137" t="s">
        <v>690</v>
      </c>
      <c r="I137" t="s">
        <v>73</v>
      </c>
      <c r="J137" t="s">
        <v>81</v>
      </c>
      <c r="K137" t="s">
        <v>621</v>
      </c>
      <c r="L137" t="s">
        <v>690</v>
      </c>
    </row>
    <row r="138" spans="1:12" x14ac:dyDescent="0.25">
      <c r="A138" t="s">
        <v>73</v>
      </c>
      <c r="B138" t="s">
        <v>577</v>
      </c>
      <c r="C138" t="s">
        <v>624</v>
      </c>
      <c r="D138" t="s">
        <v>692</v>
      </c>
      <c r="I138" t="s">
        <v>73</v>
      </c>
      <c r="J138" t="s">
        <v>81</v>
      </c>
      <c r="K138" t="s">
        <v>624</v>
      </c>
      <c r="L138" t="s">
        <v>692</v>
      </c>
    </row>
    <row r="139" spans="1:12" x14ac:dyDescent="0.25">
      <c r="A139" t="s">
        <v>73</v>
      </c>
      <c r="B139" t="s">
        <v>577</v>
      </c>
      <c r="C139" t="s">
        <v>82</v>
      </c>
      <c r="D139" t="s">
        <v>83</v>
      </c>
      <c r="I139" t="s">
        <v>73</v>
      </c>
      <c r="J139" t="s">
        <v>81</v>
      </c>
      <c r="K139" t="s">
        <v>82</v>
      </c>
      <c r="L139" t="s">
        <v>83</v>
      </c>
    </row>
    <row r="140" spans="1:12" x14ac:dyDescent="0.25">
      <c r="A140" t="s">
        <v>73</v>
      </c>
      <c r="B140" t="s">
        <v>577</v>
      </c>
      <c r="C140" t="s">
        <v>627</v>
      </c>
      <c r="D140" t="s">
        <v>693</v>
      </c>
      <c r="I140" t="s">
        <v>73</v>
      </c>
      <c r="J140" t="s">
        <v>81</v>
      </c>
      <c r="K140" t="s">
        <v>627</v>
      </c>
      <c r="L140" t="s">
        <v>693</v>
      </c>
    </row>
    <row r="141" spans="1:12" x14ac:dyDescent="0.25">
      <c r="A141" t="s">
        <v>73</v>
      </c>
      <c r="B141" t="s">
        <v>577</v>
      </c>
      <c r="C141" t="s">
        <v>628</v>
      </c>
      <c r="D141" t="s">
        <v>694</v>
      </c>
      <c r="I141" t="s">
        <v>73</v>
      </c>
      <c r="J141" t="s">
        <v>81</v>
      </c>
      <c r="K141" t="s">
        <v>628</v>
      </c>
      <c r="L141" t="s">
        <v>694</v>
      </c>
    </row>
    <row r="142" spans="1:12" x14ac:dyDescent="0.25">
      <c r="A142" t="s">
        <v>73</v>
      </c>
      <c r="B142" t="s">
        <v>577</v>
      </c>
      <c r="C142" t="s">
        <v>251</v>
      </c>
      <c r="D142" t="s">
        <v>252</v>
      </c>
      <c r="I142" t="s">
        <v>73</v>
      </c>
      <c r="J142" t="s">
        <v>81</v>
      </c>
      <c r="K142" t="s">
        <v>251</v>
      </c>
      <c r="L142" t="s">
        <v>252</v>
      </c>
    </row>
    <row r="143" spans="1:12" x14ac:dyDescent="0.25">
      <c r="A143" t="s">
        <v>73</v>
      </c>
      <c r="B143" t="s">
        <v>577</v>
      </c>
      <c r="C143" t="s">
        <v>630</v>
      </c>
      <c r="D143" t="s">
        <v>695</v>
      </c>
      <c r="I143" t="s">
        <v>73</v>
      </c>
      <c r="J143" t="s">
        <v>81</v>
      </c>
      <c r="K143" t="s">
        <v>630</v>
      </c>
      <c r="L143" t="s">
        <v>695</v>
      </c>
    </row>
    <row r="144" spans="1:12" x14ac:dyDescent="0.25">
      <c r="A144" t="s">
        <v>73</v>
      </c>
      <c r="B144" t="s">
        <v>577</v>
      </c>
      <c r="C144" t="s">
        <v>632</v>
      </c>
      <c r="D144" t="s">
        <v>99</v>
      </c>
      <c r="I144" t="s">
        <v>73</v>
      </c>
      <c r="J144" t="s">
        <v>81</v>
      </c>
      <c r="K144" t="s">
        <v>632</v>
      </c>
      <c r="L144" t="s">
        <v>99</v>
      </c>
    </row>
    <row r="145" spans="1:12" x14ac:dyDescent="0.25">
      <c r="A145" t="s">
        <v>73</v>
      </c>
      <c r="B145" t="s">
        <v>577</v>
      </c>
      <c r="C145" t="s">
        <v>634</v>
      </c>
      <c r="D145" t="s">
        <v>696</v>
      </c>
      <c r="I145" t="s">
        <v>73</v>
      </c>
      <c r="J145" t="s">
        <v>81</v>
      </c>
      <c r="K145" t="s">
        <v>634</v>
      </c>
      <c r="L145" t="s">
        <v>696</v>
      </c>
    </row>
    <row r="146" spans="1:12" x14ac:dyDescent="0.25">
      <c r="A146" t="s">
        <v>73</v>
      </c>
      <c r="B146" t="s">
        <v>577</v>
      </c>
      <c r="C146" t="s">
        <v>197</v>
      </c>
      <c r="D146" t="s">
        <v>198</v>
      </c>
      <c r="I146" t="s">
        <v>73</v>
      </c>
      <c r="J146" t="s">
        <v>81</v>
      </c>
      <c r="K146" t="s">
        <v>197</v>
      </c>
      <c r="L146" t="s">
        <v>198</v>
      </c>
    </row>
    <row r="147" spans="1:12" x14ac:dyDescent="0.25">
      <c r="A147" t="s">
        <v>73</v>
      </c>
      <c r="B147" t="s">
        <v>577</v>
      </c>
      <c r="C147" t="s">
        <v>635</v>
      </c>
      <c r="D147" t="s">
        <v>697</v>
      </c>
      <c r="I147" t="s">
        <v>73</v>
      </c>
      <c r="J147" t="s">
        <v>81</v>
      </c>
      <c r="K147" t="s">
        <v>635</v>
      </c>
      <c r="L147" t="s">
        <v>697</v>
      </c>
    </row>
    <row r="148" spans="1:12" x14ac:dyDescent="0.25">
      <c r="A148" t="s">
        <v>73</v>
      </c>
      <c r="B148" t="s">
        <v>577</v>
      </c>
      <c r="C148" t="s">
        <v>158</v>
      </c>
      <c r="D148" t="s">
        <v>159</v>
      </c>
      <c r="I148" t="s">
        <v>73</v>
      </c>
      <c r="J148" t="s">
        <v>81</v>
      </c>
      <c r="K148" t="s">
        <v>158</v>
      </c>
      <c r="L148" t="s">
        <v>159</v>
      </c>
    </row>
    <row r="149" spans="1:12" x14ac:dyDescent="0.25">
      <c r="A149" t="s">
        <v>73</v>
      </c>
      <c r="B149" t="s">
        <v>577</v>
      </c>
      <c r="C149" t="s">
        <v>640</v>
      </c>
      <c r="D149" t="s">
        <v>700</v>
      </c>
      <c r="I149" t="s">
        <v>73</v>
      </c>
      <c r="J149" t="s">
        <v>81</v>
      </c>
      <c r="K149" t="s">
        <v>640</v>
      </c>
      <c r="L149" t="s">
        <v>700</v>
      </c>
    </row>
    <row r="150" spans="1:12" x14ac:dyDescent="0.25">
      <c r="A150" t="s">
        <v>73</v>
      </c>
      <c r="B150" t="s">
        <v>577</v>
      </c>
      <c r="C150" t="s">
        <v>205</v>
      </c>
      <c r="D150" t="s">
        <v>206</v>
      </c>
      <c r="I150" t="s">
        <v>73</v>
      </c>
      <c r="J150" t="s">
        <v>81</v>
      </c>
      <c r="K150" t="s">
        <v>205</v>
      </c>
      <c r="L150" t="s">
        <v>206</v>
      </c>
    </row>
    <row r="151" spans="1:12" x14ac:dyDescent="0.25">
      <c r="A151" t="s">
        <v>73</v>
      </c>
      <c r="B151" t="s">
        <v>577</v>
      </c>
      <c r="C151" t="s">
        <v>637</v>
      </c>
      <c r="D151" t="s">
        <v>698</v>
      </c>
      <c r="I151" t="s">
        <v>73</v>
      </c>
      <c r="J151" t="s">
        <v>81</v>
      </c>
      <c r="K151" t="s">
        <v>637</v>
      </c>
      <c r="L151" t="s">
        <v>698</v>
      </c>
    </row>
    <row r="152" spans="1:12" x14ac:dyDescent="0.25">
      <c r="A152" t="s">
        <v>73</v>
      </c>
      <c r="B152" t="s">
        <v>500</v>
      </c>
      <c r="C152" t="s">
        <v>75</v>
      </c>
      <c r="D152" t="s">
        <v>76</v>
      </c>
      <c r="I152" t="s">
        <v>73</v>
      </c>
      <c r="J152" t="s">
        <v>74</v>
      </c>
      <c r="K152" t="s">
        <v>75</v>
      </c>
      <c r="L152" t="s">
        <v>76</v>
      </c>
    </row>
    <row r="153" spans="1:12" x14ac:dyDescent="0.25">
      <c r="A153" t="s">
        <v>73</v>
      </c>
      <c r="B153" t="s">
        <v>500</v>
      </c>
      <c r="C153" t="s">
        <v>502</v>
      </c>
      <c r="D153" t="s">
        <v>741</v>
      </c>
      <c r="I153" t="s">
        <v>73</v>
      </c>
      <c r="J153" t="s">
        <v>74</v>
      </c>
      <c r="K153" t="s">
        <v>502</v>
      </c>
      <c r="L153" t="s">
        <v>741</v>
      </c>
    </row>
    <row r="154" spans="1:12" x14ac:dyDescent="0.25">
      <c r="A154" t="s">
        <v>73</v>
      </c>
      <c r="B154" t="s">
        <v>500</v>
      </c>
      <c r="C154" t="s">
        <v>74</v>
      </c>
      <c r="D154" t="s">
        <v>742</v>
      </c>
      <c r="I154" t="s">
        <v>73</v>
      </c>
      <c r="J154" t="s">
        <v>74</v>
      </c>
      <c r="K154" t="s">
        <v>74</v>
      </c>
      <c r="L154" t="s">
        <v>742</v>
      </c>
    </row>
    <row r="155" spans="1:12" x14ac:dyDescent="0.25">
      <c r="A155" t="s">
        <v>73</v>
      </c>
      <c r="B155" t="s">
        <v>500</v>
      </c>
      <c r="C155" t="s">
        <v>253</v>
      </c>
      <c r="D155" t="s">
        <v>153</v>
      </c>
      <c r="I155" t="s">
        <v>73</v>
      </c>
      <c r="J155" t="s">
        <v>74</v>
      </c>
      <c r="K155" t="s">
        <v>253</v>
      </c>
      <c r="L155" t="s">
        <v>153</v>
      </c>
    </row>
    <row r="156" spans="1:12" hidden="1" x14ac:dyDescent="0.25">
      <c r="A156" t="s">
        <v>34</v>
      </c>
      <c r="B156" t="s">
        <v>432</v>
      </c>
      <c r="C156" t="s">
        <v>36</v>
      </c>
      <c r="D156" t="s">
        <v>37</v>
      </c>
      <c r="I156" t="s">
        <v>34</v>
      </c>
      <c r="J156" t="s">
        <v>35</v>
      </c>
      <c r="K156" t="s">
        <v>36</v>
      </c>
      <c r="L156" t="s">
        <v>37</v>
      </c>
    </row>
    <row r="157" spans="1:12" hidden="1" x14ac:dyDescent="0.25">
      <c r="A157" t="s">
        <v>34</v>
      </c>
      <c r="B157" t="s">
        <v>432</v>
      </c>
      <c r="C157" t="s">
        <v>61</v>
      </c>
      <c r="D157" t="s">
        <v>62</v>
      </c>
      <c r="I157" t="s">
        <v>34</v>
      </c>
      <c r="J157" t="s">
        <v>35</v>
      </c>
      <c r="K157" t="s">
        <v>61</v>
      </c>
      <c r="L157" t="s">
        <v>62</v>
      </c>
    </row>
    <row r="158" spans="1:12" hidden="1" x14ac:dyDescent="0.25">
      <c r="A158" t="s">
        <v>34</v>
      </c>
      <c r="B158" t="s">
        <v>432</v>
      </c>
      <c r="C158" t="s">
        <v>66</v>
      </c>
      <c r="D158" t="s">
        <v>67</v>
      </c>
      <c r="I158" t="s">
        <v>34</v>
      </c>
      <c r="J158" t="s">
        <v>35</v>
      </c>
      <c r="K158" t="s">
        <v>66</v>
      </c>
      <c r="L158" t="s">
        <v>67</v>
      </c>
    </row>
    <row r="159" spans="1:12" hidden="1" x14ac:dyDescent="0.25">
      <c r="A159" t="s">
        <v>34</v>
      </c>
      <c r="B159" t="s">
        <v>432</v>
      </c>
      <c r="C159" t="s">
        <v>193</v>
      </c>
      <c r="D159" t="s">
        <v>194</v>
      </c>
      <c r="I159" t="s">
        <v>34</v>
      </c>
      <c r="J159" t="s">
        <v>35</v>
      </c>
      <c r="K159" t="s">
        <v>193</v>
      </c>
      <c r="L159" t="s">
        <v>194</v>
      </c>
    </row>
    <row r="160" spans="1:12" hidden="1" x14ac:dyDescent="0.25">
      <c r="A160" t="s">
        <v>34</v>
      </c>
      <c r="B160" t="s">
        <v>432</v>
      </c>
      <c r="C160" t="s">
        <v>195</v>
      </c>
      <c r="D160" t="s">
        <v>196</v>
      </c>
      <c r="I160" t="s">
        <v>34</v>
      </c>
      <c r="J160" t="s">
        <v>35</v>
      </c>
      <c r="K160" t="s">
        <v>195</v>
      </c>
      <c r="L160" t="s">
        <v>196</v>
      </c>
    </row>
    <row r="161" spans="1:12" hidden="1" x14ac:dyDescent="0.25">
      <c r="A161" t="s">
        <v>34</v>
      </c>
      <c r="B161" t="s">
        <v>432</v>
      </c>
      <c r="C161" t="s">
        <v>438</v>
      </c>
      <c r="D161" t="s">
        <v>757</v>
      </c>
      <c r="I161" t="s">
        <v>34</v>
      </c>
      <c r="J161" t="s">
        <v>35</v>
      </c>
      <c r="K161" t="s">
        <v>438</v>
      </c>
      <c r="L161" t="s">
        <v>757</v>
      </c>
    </row>
    <row r="162" spans="1:12" hidden="1" x14ac:dyDescent="0.25">
      <c r="A162" t="s">
        <v>34</v>
      </c>
      <c r="B162" t="s">
        <v>432</v>
      </c>
      <c r="C162" t="s">
        <v>100</v>
      </c>
      <c r="D162" t="s">
        <v>101</v>
      </c>
      <c r="I162" t="s">
        <v>34</v>
      </c>
      <c r="J162" t="s">
        <v>35</v>
      </c>
      <c r="K162" t="s">
        <v>100</v>
      </c>
      <c r="L162" t="s">
        <v>101</v>
      </c>
    </row>
    <row r="163" spans="1:12" hidden="1" x14ac:dyDescent="0.25">
      <c r="A163" t="s">
        <v>34</v>
      </c>
      <c r="B163" t="s">
        <v>432</v>
      </c>
      <c r="C163" t="s">
        <v>102</v>
      </c>
      <c r="D163" t="s">
        <v>103</v>
      </c>
      <c r="I163" t="s">
        <v>34</v>
      </c>
      <c r="J163" t="s">
        <v>35</v>
      </c>
      <c r="K163" t="s">
        <v>102</v>
      </c>
      <c r="L163" t="s">
        <v>103</v>
      </c>
    </row>
    <row r="164" spans="1:12" hidden="1" x14ac:dyDescent="0.25">
      <c r="A164" t="s">
        <v>34</v>
      </c>
      <c r="B164" t="s">
        <v>432</v>
      </c>
      <c r="C164" t="s">
        <v>107</v>
      </c>
      <c r="D164" t="s">
        <v>108</v>
      </c>
      <c r="I164" t="s">
        <v>34</v>
      </c>
      <c r="J164" t="s">
        <v>35</v>
      </c>
      <c r="K164" t="s">
        <v>107</v>
      </c>
      <c r="L164" t="s">
        <v>108</v>
      </c>
    </row>
    <row r="165" spans="1:12" hidden="1" x14ac:dyDescent="0.25">
      <c r="A165" t="s">
        <v>34</v>
      </c>
      <c r="B165" t="s">
        <v>432</v>
      </c>
      <c r="C165" t="s">
        <v>201</v>
      </c>
      <c r="D165" t="s">
        <v>202</v>
      </c>
      <c r="I165" t="s">
        <v>34</v>
      </c>
      <c r="J165" t="s">
        <v>35</v>
      </c>
      <c r="K165" t="s">
        <v>201</v>
      </c>
      <c r="L165" t="s">
        <v>202</v>
      </c>
    </row>
    <row r="166" spans="1:12" hidden="1" x14ac:dyDescent="0.25">
      <c r="A166" t="s">
        <v>34</v>
      </c>
      <c r="B166" t="s">
        <v>432</v>
      </c>
      <c r="C166" t="s">
        <v>111</v>
      </c>
      <c r="D166" t="s">
        <v>112</v>
      </c>
      <c r="I166" t="s">
        <v>34</v>
      </c>
      <c r="J166" t="s">
        <v>35</v>
      </c>
      <c r="K166" t="s">
        <v>111</v>
      </c>
      <c r="L166" t="s">
        <v>112</v>
      </c>
    </row>
    <row r="167" spans="1:12" hidden="1" x14ac:dyDescent="0.25">
      <c r="A167" t="s">
        <v>34</v>
      </c>
      <c r="B167" t="s">
        <v>432</v>
      </c>
      <c r="C167" t="s">
        <v>121</v>
      </c>
      <c r="D167" t="s">
        <v>122</v>
      </c>
      <c r="I167" t="s">
        <v>34</v>
      </c>
      <c r="J167" t="s">
        <v>35</v>
      </c>
      <c r="K167" t="s">
        <v>121</v>
      </c>
      <c r="L167" t="s">
        <v>122</v>
      </c>
    </row>
    <row r="168" spans="1:12" hidden="1" x14ac:dyDescent="0.25">
      <c r="A168" t="s">
        <v>34</v>
      </c>
      <c r="B168" t="s">
        <v>432</v>
      </c>
      <c r="C168" t="s">
        <v>126</v>
      </c>
      <c r="D168" t="s">
        <v>127</v>
      </c>
      <c r="I168" t="s">
        <v>34</v>
      </c>
      <c r="J168" t="s">
        <v>35</v>
      </c>
      <c r="K168" t="s">
        <v>126</v>
      </c>
      <c r="L168" t="s">
        <v>127</v>
      </c>
    </row>
    <row r="169" spans="1:12" hidden="1" x14ac:dyDescent="0.25">
      <c r="A169" t="s">
        <v>34</v>
      </c>
      <c r="B169" t="s">
        <v>368</v>
      </c>
      <c r="C169" t="s">
        <v>124</v>
      </c>
      <c r="D169" t="s">
        <v>125</v>
      </c>
      <c r="I169" t="s">
        <v>34</v>
      </c>
      <c r="J169" t="s">
        <v>123</v>
      </c>
      <c r="K169" t="s">
        <v>124</v>
      </c>
      <c r="L169" t="s">
        <v>125</v>
      </c>
    </row>
    <row r="170" spans="1:12" hidden="1" x14ac:dyDescent="0.25">
      <c r="A170" t="s">
        <v>34</v>
      </c>
      <c r="B170" t="s">
        <v>368</v>
      </c>
      <c r="C170" t="s">
        <v>162</v>
      </c>
      <c r="D170" t="s">
        <v>163</v>
      </c>
      <c r="I170" t="s">
        <v>34</v>
      </c>
      <c r="J170" t="s">
        <v>123</v>
      </c>
      <c r="K170" t="s">
        <v>162</v>
      </c>
      <c r="L170" t="s">
        <v>163</v>
      </c>
    </row>
    <row r="171" spans="1:12" hidden="1" x14ac:dyDescent="0.25">
      <c r="A171" t="s">
        <v>34</v>
      </c>
      <c r="B171" t="s">
        <v>51</v>
      </c>
      <c r="C171" t="s">
        <v>52</v>
      </c>
      <c r="D171" t="s">
        <v>53</v>
      </c>
      <c r="I171" t="s">
        <v>34</v>
      </c>
      <c r="J171" t="s">
        <v>51</v>
      </c>
      <c r="K171" t="s">
        <v>52</v>
      </c>
      <c r="L171" t="s">
        <v>53</v>
      </c>
    </row>
    <row r="172" spans="1:12" hidden="1" x14ac:dyDescent="0.25">
      <c r="A172" t="s">
        <v>34</v>
      </c>
      <c r="B172" t="s">
        <v>51</v>
      </c>
      <c r="C172" t="s">
        <v>68</v>
      </c>
      <c r="D172" t="s">
        <v>69</v>
      </c>
      <c r="I172" t="s">
        <v>34</v>
      </c>
      <c r="J172" t="s">
        <v>51</v>
      </c>
      <c r="K172" t="s">
        <v>68</v>
      </c>
      <c r="L172" t="s">
        <v>69</v>
      </c>
    </row>
    <row r="173" spans="1:12" hidden="1" x14ac:dyDescent="0.25">
      <c r="A173" t="s">
        <v>34</v>
      </c>
      <c r="B173" t="s">
        <v>51</v>
      </c>
      <c r="C173" t="s">
        <v>199</v>
      </c>
      <c r="D173" t="s">
        <v>200</v>
      </c>
      <c r="I173" t="s">
        <v>34</v>
      </c>
      <c r="J173" t="s">
        <v>51</v>
      </c>
      <c r="K173" t="s">
        <v>199</v>
      </c>
      <c r="L173" t="s">
        <v>200</v>
      </c>
    </row>
    <row r="174" spans="1:12" hidden="1" x14ac:dyDescent="0.25">
      <c r="A174" t="s">
        <v>34</v>
      </c>
      <c r="B174" t="s">
        <v>51</v>
      </c>
      <c r="C174" t="s">
        <v>109</v>
      </c>
      <c r="D174" t="s">
        <v>110</v>
      </c>
      <c r="I174" t="s">
        <v>34</v>
      </c>
      <c r="J174" t="s">
        <v>51</v>
      </c>
      <c r="K174" t="s">
        <v>109</v>
      </c>
      <c r="L174" t="s">
        <v>110</v>
      </c>
    </row>
    <row r="175" spans="1:12" hidden="1" x14ac:dyDescent="0.25">
      <c r="A175" t="s">
        <v>34</v>
      </c>
      <c r="B175" t="s">
        <v>51</v>
      </c>
      <c r="C175" t="s">
        <v>342</v>
      </c>
      <c r="D175" t="s">
        <v>110</v>
      </c>
      <c r="I175" t="s">
        <v>34</v>
      </c>
      <c r="J175" t="s">
        <v>51</v>
      </c>
      <c r="K175" t="s">
        <v>342</v>
      </c>
      <c r="L175" t="s">
        <v>110</v>
      </c>
    </row>
    <row r="176" spans="1:12" hidden="1" x14ac:dyDescent="0.25">
      <c r="A176" t="s">
        <v>34</v>
      </c>
      <c r="B176" t="s">
        <v>51</v>
      </c>
      <c r="C176" t="s">
        <v>113</v>
      </c>
      <c r="D176" t="s">
        <v>114</v>
      </c>
      <c r="I176" t="s">
        <v>34</v>
      </c>
      <c r="J176" t="s">
        <v>51</v>
      </c>
      <c r="K176" t="s">
        <v>113</v>
      </c>
      <c r="L176" t="s">
        <v>114</v>
      </c>
    </row>
    <row r="177" spans="1:12" hidden="1" x14ac:dyDescent="0.25">
      <c r="A177" t="s">
        <v>34</v>
      </c>
      <c r="B177" t="s">
        <v>51</v>
      </c>
      <c r="C177" t="s">
        <v>203</v>
      </c>
      <c r="D177" t="s">
        <v>204</v>
      </c>
      <c r="I177" t="s">
        <v>34</v>
      </c>
      <c r="J177" t="s">
        <v>51</v>
      </c>
      <c r="K177" t="s">
        <v>203</v>
      </c>
      <c r="L177" t="s">
        <v>204</v>
      </c>
    </row>
    <row r="178" spans="1:12" hidden="1" x14ac:dyDescent="0.25">
      <c r="A178" t="s">
        <v>34</v>
      </c>
      <c r="B178" t="s">
        <v>51</v>
      </c>
      <c r="C178" t="s">
        <v>156</v>
      </c>
      <c r="D178" t="s">
        <v>157</v>
      </c>
      <c r="I178" t="s">
        <v>34</v>
      </c>
      <c r="J178" t="s">
        <v>51</v>
      </c>
      <c r="K178" t="s">
        <v>156</v>
      </c>
      <c r="L178" t="s">
        <v>157</v>
      </c>
    </row>
    <row r="179" spans="1:12" hidden="1" x14ac:dyDescent="0.25">
      <c r="A179" t="s">
        <v>34</v>
      </c>
      <c r="B179" t="s">
        <v>51</v>
      </c>
      <c r="C179" t="s">
        <v>160</v>
      </c>
      <c r="D179" t="s">
        <v>161</v>
      </c>
      <c r="I179" t="s">
        <v>34</v>
      </c>
      <c r="J179" t="s">
        <v>51</v>
      </c>
      <c r="K179" t="s">
        <v>160</v>
      </c>
      <c r="L179" t="s">
        <v>161</v>
      </c>
    </row>
    <row r="180" spans="1:12" x14ac:dyDescent="0.25">
      <c r="A180" t="s">
        <v>38</v>
      </c>
      <c r="B180" t="s">
        <v>577</v>
      </c>
      <c r="C180" t="s">
        <v>639</v>
      </c>
      <c r="D180" t="s">
        <v>699</v>
      </c>
      <c r="I180" t="s">
        <v>38</v>
      </c>
      <c r="J180" t="s">
        <v>81</v>
      </c>
      <c r="K180" t="s">
        <v>639</v>
      </c>
      <c r="L180" t="s">
        <v>699</v>
      </c>
    </row>
    <row r="181" spans="1:12" x14ac:dyDescent="0.25">
      <c r="A181" t="s">
        <v>38</v>
      </c>
      <c r="B181" t="s">
        <v>518</v>
      </c>
      <c r="C181" t="s">
        <v>243</v>
      </c>
      <c r="D181" t="s">
        <v>244</v>
      </c>
      <c r="I181" t="s">
        <v>38</v>
      </c>
      <c r="J181" t="s">
        <v>859</v>
      </c>
      <c r="K181" t="s">
        <v>243</v>
      </c>
      <c r="L181" t="s">
        <v>244</v>
      </c>
    </row>
    <row r="182" spans="1:12" x14ac:dyDescent="0.25">
      <c r="A182" t="s">
        <v>38</v>
      </c>
      <c r="B182" t="s">
        <v>376</v>
      </c>
      <c r="C182" t="s">
        <v>375</v>
      </c>
      <c r="D182" t="s">
        <v>759</v>
      </c>
      <c r="I182" t="s">
        <v>38</v>
      </c>
      <c r="J182" t="s">
        <v>39</v>
      </c>
      <c r="K182" t="s">
        <v>375</v>
      </c>
      <c r="L182" t="s">
        <v>759</v>
      </c>
    </row>
    <row r="183" spans="1:12" x14ac:dyDescent="0.25">
      <c r="A183" t="s">
        <v>38</v>
      </c>
      <c r="B183" t="s">
        <v>376</v>
      </c>
      <c r="C183" t="s">
        <v>381</v>
      </c>
      <c r="D183" t="s">
        <v>760</v>
      </c>
      <c r="I183" t="s">
        <v>38</v>
      </c>
      <c r="J183" t="s">
        <v>39</v>
      </c>
      <c r="K183" t="s">
        <v>381</v>
      </c>
      <c r="L183" t="s">
        <v>760</v>
      </c>
    </row>
    <row r="184" spans="1:12" x14ac:dyDescent="0.25">
      <c r="A184" t="s">
        <v>38</v>
      </c>
      <c r="B184" t="s">
        <v>376</v>
      </c>
      <c r="C184" t="s">
        <v>383</v>
      </c>
      <c r="D184" t="s">
        <v>761</v>
      </c>
      <c r="I184" t="s">
        <v>38</v>
      </c>
      <c r="J184" t="s">
        <v>39</v>
      </c>
      <c r="K184" t="s">
        <v>383</v>
      </c>
      <c r="L184" t="s">
        <v>761</v>
      </c>
    </row>
    <row r="185" spans="1:12" x14ac:dyDescent="0.25">
      <c r="A185" t="s">
        <v>38</v>
      </c>
      <c r="B185" t="s">
        <v>376</v>
      </c>
      <c r="C185" t="s">
        <v>40</v>
      </c>
      <c r="D185" t="s">
        <v>41</v>
      </c>
      <c r="I185" t="s">
        <v>38</v>
      </c>
      <c r="J185" t="s">
        <v>39</v>
      </c>
      <c r="K185" t="s">
        <v>40</v>
      </c>
      <c r="L185" t="s">
        <v>41</v>
      </c>
    </row>
    <row r="186" spans="1:12" x14ac:dyDescent="0.25">
      <c r="A186" t="s">
        <v>38</v>
      </c>
      <c r="B186" t="s">
        <v>376</v>
      </c>
      <c r="C186" t="s">
        <v>386</v>
      </c>
      <c r="D186" t="s">
        <v>762</v>
      </c>
      <c r="I186" t="s">
        <v>38</v>
      </c>
      <c r="J186" t="s">
        <v>39</v>
      </c>
      <c r="K186" t="s">
        <v>386</v>
      </c>
      <c r="L186" t="s">
        <v>762</v>
      </c>
    </row>
    <row r="187" spans="1:12" x14ac:dyDescent="0.25">
      <c r="A187" t="s">
        <v>38</v>
      </c>
      <c r="B187" t="s">
        <v>376</v>
      </c>
      <c r="C187" t="s">
        <v>388</v>
      </c>
      <c r="D187" t="s">
        <v>763</v>
      </c>
      <c r="I187" t="s">
        <v>38</v>
      </c>
      <c r="J187" t="s">
        <v>39</v>
      </c>
      <c r="K187" t="s">
        <v>388</v>
      </c>
      <c r="L187" t="s">
        <v>763</v>
      </c>
    </row>
    <row r="188" spans="1:12" x14ac:dyDescent="0.25">
      <c r="A188" t="s">
        <v>38</v>
      </c>
      <c r="B188" t="s">
        <v>376</v>
      </c>
      <c r="C188" t="s">
        <v>389</v>
      </c>
      <c r="D188" t="s">
        <v>764</v>
      </c>
      <c r="I188" t="s">
        <v>38</v>
      </c>
      <c r="J188" t="s">
        <v>39</v>
      </c>
      <c r="K188" t="s">
        <v>389</v>
      </c>
      <c r="L188" t="s">
        <v>764</v>
      </c>
    </row>
    <row r="189" spans="1:12" x14ac:dyDescent="0.25">
      <c r="A189" t="s">
        <v>38</v>
      </c>
      <c r="B189" t="s">
        <v>376</v>
      </c>
      <c r="C189" t="s">
        <v>390</v>
      </c>
      <c r="D189" t="s">
        <v>765</v>
      </c>
      <c r="I189" t="s">
        <v>38</v>
      </c>
      <c r="J189" t="s">
        <v>39</v>
      </c>
      <c r="K189" t="s">
        <v>390</v>
      </c>
      <c r="L189" t="s">
        <v>765</v>
      </c>
    </row>
    <row r="190" spans="1:12" x14ac:dyDescent="0.25">
      <c r="A190" t="s">
        <v>38</v>
      </c>
      <c r="B190" t="s">
        <v>376</v>
      </c>
      <c r="C190" t="s">
        <v>392</v>
      </c>
      <c r="D190" t="s">
        <v>766</v>
      </c>
      <c r="I190" t="s">
        <v>38</v>
      </c>
      <c r="J190" t="s">
        <v>39</v>
      </c>
      <c r="K190" t="s">
        <v>392</v>
      </c>
      <c r="L190" t="s">
        <v>766</v>
      </c>
    </row>
    <row r="191" spans="1:12" x14ac:dyDescent="0.25">
      <c r="A191" t="s">
        <v>38</v>
      </c>
      <c r="B191" t="s">
        <v>376</v>
      </c>
      <c r="C191" t="s">
        <v>257</v>
      </c>
      <c r="D191" t="s">
        <v>258</v>
      </c>
      <c r="I191" t="s">
        <v>38</v>
      </c>
      <c r="J191" t="s">
        <v>39</v>
      </c>
      <c r="K191" t="s">
        <v>257</v>
      </c>
      <c r="L191" t="s">
        <v>258</v>
      </c>
    </row>
    <row r="192" spans="1:12" x14ac:dyDescent="0.25">
      <c r="A192" t="s">
        <v>38</v>
      </c>
      <c r="B192" t="s">
        <v>376</v>
      </c>
      <c r="C192" t="s">
        <v>396</v>
      </c>
      <c r="D192" t="s">
        <v>767</v>
      </c>
      <c r="I192" t="s">
        <v>38</v>
      </c>
      <c r="J192" t="s">
        <v>39</v>
      </c>
      <c r="K192" t="s">
        <v>396</v>
      </c>
      <c r="L192" t="s">
        <v>767</v>
      </c>
    </row>
    <row r="193" spans="1:12" x14ac:dyDescent="0.25">
      <c r="A193" t="s">
        <v>38</v>
      </c>
      <c r="B193" t="s">
        <v>376</v>
      </c>
      <c r="C193" t="s">
        <v>398</v>
      </c>
      <c r="D193" t="s">
        <v>768</v>
      </c>
      <c r="I193" t="s">
        <v>38</v>
      </c>
      <c r="J193" t="s">
        <v>39</v>
      </c>
      <c r="K193" t="s">
        <v>398</v>
      </c>
      <c r="L193" t="s">
        <v>768</v>
      </c>
    </row>
    <row r="194" spans="1:12" x14ac:dyDescent="0.25">
      <c r="A194" t="s">
        <v>38</v>
      </c>
      <c r="B194" t="s">
        <v>376</v>
      </c>
      <c r="C194" t="s">
        <v>400</v>
      </c>
      <c r="D194" t="s">
        <v>769</v>
      </c>
      <c r="I194" t="s">
        <v>38</v>
      </c>
      <c r="J194" t="s">
        <v>39</v>
      </c>
      <c r="K194" t="s">
        <v>400</v>
      </c>
      <c r="L194" t="s">
        <v>769</v>
      </c>
    </row>
    <row r="195" spans="1:12" x14ac:dyDescent="0.25">
      <c r="A195" t="s">
        <v>38</v>
      </c>
      <c r="B195" t="s">
        <v>376</v>
      </c>
      <c r="C195" t="s">
        <v>403</v>
      </c>
      <c r="D195" t="s">
        <v>770</v>
      </c>
      <c r="I195" t="s">
        <v>38</v>
      </c>
      <c r="J195" t="s">
        <v>39</v>
      </c>
      <c r="K195" t="s">
        <v>403</v>
      </c>
      <c r="L195" t="s">
        <v>770</v>
      </c>
    </row>
    <row r="196" spans="1:12" x14ac:dyDescent="0.25">
      <c r="A196" t="s">
        <v>38</v>
      </c>
      <c r="B196" t="s">
        <v>376</v>
      </c>
      <c r="C196" t="s">
        <v>406</v>
      </c>
      <c r="D196" t="s">
        <v>116</v>
      </c>
      <c r="I196" t="s">
        <v>38</v>
      </c>
      <c r="J196" t="s">
        <v>39</v>
      </c>
      <c r="K196" t="s">
        <v>406</v>
      </c>
      <c r="L196" t="s">
        <v>116</v>
      </c>
    </row>
    <row r="197" spans="1:12" x14ac:dyDescent="0.25">
      <c r="A197" t="s">
        <v>38</v>
      </c>
      <c r="B197" t="s">
        <v>376</v>
      </c>
      <c r="C197" t="s">
        <v>128</v>
      </c>
      <c r="D197" t="s">
        <v>129</v>
      </c>
      <c r="I197" t="s">
        <v>38</v>
      </c>
      <c r="J197" t="s">
        <v>39</v>
      </c>
      <c r="K197" t="s">
        <v>128</v>
      </c>
      <c r="L197" t="s">
        <v>129</v>
      </c>
    </row>
    <row r="198" spans="1:12" x14ac:dyDescent="0.25">
      <c r="A198" t="s">
        <v>38</v>
      </c>
      <c r="B198" t="s">
        <v>376</v>
      </c>
      <c r="C198" t="s">
        <v>411</v>
      </c>
      <c r="D198" t="s">
        <v>771</v>
      </c>
      <c r="I198" t="s">
        <v>38</v>
      </c>
      <c r="J198" t="s">
        <v>39</v>
      </c>
      <c r="K198" t="s">
        <v>411</v>
      </c>
      <c r="L198" t="s">
        <v>771</v>
      </c>
    </row>
    <row r="199" spans="1:12" x14ac:dyDescent="0.25">
      <c r="A199" t="s">
        <v>38</v>
      </c>
      <c r="B199" t="s">
        <v>376</v>
      </c>
      <c r="C199" t="s">
        <v>413</v>
      </c>
      <c r="D199" t="s">
        <v>772</v>
      </c>
      <c r="I199" t="s">
        <v>38</v>
      </c>
      <c r="J199" t="s">
        <v>39</v>
      </c>
      <c r="K199" t="s">
        <v>413</v>
      </c>
      <c r="L199" t="s">
        <v>772</v>
      </c>
    </row>
    <row r="200" spans="1:12" x14ac:dyDescent="0.25">
      <c r="A200" t="s">
        <v>38</v>
      </c>
      <c r="B200" t="s">
        <v>376</v>
      </c>
      <c r="C200" t="s">
        <v>416</v>
      </c>
      <c r="D200" t="s">
        <v>773</v>
      </c>
      <c r="I200" t="s">
        <v>38</v>
      </c>
      <c r="J200" t="s">
        <v>39</v>
      </c>
      <c r="K200" t="s">
        <v>416</v>
      </c>
      <c r="L200" t="s">
        <v>773</v>
      </c>
    </row>
    <row r="201" spans="1:12" x14ac:dyDescent="0.25">
      <c r="A201" t="s">
        <v>38</v>
      </c>
      <c r="B201" t="s">
        <v>376</v>
      </c>
      <c r="C201" t="s">
        <v>418</v>
      </c>
      <c r="D201" t="s">
        <v>774</v>
      </c>
      <c r="I201" t="s">
        <v>38</v>
      </c>
      <c r="J201" t="s">
        <v>39</v>
      </c>
      <c r="K201" t="s">
        <v>418</v>
      </c>
      <c r="L201" t="s">
        <v>774</v>
      </c>
    </row>
    <row r="202" spans="1:12" x14ac:dyDescent="0.25">
      <c r="A202" t="s">
        <v>38</v>
      </c>
      <c r="B202" t="s">
        <v>376</v>
      </c>
      <c r="C202" t="s">
        <v>39</v>
      </c>
      <c r="D202" t="s">
        <v>151</v>
      </c>
      <c r="I202" t="s">
        <v>38</v>
      </c>
      <c r="J202" t="s">
        <v>39</v>
      </c>
      <c r="K202" t="s">
        <v>39</v>
      </c>
      <c r="L202" t="s">
        <v>151</v>
      </c>
    </row>
    <row r="203" spans="1:12" x14ac:dyDescent="0.25">
      <c r="A203" t="s">
        <v>38</v>
      </c>
      <c r="B203" t="s">
        <v>376</v>
      </c>
      <c r="C203" t="s">
        <v>422</v>
      </c>
      <c r="D203" t="s">
        <v>775</v>
      </c>
      <c r="I203" t="s">
        <v>38</v>
      </c>
      <c r="J203" t="s">
        <v>39</v>
      </c>
      <c r="K203" t="s">
        <v>422</v>
      </c>
      <c r="L203" t="s">
        <v>775</v>
      </c>
    </row>
    <row r="204" spans="1:12" x14ac:dyDescent="0.25">
      <c r="A204" t="s">
        <v>38</v>
      </c>
      <c r="B204" t="s">
        <v>376</v>
      </c>
      <c r="C204" t="s">
        <v>425</v>
      </c>
      <c r="D204" t="s">
        <v>776</v>
      </c>
      <c r="I204" t="s">
        <v>38</v>
      </c>
      <c r="J204" t="s">
        <v>39</v>
      </c>
      <c r="K204" t="s">
        <v>425</v>
      </c>
      <c r="L204" t="s">
        <v>776</v>
      </c>
    </row>
    <row r="205" spans="1:12" x14ac:dyDescent="0.25">
      <c r="A205" t="s">
        <v>38</v>
      </c>
      <c r="B205" t="s">
        <v>376</v>
      </c>
      <c r="C205" t="s">
        <v>164</v>
      </c>
      <c r="D205" t="s">
        <v>165</v>
      </c>
      <c r="I205" t="s">
        <v>38</v>
      </c>
      <c r="J205" t="s">
        <v>39</v>
      </c>
      <c r="K205" t="s">
        <v>164</v>
      </c>
      <c r="L205" t="s">
        <v>165</v>
      </c>
    </row>
    <row r="206" spans="1:12" x14ac:dyDescent="0.25">
      <c r="A206" t="s">
        <v>38</v>
      </c>
      <c r="B206" t="s">
        <v>376</v>
      </c>
      <c r="C206" t="s">
        <v>429</v>
      </c>
      <c r="D206" t="s">
        <v>777</v>
      </c>
      <c r="I206" t="s">
        <v>38</v>
      </c>
      <c r="J206" t="s">
        <v>39</v>
      </c>
      <c r="K206" t="s">
        <v>429</v>
      </c>
      <c r="L206" t="s">
        <v>777</v>
      </c>
    </row>
    <row r="207" spans="1:12" x14ac:dyDescent="0.25">
      <c r="A207" t="s">
        <v>853</v>
      </c>
      <c r="B207" t="s">
        <v>648</v>
      </c>
      <c r="C207" t="s">
        <v>35</v>
      </c>
      <c r="D207" t="s">
        <v>854</v>
      </c>
    </row>
    <row r="208" spans="1:12" x14ac:dyDescent="0.25">
      <c r="A208" t="s">
        <v>853</v>
      </c>
      <c r="B208" t="s">
        <v>646</v>
      </c>
      <c r="C208" t="s">
        <v>645</v>
      </c>
      <c r="D208" t="s">
        <v>855</v>
      </c>
    </row>
    <row r="209" spans="1:4" x14ac:dyDescent="0.25">
      <c r="A209" t="s">
        <v>853</v>
      </c>
      <c r="B209" t="s">
        <v>643</v>
      </c>
      <c r="C209" t="s">
        <v>642</v>
      </c>
      <c r="D209" t="s">
        <v>856</v>
      </c>
    </row>
    <row r="210" spans="1:4" x14ac:dyDescent="0.25">
      <c r="A210" t="s">
        <v>853</v>
      </c>
      <c r="B210" t="s">
        <v>314</v>
      </c>
      <c r="C210" t="s">
        <v>313</v>
      </c>
      <c r="D210" t="s">
        <v>857</v>
      </c>
    </row>
  </sheetData>
  <autoFilter ref="I3:L206" xr:uid="{32FD2170-1A80-4F4E-B67F-923ED807CC4D}">
    <filterColumn colId="0">
      <filters>
        <filter val="ATL"/>
        <filter val="BUE"/>
        <filter val="COR"/>
        <filter val="CUY"/>
        <filter val="MSO"/>
        <filter val="NEA"/>
        <filter val="NOA"/>
        <filter val="PAM"/>
        <filter val="SFE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V409"/>
  <sheetViews>
    <sheetView topLeftCell="B379" zoomScale="115" zoomScaleNormal="115" workbookViewId="0">
      <selection activeCell="D409" sqref="D409"/>
    </sheetView>
  </sheetViews>
  <sheetFormatPr baseColWidth="10" defaultColWidth="29.7109375" defaultRowHeight="15" x14ac:dyDescent="0.25"/>
  <cols>
    <col min="1" max="1" width="9.140625" bestFit="1" customWidth="1"/>
    <col min="2" max="2" width="30.7109375" bestFit="1" customWidth="1"/>
    <col min="3" max="3" width="36.28515625" customWidth="1"/>
    <col min="4" max="4" width="98.42578125" customWidth="1"/>
    <col min="5" max="5" width="9.5703125" bestFit="1" customWidth="1"/>
    <col min="6" max="6" width="10.7109375" bestFit="1" customWidth="1"/>
    <col min="7" max="7" width="11.5703125" bestFit="1" customWidth="1"/>
    <col min="8" max="9" width="12.140625" bestFit="1" customWidth="1"/>
    <col min="10" max="10" width="11.7109375" bestFit="1" customWidth="1"/>
    <col min="11" max="11" width="14" bestFit="1" customWidth="1"/>
    <col min="12" max="12" width="11" bestFit="1" customWidth="1"/>
    <col min="13" max="13" width="8" bestFit="1" customWidth="1"/>
    <col min="14" max="14" width="13.5703125" bestFit="1" customWidth="1"/>
    <col min="15" max="15" width="22.28515625" bestFit="1" customWidth="1"/>
    <col min="16" max="16" width="24" bestFit="1" customWidth="1"/>
    <col min="17" max="17" width="16.140625" bestFit="1" customWidth="1"/>
    <col min="18" max="18" width="22.85546875" bestFit="1" customWidth="1"/>
    <col min="19" max="19" width="13.42578125" bestFit="1" customWidth="1"/>
    <col min="20" max="20" width="11.42578125" bestFit="1" customWidth="1"/>
    <col min="21" max="21" width="10.140625" bestFit="1" customWidth="1"/>
  </cols>
  <sheetData>
    <row r="1" spans="1:22" ht="16.5" thickTop="1" thickBot="1" x14ac:dyDescent="0.3">
      <c r="A1" s="11" t="s">
        <v>291</v>
      </c>
      <c r="B1" s="11" t="s">
        <v>292</v>
      </c>
      <c r="C1" s="11" t="s">
        <v>293</v>
      </c>
      <c r="D1" s="11" t="s">
        <v>294</v>
      </c>
      <c r="E1" s="11" t="s">
        <v>295</v>
      </c>
      <c r="F1" s="11" t="s">
        <v>296</v>
      </c>
      <c r="G1" s="11" t="s">
        <v>297</v>
      </c>
      <c r="H1" s="32" t="s">
        <v>298</v>
      </c>
      <c r="I1" s="32" t="s">
        <v>299</v>
      </c>
      <c r="J1" s="33" t="s">
        <v>300</v>
      </c>
      <c r="K1" s="33" t="s">
        <v>301</v>
      </c>
      <c r="L1" s="34" t="s">
        <v>302</v>
      </c>
      <c r="M1" s="34" t="s">
        <v>303</v>
      </c>
      <c r="N1" s="34" t="s">
        <v>304</v>
      </c>
      <c r="O1" s="34" t="s">
        <v>305</v>
      </c>
      <c r="P1" s="34" t="s">
        <v>306</v>
      </c>
      <c r="Q1" s="34" t="s">
        <v>307</v>
      </c>
      <c r="R1" s="35" t="s">
        <v>308</v>
      </c>
      <c r="S1" s="35" t="s">
        <v>309</v>
      </c>
      <c r="T1" s="36" t="s">
        <v>310</v>
      </c>
      <c r="U1" s="37" t="s">
        <v>311</v>
      </c>
      <c r="V1" s="36" t="s">
        <v>849</v>
      </c>
    </row>
    <row r="2" spans="1:22" ht="15.75" thickTop="1" x14ac:dyDescent="0.25">
      <c r="A2" s="56" t="s">
        <v>312</v>
      </c>
      <c r="B2" s="38" t="s">
        <v>35</v>
      </c>
      <c r="C2" s="38" t="s">
        <v>35</v>
      </c>
      <c r="D2" s="39" t="s">
        <v>648</v>
      </c>
      <c r="E2" s="16"/>
      <c r="F2" s="12"/>
      <c r="G2" s="16"/>
      <c r="H2" s="40" t="s">
        <v>315</v>
      </c>
      <c r="I2" s="40" t="s">
        <v>649</v>
      </c>
      <c r="J2" s="41" t="s">
        <v>317</v>
      </c>
      <c r="K2" s="41" t="s">
        <v>331</v>
      </c>
      <c r="L2" s="57" t="s">
        <v>319</v>
      </c>
      <c r="M2" s="58" t="str">
        <f>Tabla16[[#This Row],[ABR_02]]</f>
        <v>BO</v>
      </c>
      <c r="N2" t="s">
        <v>320</v>
      </c>
      <c r="O2" s="59" t="s">
        <v>318</v>
      </c>
      <c r="P2" t="s">
        <v>321</v>
      </c>
      <c r="Q2" t="s">
        <v>322</v>
      </c>
      <c r="R2" s="60" t="str">
        <f>_xlfn.CONCAT(Tabla16[[#This Row],[ABR_01]],"00",Tabla16[[#This Row],[ABR_02]],Tabla16[[#This Row],[ZONA2]],,"0",Tabla16[[#This Row],[PARADA2]])</f>
        <v>AR00BO1002</v>
      </c>
      <c r="S2" s="60" t="s">
        <v>323</v>
      </c>
      <c r="T2" s="42" t="s">
        <v>324</v>
      </c>
      <c r="U2" s="42" t="s">
        <v>324</v>
      </c>
      <c r="V2" t="s">
        <v>852</v>
      </c>
    </row>
    <row r="3" spans="1:22" x14ac:dyDescent="0.25">
      <c r="A3" s="56" t="s">
        <v>312</v>
      </c>
      <c r="B3" s="38" t="s">
        <v>35</v>
      </c>
      <c r="C3" s="38" t="s">
        <v>35</v>
      </c>
      <c r="D3" s="39" t="s">
        <v>648</v>
      </c>
      <c r="E3" s="16"/>
      <c r="F3" s="12"/>
      <c r="G3" s="16"/>
      <c r="H3" s="40" t="s">
        <v>315</v>
      </c>
      <c r="I3" s="40" t="s">
        <v>649</v>
      </c>
      <c r="J3" s="41" t="s">
        <v>317</v>
      </c>
      <c r="K3" s="41" t="s">
        <v>331</v>
      </c>
      <c r="L3" s="57" t="s">
        <v>319</v>
      </c>
      <c r="M3" s="58" t="str">
        <f>Tabla16[[#This Row],[ABR_02]]</f>
        <v>BO</v>
      </c>
      <c r="N3" t="s">
        <v>320</v>
      </c>
      <c r="O3" s="59" t="s">
        <v>334</v>
      </c>
      <c r="P3" t="s">
        <v>650</v>
      </c>
      <c r="Q3" t="s">
        <v>322</v>
      </c>
      <c r="R3" s="60" t="str">
        <f>_xlfn.CONCAT(Tabla16[[#This Row],[ABR_01]],"00",Tabla16[[#This Row],[ABR_02]],Tabla16[[#This Row],[ZONA2]],,"0",Tabla16[[#This Row],[PARADA2]])</f>
        <v>AR00BO1002</v>
      </c>
      <c r="S3" s="60" t="s">
        <v>323</v>
      </c>
      <c r="T3" s="42" t="s">
        <v>324</v>
      </c>
      <c r="U3" s="53" t="s">
        <v>324</v>
      </c>
      <c r="V3" t="s">
        <v>852</v>
      </c>
    </row>
    <row r="4" spans="1:22" x14ac:dyDescent="0.25">
      <c r="A4" s="56" t="s">
        <v>312</v>
      </c>
      <c r="B4" s="38" t="s">
        <v>645</v>
      </c>
      <c r="C4" s="38" t="s">
        <v>645</v>
      </c>
      <c r="D4" s="39" t="s">
        <v>646</v>
      </c>
      <c r="E4" s="16"/>
      <c r="F4" s="12"/>
      <c r="G4" s="16"/>
      <c r="H4" s="40" t="s">
        <v>315</v>
      </c>
      <c r="I4" s="40" t="s">
        <v>647</v>
      </c>
      <c r="J4" s="41" t="s">
        <v>317</v>
      </c>
      <c r="K4" s="41" t="s">
        <v>334</v>
      </c>
      <c r="L4" s="57" t="s">
        <v>319</v>
      </c>
      <c r="M4" s="58" t="str">
        <f>Tabla16[[#This Row],[ABR_02]]</f>
        <v>CL</v>
      </c>
      <c r="N4" t="s">
        <v>320</v>
      </c>
      <c r="O4" s="59" t="s">
        <v>318</v>
      </c>
      <c r="P4" t="s">
        <v>321</v>
      </c>
      <c r="Q4" t="s">
        <v>322</v>
      </c>
      <c r="R4" s="60" t="str">
        <f>_xlfn.CONCAT(Tabla16[[#This Row],[ABR_01]],"00",Tabla16[[#This Row],[ABR_02]],Tabla16[[#This Row],[ZONA2]],,"0",Tabla16[[#This Row],[PARADA2]])</f>
        <v>AR00CL1004</v>
      </c>
      <c r="S4" s="60" t="s">
        <v>323</v>
      </c>
      <c r="U4" s="42" t="s">
        <v>324</v>
      </c>
      <c r="V4" t="s">
        <v>852</v>
      </c>
    </row>
    <row r="5" spans="1:22" x14ac:dyDescent="0.25">
      <c r="A5" s="56" t="s">
        <v>312</v>
      </c>
      <c r="B5" s="38" t="s">
        <v>645</v>
      </c>
      <c r="C5" s="38" t="s">
        <v>645</v>
      </c>
      <c r="D5" s="39" t="s">
        <v>646</v>
      </c>
      <c r="E5" s="16"/>
      <c r="F5" s="12"/>
      <c r="G5" s="16"/>
      <c r="H5" s="40" t="s">
        <v>315</v>
      </c>
      <c r="I5" s="40" t="s">
        <v>647</v>
      </c>
      <c r="J5" s="41" t="s">
        <v>317</v>
      </c>
      <c r="K5" s="41" t="s">
        <v>334</v>
      </c>
      <c r="L5" s="57" t="s">
        <v>319</v>
      </c>
      <c r="M5" s="58" t="str">
        <f>Tabla16[[#This Row],[ABR_02]]</f>
        <v>CL</v>
      </c>
      <c r="N5" t="s">
        <v>320</v>
      </c>
      <c r="O5" s="59" t="s">
        <v>334</v>
      </c>
      <c r="P5" t="s">
        <v>650</v>
      </c>
      <c r="Q5" t="s">
        <v>322</v>
      </c>
      <c r="R5" s="60" t="str">
        <f>_xlfn.CONCAT(Tabla16[[#This Row],[ABR_01]],"00",Tabla16[[#This Row],[ABR_02]],Tabla16[[#This Row],[ZONA2]],,"0",Tabla16[[#This Row],[PARADA2]])</f>
        <v>AR00CL1004</v>
      </c>
      <c r="S5" s="60" t="s">
        <v>323</v>
      </c>
      <c r="U5" s="53" t="s">
        <v>324</v>
      </c>
      <c r="V5" t="s">
        <v>852</v>
      </c>
    </row>
    <row r="6" spans="1:22" x14ac:dyDescent="0.25">
      <c r="A6" s="56" t="s">
        <v>312</v>
      </c>
      <c r="B6" s="38" t="s">
        <v>642</v>
      </c>
      <c r="C6" s="38" t="s">
        <v>642</v>
      </c>
      <c r="D6" s="39" t="s">
        <v>643</v>
      </c>
      <c r="E6" s="16"/>
      <c r="F6" s="12"/>
      <c r="G6" s="16"/>
      <c r="H6" s="40" t="s">
        <v>315</v>
      </c>
      <c r="I6" s="40" t="s">
        <v>644</v>
      </c>
      <c r="J6" s="41" t="s">
        <v>317</v>
      </c>
      <c r="K6" s="41" t="s">
        <v>332</v>
      </c>
      <c r="L6" s="57" t="s">
        <v>319</v>
      </c>
      <c r="M6" s="58" t="str">
        <f>Tabla16[[#This Row],[ABR_02]]</f>
        <v>PA</v>
      </c>
      <c r="N6" t="s">
        <v>320</v>
      </c>
      <c r="O6" s="59" t="s">
        <v>318</v>
      </c>
      <c r="P6" t="s">
        <v>321</v>
      </c>
      <c r="Q6" t="s">
        <v>322</v>
      </c>
      <c r="R6" s="60" t="str">
        <f>_xlfn.CONCAT(Tabla16[[#This Row],[ABR_01]],"00",Tabla16[[#This Row],[ABR_02]],Tabla16[[#This Row],[ZONA2]],,"0",Tabla16[[#This Row],[PARADA2]])</f>
        <v>AR00PA1003</v>
      </c>
      <c r="S6" s="60" t="s">
        <v>323</v>
      </c>
      <c r="T6" s="42" t="s">
        <v>324</v>
      </c>
      <c r="U6" s="42" t="s">
        <v>324</v>
      </c>
      <c r="V6" t="s">
        <v>852</v>
      </c>
    </row>
    <row r="7" spans="1:22" x14ac:dyDescent="0.25">
      <c r="A7" s="56" t="s">
        <v>312</v>
      </c>
      <c r="B7" s="38" t="s">
        <v>642</v>
      </c>
      <c r="C7" s="38" t="s">
        <v>642</v>
      </c>
      <c r="D7" s="39" t="s">
        <v>643</v>
      </c>
      <c r="E7" s="16"/>
      <c r="F7" s="12"/>
      <c r="G7" s="16"/>
      <c r="H7" s="40" t="s">
        <v>315</v>
      </c>
      <c r="I7" s="40" t="s">
        <v>644</v>
      </c>
      <c r="J7" s="41" t="s">
        <v>317</v>
      </c>
      <c r="K7" s="41" t="s">
        <v>332</v>
      </c>
      <c r="L7" s="57" t="s">
        <v>319</v>
      </c>
      <c r="M7" s="58" t="str">
        <f>Tabla16[[#This Row],[ABR_02]]</f>
        <v>PA</v>
      </c>
      <c r="N7" t="s">
        <v>320</v>
      </c>
      <c r="O7" s="59" t="s">
        <v>334</v>
      </c>
      <c r="P7" t="s">
        <v>650</v>
      </c>
      <c r="Q7" t="s">
        <v>322</v>
      </c>
      <c r="R7" s="60" t="str">
        <f>_xlfn.CONCAT(Tabla16[[#This Row],[ABR_01]],"00",Tabla16[[#This Row],[ABR_02]],Tabla16[[#This Row],[ZONA2]],,"0",Tabla16[[#This Row],[PARADA2]])</f>
        <v>AR00PA1003</v>
      </c>
      <c r="S7" s="60" t="s">
        <v>323</v>
      </c>
      <c r="T7" s="42" t="s">
        <v>324</v>
      </c>
      <c r="U7" s="53" t="s">
        <v>324</v>
      </c>
      <c r="V7" t="s">
        <v>852</v>
      </c>
    </row>
    <row r="8" spans="1:22" x14ac:dyDescent="0.25">
      <c r="A8" s="61" t="s">
        <v>576</v>
      </c>
      <c r="B8" s="47" t="s">
        <v>182</v>
      </c>
      <c r="C8" s="48" t="s">
        <v>182</v>
      </c>
      <c r="D8" s="49" t="s">
        <v>577</v>
      </c>
      <c r="E8" s="50" t="s">
        <v>177</v>
      </c>
      <c r="F8" s="51" t="s">
        <v>578</v>
      </c>
      <c r="G8" s="50" t="s">
        <v>578</v>
      </c>
      <c r="H8" s="40" t="s">
        <v>315</v>
      </c>
      <c r="I8" s="40" t="s">
        <v>579</v>
      </c>
      <c r="J8" s="41" t="s">
        <v>317</v>
      </c>
      <c r="K8" s="41" t="s">
        <v>318</v>
      </c>
      <c r="L8" s="57" t="s">
        <v>319</v>
      </c>
      <c r="M8" s="58" t="str">
        <f>Tabla16[[#This Row],[ABR_02]]</f>
        <v>BA</v>
      </c>
      <c r="N8" t="s">
        <v>320</v>
      </c>
      <c r="O8" s="59" t="s">
        <v>318</v>
      </c>
      <c r="P8" t="s">
        <v>321</v>
      </c>
      <c r="Q8" t="s">
        <v>320</v>
      </c>
      <c r="R8" s="60" t="str">
        <f>_xlfn.CONCAT(Tabla16[[#This Row],[ABR_01]],"00",Tabla16[[#This Row],[ABR_02]],Tabla16[[#This Row],[ZONA2]],,"0",Tabla16[[#This Row],[PARADA2]])</f>
        <v>AR00BA1001</v>
      </c>
      <c r="S8" s="60" t="s">
        <v>580</v>
      </c>
      <c r="T8" s="42" t="s">
        <v>324</v>
      </c>
      <c r="U8" s="42" t="s">
        <v>324</v>
      </c>
      <c r="V8" t="s">
        <v>851</v>
      </c>
    </row>
    <row r="9" spans="1:22" x14ac:dyDescent="0.25">
      <c r="A9" s="61" t="s">
        <v>576</v>
      </c>
      <c r="B9" s="47" t="s">
        <v>219</v>
      </c>
      <c r="C9" s="48" t="s">
        <v>219</v>
      </c>
      <c r="D9" s="49" t="s">
        <v>577</v>
      </c>
      <c r="E9" s="50" t="s">
        <v>177</v>
      </c>
      <c r="F9" s="51" t="s">
        <v>581</v>
      </c>
      <c r="G9" s="50" t="s">
        <v>581</v>
      </c>
      <c r="H9" s="40" t="s">
        <v>315</v>
      </c>
      <c r="I9" s="40" t="s">
        <v>579</v>
      </c>
      <c r="J9" s="41" t="s">
        <v>317</v>
      </c>
      <c r="K9" s="41" t="s">
        <v>331</v>
      </c>
      <c r="L9" s="57" t="s">
        <v>319</v>
      </c>
      <c r="M9" s="58" t="str">
        <f>Tabla16[[#This Row],[ABR_02]]</f>
        <v>BA</v>
      </c>
      <c r="N9" t="s">
        <v>320</v>
      </c>
      <c r="O9" s="59" t="s">
        <v>318</v>
      </c>
      <c r="P9" t="s">
        <v>321</v>
      </c>
      <c r="Q9" t="s">
        <v>320</v>
      </c>
      <c r="R9" s="60" t="str">
        <f>_xlfn.CONCAT(Tabla16[[#This Row],[ABR_01]],"00",Tabla16[[#This Row],[ABR_02]],Tabla16[[#This Row],[ZONA2]],,"0",Tabla16[[#This Row],[PARADA2]])</f>
        <v>AR00BA1002</v>
      </c>
      <c r="S9" s="60" t="s">
        <v>580</v>
      </c>
      <c r="T9" s="42" t="s">
        <v>324</v>
      </c>
      <c r="U9" s="42" t="s">
        <v>324</v>
      </c>
      <c r="V9" t="s">
        <v>851</v>
      </c>
    </row>
    <row r="10" spans="1:22" x14ac:dyDescent="0.25">
      <c r="A10" s="61" t="s">
        <v>576</v>
      </c>
      <c r="B10" s="47" t="s">
        <v>178</v>
      </c>
      <c r="C10" s="48" t="s">
        <v>178</v>
      </c>
      <c r="D10" s="49" t="s">
        <v>577</v>
      </c>
      <c r="E10" s="50" t="s">
        <v>177</v>
      </c>
      <c r="F10" s="51" t="s">
        <v>581</v>
      </c>
      <c r="G10" s="52" t="s">
        <v>582</v>
      </c>
      <c r="H10" s="40" t="s">
        <v>315</v>
      </c>
      <c r="I10" s="40" t="s">
        <v>579</v>
      </c>
      <c r="J10" s="41" t="s">
        <v>317</v>
      </c>
      <c r="K10" s="41" t="s">
        <v>332</v>
      </c>
      <c r="L10" s="57" t="s">
        <v>319</v>
      </c>
      <c r="M10" s="58" t="str">
        <f>Tabla16[[#This Row],[ABR_02]]</f>
        <v>BA</v>
      </c>
      <c r="N10" t="s">
        <v>320</v>
      </c>
      <c r="O10" s="59" t="s">
        <v>318</v>
      </c>
      <c r="P10" t="s">
        <v>321</v>
      </c>
      <c r="Q10" t="s">
        <v>320</v>
      </c>
      <c r="R10" s="60" t="str">
        <f>_xlfn.CONCAT(Tabla16[[#This Row],[ABR_01]],"00",Tabla16[[#This Row],[ABR_02]],Tabla16[[#This Row],[ZONA2]],,"0",Tabla16[[#This Row],[PARADA2]])</f>
        <v>AR00BA1003</v>
      </c>
      <c r="S10" s="60" t="s">
        <v>580</v>
      </c>
      <c r="T10" s="42" t="s">
        <v>324</v>
      </c>
      <c r="U10" s="42" t="s">
        <v>324</v>
      </c>
      <c r="V10" t="s">
        <v>851</v>
      </c>
    </row>
    <row r="11" spans="1:22" x14ac:dyDescent="0.25">
      <c r="A11" s="61" t="s">
        <v>576</v>
      </c>
      <c r="B11" s="47" t="s">
        <v>221</v>
      </c>
      <c r="C11" s="48" t="s">
        <v>221</v>
      </c>
      <c r="D11" s="49" t="s">
        <v>577</v>
      </c>
      <c r="E11" s="50" t="s">
        <v>177</v>
      </c>
      <c r="F11" s="51" t="s">
        <v>583</v>
      </c>
      <c r="G11" s="50" t="s">
        <v>583</v>
      </c>
      <c r="H11" s="40" t="s">
        <v>315</v>
      </c>
      <c r="I11" s="40" t="s">
        <v>579</v>
      </c>
      <c r="J11" s="41" t="s">
        <v>317</v>
      </c>
      <c r="K11" s="41" t="s">
        <v>334</v>
      </c>
      <c r="L11" s="57" t="s">
        <v>319</v>
      </c>
      <c r="M11" s="58" t="str">
        <f>Tabla16[[#This Row],[ABR_02]]</f>
        <v>BA</v>
      </c>
      <c r="N11" t="s">
        <v>320</v>
      </c>
      <c r="O11" s="59" t="s">
        <v>318</v>
      </c>
      <c r="P11" t="s">
        <v>321</v>
      </c>
      <c r="Q11" t="s">
        <v>320</v>
      </c>
      <c r="R11" s="60" t="str">
        <f>_xlfn.CONCAT(Tabla16[[#This Row],[ABR_01]],"00",Tabla16[[#This Row],[ABR_02]],Tabla16[[#This Row],[ZONA2]],,"0",Tabla16[[#This Row],[PARADA2]])</f>
        <v>AR00BA1004</v>
      </c>
      <c r="S11" s="60" t="s">
        <v>580</v>
      </c>
      <c r="T11" s="42" t="s">
        <v>324</v>
      </c>
      <c r="U11" s="42" t="s">
        <v>324</v>
      </c>
      <c r="V11" t="s">
        <v>851</v>
      </c>
    </row>
    <row r="12" spans="1:22" x14ac:dyDescent="0.25">
      <c r="A12" s="61" t="s">
        <v>576</v>
      </c>
      <c r="B12" s="47" t="s">
        <v>213</v>
      </c>
      <c r="C12" s="48" t="s">
        <v>213</v>
      </c>
      <c r="D12" s="49" t="s">
        <v>577</v>
      </c>
      <c r="E12" s="50" t="s">
        <v>177</v>
      </c>
      <c r="F12" s="50" t="s">
        <v>581</v>
      </c>
      <c r="G12" s="52" t="s">
        <v>584</v>
      </c>
      <c r="H12" s="40" t="s">
        <v>315</v>
      </c>
      <c r="I12" s="40" t="s">
        <v>579</v>
      </c>
      <c r="J12" s="41" t="s">
        <v>317</v>
      </c>
      <c r="K12" s="41" t="s">
        <v>344</v>
      </c>
      <c r="L12" s="57" t="s">
        <v>319</v>
      </c>
      <c r="M12" s="58" t="str">
        <f>Tabla16[[#This Row],[ABR_02]]</f>
        <v>BA</v>
      </c>
      <c r="N12" t="s">
        <v>320</v>
      </c>
      <c r="O12" s="59" t="s">
        <v>318</v>
      </c>
      <c r="P12" t="s">
        <v>321</v>
      </c>
      <c r="Q12" t="s">
        <v>320</v>
      </c>
      <c r="R12" s="60" t="str">
        <f>_xlfn.CONCAT(Tabla16[[#This Row],[ABR_01]],"00",Tabla16[[#This Row],[ABR_02]],Tabla16[[#This Row],[ZONA2]],,"0",Tabla16[[#This Row],[PARADA2]])</f>
        <v>AR00BA1005</v>
      </c>
      <c r="S12" s="60" t="s">
        <v>580</v>
      </c>
      <c r="T12" s="42" t="s">
        <v>324</v>
      </c>
      <c r="U12" s="42" t="s">
        <v>324</v>
      </c>
      <c r="V12" t="s">
        <v>851</v>
      </c>
    </row>
    <row r="13" spans="1:22" x14ac:dyDescent="0.25">
      <c r="A13" s="61" t="s">
        <v>576</v>
      </c>
      <c r="B13" s="47" t="s">
        <v>211</v>
      </c>
      <c r="C13" s="48" t="s">
        <v>211</v>
      </c>
      <c r="D13" s="49" t="s">
        <v>577</v>
      </c>
      <c r="E13" s="50" t="s">
        <v>177</v>
      </c>
      <c r="F13" s="50" t="s">
        <v>581</v>
      </c>
      <c r="G13" s="52" t="s">
        <v>585</v>
      </c>
      <c r="H13" s="40" t="s">
        <v>315</v>
      </c>
      <c r="I13" s="40" t="s">
        <v>579</v>
      </c>
      <c r="J13" s="41" t="s">
        <v>317</v>
      </c>
      <c r="K13" s="41" t="s">
        <v>345</v>
      </c>
      <c r="L13" s="57" t="s">
        <v>319</v>
      </c>
      <c r="M13" s="58" t="str">
        <f>Tabla16[[#This Row],[ABR_02]]</f>
        <v>BA</v>
      </c>
      <c r="N13" t="s">
        <v>320</v>
      </c>
      <c r="O13" s="59" t="s">
        <v>318</v>
      </c>
      <c r="P13" t="s">
        <v>321</v>
      </c>
      <c r="Q13" t="s">
        <v>320</v>
      </c>
      <c r="R13" s="60" t="str">
        <f>_xlfn.CONCAT(Tabla16[[#This Row],[ABR_01]],"00",Tabla16[[#This Row],[ABR_02]],Tabla16[[#This Row],[ZONA2]],,"0",Tabla16[[#This Row],[PARADA2]])</f>
        <v>AR00BA1006</v>
      </c>
      <c r="S13" s="60" t="s">
        <v>580</v>
      </c>
      <c r="T13" s="42" t="s">
        <v>324</v>
      </c>
      <c r="U13" s="42" t="s">
        <v>324</v>
      </c>
      <c r="V13" t="s">
        <v>851</v>
      </c>
    </row>
    <row r="14" spans="1:22" x14ac:dyDescent="0.25">
      <c r="A14" s="61" t="s">
        <v>576</v>
      </c>
      <c r="B14" s="47" t="s">
        <v>217</v>
      </c>
      <c r="C14" s="48" t="s">
        <v>217</v>
      </c>
      <c r="D14" s="49" t="s">
        <v>577</v>
      </c>
      <c r="E14" s="50" t="s">
        <v>177</v>
      </c>
      <c r="F14" s="50" t="s">
        <v>581</v>
      </c>
      <c r="G14" s="52" t="s">
        <v>586</v>
      </c>
      <c r="H14" s="40" t="s">
        <v>315</v>
      </c>
      <c r="I14" s="40" t="s">
        <v>579</v>
      </c>
      <c r="J14" s="41" t="s">
        <v>317</v>
      </c>
      <c r="K14" s="41" t="s">
        <v>347</v>
      </c>
      <c r="L14" s="57" t="s">
        <v>319</v>
      </c>
      <c r="M14" s="58" t="str">
        <f>Tabla16[[#This Row],[ABR_02]]</f>
        <v>BA</v>
      </c>
      <c r="N14" t="s">
        <v>320</v>
      </c>
      <c r="O14" s="59" t="s">
        <v>318</v>
      </c>
      <c r="P14" t="s">
        <v>321</v>
      </c>
      <c r="Q14" t="s">
        <v>320</v>
      </c>
      <c r="R14" s="60" t="str">
        <f>_xlfn.CONCAT(Tabla16[[#This Row],[ABR_01]],"00",Tabla16[[#This Row],[ABR_02]],Tabla16[[#This Row],[ZONA2]],,"0",Tabla16[[#This Row],[PARADA2]])</f>
        <v>AR00BA1007</v>
      </c>
      <c r="S14" s="60" t="s">
        <v>580</v>
      </c>
      <c r="T14" s="42" t="s">
        <v>324</v>
      </c>
      <c r="U14" s="42" t="s">
        <v>324</v>
      </c>
      <c r="V14" t="s">
        <v>851</v>
      </c>
    </row>
    <row r="15" spans="1:22" x14ac:dyDescent="0.25">
      <c r="A15" s="61" t="s">
        <v>576</v>
      </c>
      <c r="B15" s="47" t="s">
        <v>215</v>
      </c>
      <c r="C15" s="48" t="s">
        <v>215</v>
      </c>
      <c r="D15" s="49" t="s">
        <v>577</v>
      </c>
      <c r="E15" s="50" t="s">
        <v>177</v>
      </c>
      <c r="F15" s="50" t="s">
        <v>581</v>
      </c>
      <c r="G15" s="52" t="s">
        <v>587</v>
      </c>
      <c r="H15" s="40" t="s">
        <v>315</v>
      </c>
      <c r="I15" s="40" t="s">
        <v>579</v>
      </c>
      <c r="J15" s="41" t="s">
        <v>317</v>
      </c>
      <c r="K15" s="41" t="s">
        <v>349</v>
      </c>
      <c r="L15" s="57" t="s">
        <v>319</v>
      </c>
      <c r="M15" s="58" t="str">
        <f>Tabla16[[#This Row],[ABR_02]]</f>
        <v>BA</v>
      </c>
      <c r="N15" t="s">
        <v>320</v>
      </c>
      <c r="O15" s="59" t="s">
        <v>318</v>
      </c>
      <c r="P15" t="s">
        <v>321</v>
      </c>
      <c r="Q15" t="s">
        <v>320</v>
      </c>
      <c r="R15" s="60" t="str">
        <f>_xlfn.CONCAT(Tabla16[[#This Row],[ABR_01]],"00",Tabla16[[#This Row],[ABR_02]],Tabla16[[#This Row],[ZONA2]],,"0",Tabla16[[#This Row],[PARADA2]])</f>
        <v>AR00BA1008</v>
      </c>
      <c r="S15" s="60" t="s">
        <v>580</v>
      </c>
      <c r="T15" s="42" t="s">
        <v>324</v>
      </c>
      <c r="U15" s="42" t="s">
        <v>324</v>
      </c>
      <c r="V15" t="s">
        <v>851</v>
      </c>
    </row>
    <row r="16" spans="1:22" x14ac:dyDescent="0.25">
      <c r="A16" s="56" t="s">
        <v>576</v>
      </c>
      <c r="B16" s="38" t="s">
        <v>182</v>
      </c>
      <c r="C16" s="48" t="s">
        <v>182</v>
      </c>
      <c r="D16" s="39" t="s">
        <v>577</v>
      </c>
      <c r="E16" s="16" t="s">
        <v>177</v>
      </c>
      <c r="F16" s="12" t="s">
        <v>578</v>
      </c>
      <c r="G16" s="16" t="s">
        <v>578</v>
      </c>
      <c r="H16" s="40" t="s">
        <v>315</v>
      </c>
      <c r="I16" s="40" t="s">
        <v>579</v>
      </c>
      <c r="J16" s="41" t="s">
        <v>317</v>
      </c>
      <c r="K16" s="41" t="s">
        <v>318</v>
      </c>
      <c r="L16" s="57" t="s">
        <v>319</v>
      </c>
      <c r="M16" s="58" t="str">
        <f>Tabla16[[#This Row],[ABR_02]]</f>
        <v>BA</v>
      </c>
      <c r="N16" t="s">
        <v>320</v>
      </c>
      <c r="O16" s="59" t="s">
        <v>334</v>
      </c>
      <c r="P16" t="s">
        <v>650</v>
      </c>
      <c r="Q16" t="s">
        <v>653</v>
      </c>
      <c r="R16" s="60" t="str">
        <f>_xlfn.CONCAT(Tabla16[[#This Row],[ABR_01]],"00",Tabla16[[#This Row],[ABR_02]],Tabla16[[#This Row],[ZONA2]],,"0",Tabla16[[#This Row],[PARADA2]])</f>
        <v>AR00BA1001</v>
      </c>
      <c r="S16" s="60" t="s">
        <v>654</v>
      </c>
      <c r="T16" s="42" t="s">
        <v>324</v>
      </c>
      <c r="U16" s="53" t="s">
        <v>324</v>
      </c>
      <c r="V16" t="s">
        <v>851</v>
      </c>
    </row>
    <row r="17" spans="1:22" x14ac:dyDescent="0.25">
      <c r="A17" s="56" t="s">
        <v>576</v>
      </c>
      <c r="B17" s="38" t="s">
        <v>219</v>
      </c>
      <c r="C17" s="48" t="s">
        <v>219</v>
      </c>
      <c r="D17" s="39" t="s">
        <v>577</v>
      </c>
      <c r="E17" s="16" t="s">
        <v>177</v>
      </c>
      <c r="F17" s="12" t="s">
        <v>581</v>
      </c>
      <c r="G17" s="16" t="s">
        <v>581</v>
      </c>
      <c r="H17" s="40" t="s">
        <v>315</v>
      </c>
      <c r="I17" s="40" t="s">
        <v>579</v>
      </c>
      <c r="J17" s="41" t="s">
        <v>317</v>
      </c>
      <c r="K17" s="41" t="s">
        <v>331</v>
      </c>
      <c r="L17" s="57" t="s">
        <v>319</v>
      </c>
      <c r="M17" s="58" t="str">
        <f>Tabla16[[#This Row],[ABR_02]]</f>
        <v>BA</v>
      </c>
      <c r="N17" t="s">
        <v>320</v>
      </c>
      <c r="O17" s="59" t="s">
        <v>334</v>
      </c>
      <c r="P17" t="s">
        <v>650</v>
      </c>
      <c r="Q17" t="s">
        <v>653</v>
      </c>
      <c r="R17" s="60" t="str">
        <f>_xlfn.CONCAT(Tabla16[[#This Row],[ABR_01]],"00",Tabla16[[#This Row],[ABR_02]],Tabla16[[#This Row],[ZONA2]],,"0",Tabla16[[#This Row],[PARADA2]])</f>
        <v>AR00BA1002</v>
      </c>
      <c r="S17" s="60" t="s">
        <v>654</v>
      </c>
      <c r="T17" s="42" t="s">
        <v>324</v>
      </c>
      <c r="U17" s="53" t="s">
        <v>324</v>
      </c>
      <c r="V17" t="s">
        <v>851</v>
      </c>
    </row>
    <row r="18" spans="1:22" x14ac:dyDescent="0.25">
      <c r="A18" s="56" t="s">
        <v>576</v>
      </c>
      <c r="B18" s="38" t="s">
        <v>178</v>
      </c>
      <c r="C18" s="48" t="s">
        <v>178</v>
      </c>
      <c r="D18" s="39" t="s">
        <v>577</v>
      </c>
      <c r="E18" s="16" t="s">
        <v>177</v>
      </c>
      <c r="F18" s="12" t="s">
        <v>581</v>
      </c>
      <c r="G18" s="55" t="s">
        <v>582</v>
      </c>
      <c r="H18" s="40" t="s">
        <v>315</v>
      </c>
      <c r="I18" s="40" t="s">
        <v>579</v>
      </c>
      <c r="J18" s="41" t="s">
        <v>317</v>
      </c>
      <c r="K18" s="41" t="s">
        <v>332</v>
      </c>
      <c r="L18" s="57" t="s">
        <v>319</v>
      </c>
      <c r="M18" s="58" t="str">
        <f>Tabla16[[#This Row],[ABR_02]]</f>
        <v>BA</v>
      </c>
      <c r="N18" t="s">
        <v>320</v>
      </c>
      <c r="O18" s="59" t="s">
        <v>334</v>
      </c>
      <c r="P18" t="s">
        <v>650</v>
      </c>
      <c r="Q18" t="s">
        <v>653</v>
      </c>
      <c r="R18" s="60" t="str">
        <f>_xlfn.CONCAT(Tabla16[[#This Row],[ABR_01]],"00",Tabla16[[#This Row],[ABR_02]],Tabla16[[#This Row],[ZONA2]],,"0",Tabla16[[#This Row],[PARADA2]])</f>
        <v>AR00BA1003</v>
      </c>
      <c r="S18" s="60" t="s">
        <v>654</v>
      </c>
      <c r="T18" s="42" t="s">
        <v>324</v>
      </c>
      <c r="U18" s="53" t="s">
        <v>324</v>
      </c>
      <c r="V18" t="s">
        <v>851</v>
      </c>
    </row>
    <row r="19" spans="1:22" x14ac:dyDescent="0.25">
      <c r="A19" s="56" t="s">
        <v>576</v>
      </c>
      <c r="B19" s="38" t="s">
        <v>221</v>
      </c>
      <c r="C19" s="48" t="s">
        <v>221</v>
      </c>
      <c r="D19" s="39" t="s">
        <v>577</v>
      </c>
      <c r="E19" s="16" t="s">
        <v>177</v>
      </c>
      <c r="F19" s="12" t="s">
        <v>583</v>
      </c>
      <c r="G19" s="16" t="s">
        <v>583</v>
      </c>
      <c r="H19" s="40" t="s">
        <v>315</v>
      </c>
      <c r="I19" s="40" t="s">
        <v>579</v>
      </c>
      <c r="J19" s="41" t="s">
        <v>317</v>
      </c>
      <c r="K19" s="41" t="s">
        <v>334</v>
      </c>
      <c r="L19" s="57" t="s">
        <v>319</v>
      </c>
      <c r="M19" s="58" t="str">
        <f>Tabla16[[#This Row],[ABR_02]]</f>
        <v>BA</v>
      </c>
      <c r="N19" t="s">
        <v>320</v>
      </c>
      <c r="O19" s="59" t="s">
        <v>334</v>
      </c>
      <c r="P19" t="s">
        <v>650</v>
      </c>
      <c r="Q19" t="s">
        <v>653</v>
      </c>
      <c r="R19" s="60" t="str">
        <f>_xlfn.CONCAT(Tabla16[[#This Row],[ABR_01]],"00",Tabla16[[#This Row],[ABR_02]],Tabla16[[#This Row],[ZONA2]],,"0",Tabla16[[#This Row],[PARADA2]])</f>
        <v>AR00BA1004</v>
      </c>
      <c r="S19" s="60" t="s">
        <v>654</v>
      </c>
      <c r="T19" s="42" t="s">
        <v>324</v>
      </c>
      <c r="U19" s="53" t="s">
        <v>324</v>
      </c>
      <c r="V19" t="s">
        <v>851</v>
      </c>
    </row>
    <row r="20" spans="1:22" x14ac:dyDescent="0.25">
      <c r="A20" s="56" t="s">
        <v>576</v>
      </c>
      <c r="B20" s="38" t="s">
        <v>213</v>
      </c>
      <c r="C20" s="48" t="s">
        <v>213</v>
      </c>
      <c r="D20" s="39" t="s">
        <v>577</v>
      </c>
      <c r="E20" s="16" t="s">
        <v>177</v>
      </c>
      <c r="F20" s="12" t="s">
        <v>581</v>
      </c>
      <c r="G20" s="55" t="s">
        <v>584</v>
      </c>
      <c r="H20" s="40" t="s">
        <v>315</v>
      </c>
      <c r="I20" s="40" t="s">
        <v>579</v>
      </c>
      <c r="J20" s="41" t="s">
        <v>317</v>
      </c>
      <c r="K20" s="41" t="s">
        <v>344</v>
      </c>
      <c r="L20" s="57" t="s">
        <v>319</v>
      </c>
      <c r="M20" s="58" t="str">
        <f>Tabla16[[#This Row],[ABR_02]]</f>
        <v>BA</v>
      </c>
      <c r="N20" t="s">
        <v>320</v>
      </c>
      <c r="O20" s="59" t="s">
        <v>334</v>
      </c>
      <c r="P20" t="s">
        <v>650</v>
      </c>
      <c r="Q20" t="s">
        <v>653</v>
      </c>
      <c r="R20" s="60" t="str">
        <f>_xlfn.CONCAT(Tabla16[[#This Row],[ABR_01]],"00",Tabla16[[#This Row],[ABR_02]],Tabla16[[#This Row],[ZONA2]],,"0",Tabla16[[#This Row],[PARADA2]])</f>
        <v>AR00BA1005</v>
      </c>
      <c r="S20" s="60" t="s">
        <v>654</v>
      </c>
      <c r="T20" s="42" t="s">
        <v>324</v>
      </c>
      <c r="U20" s="53" t="s">
        <v>324</v>
      </c>
      <c r="V20" t="s">
        <v>851</v>
      </c>
    </row>
    <row r="21" spans="1:22" x14ac:dyDescent="0.25">
      <c r="A21" s="56" t="s">
        <v>576</v>
      </c>
      <c r="B21" s="38" t="s">
        <v>211</v>
      </c>
      <c r="C21" s="48" t="s">
        <v>211</v>
      </c>
      <c r="D21" s="39" t="s">
        <v>577</v>
      </c>
      <c r="E21" s="16" t="s">
        <v>177</v>
      </c>
      <c r="F21" s="12" t="s">
        <v>581</v>
      </c>
      <c r="G21" s="55" t="s">
        <v>585</v>
      </c>
      <c r="H21" s="40" t="s">
        <v>315</v>
      </c>
      <c r="I21" s="40" t="s">
        <v>579</v>
      </c>
      <c r="J21" s="41" t="s">
        <v>317</v>
      </c>
      <c r="K21" s="41" t="s">
        <v>345</v>
      </c>
      <c r="L21" s="57" t="s">
        <v>319</v>
      </c>
      <c r="M21" s="58" t="str">
        <f>Tabla16[[#This Row],[ABR_02]]</f>
        <v>BA</v>
      </c>
      <c r="N21" t="s">
        <v>320</v>
      </c>
      <c r="O21" s="59" t="s">
        <v>334</v>
      </c>
      <c r="P21" t="s">
        <v>650</v>
      </c>
      <c r="Q21" t="s">
        <v>653</v>
      </c>
      <c r="R21" s="60" t="str">
        <f>_xlfn.CONCAT(Tabla16[[#This Row],[ABR_01]],"00",Tabla16[[#This Row],[ABR_02]],Tabla16[[#This Row],[ZONA2]],,"0",Tabla16[[#This Row],[PARADA2]])</f>
        <v>AR00BA1006</v>
      </c>
      <c r="S21" s="60" t="s">
        <v>654</v>
      </c>
      <c r="T21" s="42" t="s">
        <v>324</v>
      </c>
      <c r="U21" s="53" t="s">
        <v>324</v>
      </c>
      <c r="V21" t="s">
        <v>851</v>
      </c>
    </row>
    <row r="22" spans="1:22" x14ac:dyDescent="0.25">
      <c r="A22" s="56" t="s">
        <v>576</v>
      </c>
      <c r="B22" s="38" t="s">
        <v>217</v>
      </c>
      <c r="C22" s="48" t="s">
        <v>217</v>
      </c>
      <c r="D22" s="39" t="s">
        <v>577</v>
      </c>
      <c r="E22" s="16" t="s">
        <v>177</v>
      </c>
      <c r="F22" s="12" t="s">
        <v>581</v>
      </c>
      <c r="G22" s="55" t="s">
        <v>586</v>
      </c>
      <c r="H22" s="40" t="s">
        <v>315</v>
      </c>
      <c r="I22" s="40" t="s">
        <v>579</v>
      </c>
      <c r="J22" s="41" t="s">
        <v>317</v>
      </c>
      <c r="K22" s="41" t="s">
        <v>347</v>
      </c>
      <c r="L22" s="57" t="s">
        <v>319</v>
      </c>
      <c r="M22" s="58" t="str">
        <f>Tabla16[[#This Row],[ABR_02]]</f>
        <v>BA</v>
      </c>
      <c r="N22" t="s">
        <v>320</v>
      </c>
      <c r="O22" s="59" t="s">
        <v>334</v>
      </c>
      <c r="P22" t="s">
        <v>650</v>
      </c>
      <c r="Q22" t="s">
        <v>653</v>
      </c>
      <c r="R22" s="60" t="str">
        <f>_xlfn.CONCAT(Tabla16[[#This Row],[ABR_01]],"00",Tabla16[[#This Row],[ABR_02]],Tabla16[[#This Row],[ZONA2]],,"0",Tabla16[[#This Row],[PARADA2]])</f>
        <v>AR00BA1007</v>
      </c>
      <c r="S22" s="60" t="s">
        <v>654</v>
      </c>
      <c r="T22" s="42" t="s">
        <v>324</v>
      </c>
      <c r="U22" s="53" t="s">
        <v>324</v>
      </c>
      <c r="V22" t="s">
        <v>851</v>
      </c>
    </row>
    <row r="23" spans="1:22" x14ac:dyDescent="0.25">
      <c r="A23" s="56" t="s">
        <v>576</v>
      </c>
      <c r="B23" s="38" t="s">
        <v>215</v>
      </c>
      <c r="C23" s="48" t="s">
        <v>215</v>
      </c>
      <c r="D23" s="39" t="s">
        <v>577</v>
      </c>
      <c r="E23" s="16" t="s">
        <v>177</v>
      </c>
      <c r="F23" s="12" t="s">
        <v>581</v>
      </c>
      <c r="G23" s="55" t="s">
        <v>587</v>
      </c>
      <c r="H23" s="40" t="s">
        <v>315</v>
      </c>
      <c r="I23" s="40" t="s">
        <v>579</v>
      </c>
      <c r="J23" s="41" t="s">
        <v>317</v>
      </c>
      <c r="K23" s="41" t="s">
        <v>349</v>
      </c>
      <c r="L23" s="57" t="s">
        <v>319</v>
      </c>
      <c r="M23" s="58" t="str">
        <f>Tabla16[[#This Row],[ABR_02]]</f>
        <v>BA</v>
      </c>
      <c r="N23" t="s">
        <v>320</v>
      </c>
      <c r="O23" s="59" t="s">
        <v>334</v>
      </c>
      <c r="P23" t="s">
        <v>650</v>
      </c>
      <c r="Q23" t="s">
        <v>653</v>
      </c>
      <c r="R23" s="60" t="str">
        <f>_xlfn.CONCAT(Tabla16[[#This Row],[ABR_01]],"00",Tabla16[[#This Row],[ABR_02]],Tabla16[[#This Row],[ZONA2]],,"0",Tabla16[[#This Row],[PARADA2]])</f>
        <v>AR00BA1008</v>
      </c>
      <c r="S23" s="60" t="s">
        <v>654</v>
      </c>
      <c r="T23" s="42" t="s">
        <v>324</v>
      </c>
      <c r="U23" s="53" t="s">
        <v>324</v>
      </c>
      <c r="V23" t="s">
        <v>851</v>
      </c>
    </row>
    <row r="24" spans="1:22" x14ac:dyDescent="0.25">
      <c r="A24" s="56" t="s">
        <v>325</v>
      </c>
      <c r="B24" s="38" t="s">
        <v>588</v>
      </c>
      <c r="C24" s="10" t="s">
        <v>589</v>
      </c>
      <c r="D24" s="39" t="s">
        <v>577</v>
      </c>
      <c r="E24" s="16" t="s">
        <v>87</v>
      </c>
      <c r="F24" s="45" t="s">
        <v>590</v>
      </c>
      <c r="G24" s="16">
        <v>885</v>
      </c>
      <c r="H24" s="40" t="s">
        <v>315</v>
      </c>
      <c r="I24" s="40" t="s">
        <v>579</v>
      </c>
      <c r="J24" s="41" t="s">
        <v>591</v>
      </c>
      <c r="K24" s="41" t="s">
        <v>318</v>
      </c>
      <c r="L24" s="57" t="s">
        <v>319</v>
      </c>
      <c r="M24" s="58" t="str">
        <f>Tabla16[[#This Row],[ABR_02]]</f>
        <v>BA</v>
      </c>
      <c r="N24" t="s">
        <v>320</v>
      </c>
      <c r="O24" s="59" t="s">
        <v>318</v>
      </c>
      <c r="P24" t="s">
        <v>321</v>
      </c>
      <c r="Q24" t="s">
        <v>378</v>
      </c>
      <c r="R24" s="60" t="str">
        <f>_xlfn.CONCAT(Tabla16[[#This Row],[ABR_01]],"00",Tabla16[[#This Row],[ABR_02]],Tabla16[[#This Row],[ZONA2]],,"0",Tabla16[[#This Row],[PARADA2]])</f>
        <v>AR00BA2001</v>
      </c>
      <c r="S24" s="60" t="s">
        <v>379</v>
      </c>
      <c r="T24" s="42" t="s">
        <v>324</v>
      </c>
      <c r="U24" s="42" t="s">
        <v>324</v>
      </c>
      <c r="V24" t="s">
        <v>850</v>
      </c>
    </row>
    <row r="25" spans="1:22" x14ac:dyDescent="0.25">
      <c r="A25" s="56" t="s">
        <v>325</v>
      </c>
      <c r="B25" s="38" t="s">
        <v>592</v>
      </c>
      <c r="C25" s="10" t="s">
        <v>593</v>
      </c>
      <c r="D25" s="39" t="s">
        <v>577</v>
      </c>
      <c r="E25" s="16" t="s">
        <v>87</v>
      </c>
      <c r="F25" s="45" t="s">
        <v>590</v>
      </c>
      <c r="G25" s="16">
        <v>856</v>
      </c>
      <c r="H25" s="40" t="s">
        <v>315</v>
      </c>
      <c r="I25" s="40" t="s">
        <v>579</v>
      </c>
      <c r="J25" s="41" t="s">
        <v>591</v>
      </c>
      <c r="K25" s="41" t="s">
        <v>331</v>
      </c>
      <c r="L25" s="57" t="s">
        <v>319</v>
      </c>
      <c r="M25" s="58" t="str">
        <f>Tabla16[[#This Row],[ABR_02]]</f>
        <v>BA</v>
      </c>
      <c r="N25" t="s">
        <v>320</v>
      </c>
      <c r="O25" s="59" t="s">
        <v>318</v>
      </c>
      <c r="P25" t="s">
        <v>321</v>
      </c>
      <c r="Q25" t="s">
        <v>378</v>
      </c>
      <c r="R25" s="60" t="str">
        <f>_xlfn.CONCAT(Tabla16[[#This Row],[ABR_01]],"00",Tabla16[[#This Row],[ABR_02]],Tabla16[[#This Row],[ZONA2]],,"0",Tabla16[[#This Row],[PARADA2]])</f>
        <v>AR00BA2002</v>
      </c>
      <c r="S25" s="60" t="s">
        <v>379</v>
      </c>
      <c r="T25" s="42" t="s">
        <v>324</v>
      </c>
      <c r="U25" s="42" t="s">
        <v>324</v>
      </c>
      <c r="V25" t="s">
        <v>850</v>
      </c>
    </row>
    <row r="26" spans="1:22" x14ac:dyDescent="0.25">
      <c r="A26" s="56" t="s">
        <v>325</v>
      </c>
      <c r="B26" s="38" t="s">
        <v>594</v>
      </c>
      <c r="C26" s="44" t="s">
        <v>208</v>
      </c>
      <c r="D26" s="39" t="s">
        <v>577</v>
      </c>
      <c r="E26" s="16" t="s">
        <v>87</v>
      </c>
      <c r="F26" s="45" t="s">
        <v>590</v>
      </c>
      <c r="G26" s="16">
        <v>823</v>
      </c>
      <c r="H26" s="40" t="s">
        <v>315</v>
      </c>
      <c r="I26" s="40" t="s">
        <v>579</v>
      </c>
      <c r="J26" s="41" t="s">
        <v>591</v>
      </c>
      <c r="K26" s="41" t="s">
        <v>332</v>
      </c>
      <c r="L26" s="57" t="s">
        <v>319</v>
      </c>
      <c r="M26" s="58" t="str">
        <f>Tabla16[[#This Row],[ABR_02]]</f>
        <v>BA</v>
      </c>
      <c r="N26" t="s">
        <v>320</v>
      </c>
      <c r="O26" s="59" t="s">
        <v>318</v>
      </c>
      <c r="P26" t="s">
        <v>321</v>
      </c>
      <c r="Q26" t="s">
        <v>378</v>
      </c>
      <c r="R26" s="60" t="str">
        <f>_xlfn.CONCAT(Tabla16[[#This Row],[ABR_01]],"00",Tabla16[[#This Row],[ABR_02]],Tabla16[[#This Row],[ZONA2]],,"0",Tabla16[[#This Row],[PARADA2]])</f>
        <v>AR00BA2003</v>
      </c>
      <c r="S26" s="60" t="s">
        <v>379</v>
      </c>
      <c r="T26" s="42" t="s">
        <v>324</v>
      </c>
      <c r="U26" s="42" t="s">
        <v>324</v>
      </c>
      <c r="V26" t="s">
        <v>850</v>
      </c>
    </row>
    <row r="27" spans="1:22" x14ac:dyDescent="0.25">
      <c r="A27" s="56" t="s">
        <v>325</v>
      </c>
      <c r="B27" s="38" t="s">
        <v>595</v>
      </c>
      <c r="C27" s="44" t="s">
        <v>210</v>
      </c>
      <c r="D27" s="39" t="s">
        <v>577</v>
      </c>
      <c r="E27" s="16" t="s">
        <v>87</v>
      </c>
      <c r="F27" s="45" t="s">
        <v>590</v>
      </c>
      <c r="G27" s="16">
        <v>870</v>
      </c>
      <c r="H27" s="40" t="s">
        <v>315</v>
      </c>
      <c r="I27" s="40" t="s">
        <v>579</v>
      </c>
      <c r="J27" s="41" t="s">
        <v>591</v>
      </c>
      <c r="K27" s="41" t="s">
        <v>334</v>
      </c>
      <c r="L27" s="57" t="s">
        <v>319</v>
      </c>
      <c r="M27" s="58" t="str">
        <f>Tabla16[[#This Row],[ABR_02]]</f>
        <v>BA</v>
      </c>
      <c r="N27" t="s">
        <v>320</v>
      </c>
      <c r="O27" s="59" t="s">
        <v>318</v>
      </c>
      <c r="P27" t="s">
        <v>321</v>
      </c>
      <c r="Q27" t="s">
        <v>378</v>
      </c>
      <c r="R27" s="60" t="str">
        <f>_xlfn.CONCAT(Tabla16[[#This Row],[ABR_01]],"00",Tabla16[[#This Row],[ABR_02]],Tabla16[[#This Row],[ZONA2]],,"0",Tabla16[[#This Row],[PARADA2]])</f>
        <v>AR00BA2004</v>
      </c>
      <c r="S27" s="60" t="s">
        <v>379</v>
      </c>
      <c r="T27" s="42" t="s">
        <v>324</v>
      </c>
      <c r="U27" s="42" t="s">
        <v>324</v>
      </c>
      <c r="V27" t="s">
        <v>850</v>
      </c>
    </row>
    <row r="28" spans="1:22" x14ac:dyDescent="0.25">
      <c r="A28" s="56" t="s">
        <v>325</v>
      </c>
      <c r="B28" s="38" t="s">
        <v>596</v>
      </c>
      <c r="C28" s="10" t="s">
        <v>597</v>
      </c>
      <c r="D28" s="39" t="s">
        <v>577</v>
      </c>
      <c r="E28" s="16" t="s">
        <v>87</v>
      </c>
      <c r="F28" s="45" t="s">
        <v>590</v>
      </c>
      <c r="G28" s="16">
        <v>880</v>
      </c>
      <c r="H28" s="40" t="s">
        <v>315</v>
      </c>
      <c r="I28" s="40" t="s">
        <v>579</v>
      </c>
      <c r="J28" s="41" t="s">
        <v>591</v>
      </c>
      <c r="K28" s="41" t="s">
        <v>344</v>
      </c>
      <c r="L28" s="57" t="s">
        <v>319</v>
      </c>
      <c r="M28" s="58" t="str">
        <f>Tabla16[[#This Row],[ABR_02]]</f>
        <v>BA</v>
      </c>
      <c r="N28" t="s">
        <v>320</v>
      </c>
      <c r="O28" s="59" t="s">
        <v>318</v>
      </c>
      <c r="P28" t="s">
        <v>321</v>
      </c>
      <c r="Q28" t="s">
        <v>378</v>
      </c>
      <c r="R28" s="60" t="str">
        <f>_xlfn.CONCAT(Tabla16[[#This Row],[ABR_01]],"00",Tabla16[[#This Row],[ABR_02]],Tabla16[[#This Row],[ZONA2]],,"0",Tabla16[[#This Row],[PARADA2]])</f>
        <v>AR00BA2005</v>
      </c>
      <c r="S28" s="60" t="s">
        <v>379</v>
      </c>
      <c r="T28" s="42" t="s">
        <v>324</v>
      </c>
      <c r="U28" s="42" t="s">
        <v>324</v>
      </c>
      <c r="V28" t="s">
        <v>850</v>
      </c>
    </row>
    <row r="29" spans="1:22" x14ac:dyDescent="0.25">
      <c r="A29" s="56" t="s">
        <v>325</v>
      </c>
      <c r="B29" s="38" t="s">
        <v>598</v>
      </c>
      <c r="C29" s="44" t="s">
        <v>255</v>
      </c>
      <c r="D29" s="39" t="s">
        <v>577</v>
      </c>
      <c r="E29" s="16" t="s">
        <v>87</v>
      </c>
      <c r="F29" s="45" t="s">
        <v>590</v>
      </c>
      <c r="G29" s="16">
        <v>890</v>
      </c>
      <c r="H29" s="40" t="s">
        <v>315</v>
      </c>
      <c r="I29" s="40" t="s">
        <v>579</v>
      </c>
      <c r="J29" s="41" t="s">
        <v>591</v>
      </c>
      <c r="K29" s="41" t="s">
        <v>345</v>
      </c>
      <c r="L29" s="57" t="s">
        <v>319</v>
      </c>
      <c r="M29" s="58" t="str">
        <f>Tabla16[[#This Row],[ABR_02]]</f>
        <v>BA</v>
      </c>
      <c r="N29" t="s">
        <v>320</v>
      </c>
      <c r="O29" s="59" t="s">
        <v>318</v>
      </c>
      <c r="P29" t="s">
        <v>321</v>
      </c>
      <c r="Q29" t="s">
        <v>378</v>
      </c>
      <c r="R29" s="60" t="str">
        <f>_xlfn.CONCAT(Tabla16[[#This Row],[ABR_01]],"00",Tabla16[[#This Row],[ABR_02]],Tabla16[[#This Row],[ZONA2]],,"0",Tabla16[[#This Row],[PARADA2]])</f>
        <v>AR00BA2006</v>
      </c>
      <c r="S29" s="60" t="s">
        <v>379</v>
      </c>
      <c r="T29" s="42" t="s">
        <v>324</v>
      </c>
      <c r="U29" s="42" t="s">
        <v>324</v>
      </c>
      <c r="V29" t="s">
        <v>850</v>
      </c>
    </row>
    <row r="30" spans="1:22" x14ac:dyDescent="0.25">
      <c r="A30" s="56" t="s">
        <v>325</v>
      </c>
      <c r="B30" s="38" t="s">
        <v>599</v>
      </c>
      <c r="C30" s="44" t="s">
        <v>600</v>
      </c>
      <c r="D30" s="39" t="s">
        <v>577</v>
      </c>
      <c r="E30" s="16" t="s">
        <v>87</v>
      </c>
      <c r="F30" s="45" t="s">
        <v>590</v>
      </c>
      <c r="G30" s="16">
        <v>860</v>
      </c>
      <c r="H30" s="40" t="s">
        <v>315</v>
      </c>
      <c r="I30" s="40" t="s">
        <v>579</v>
      </c>
      <c r="J30" s="41" t="s">
        <v>591</v>
      </c>
      <c r="K30" s="41" t="s">
        <v>347</v>
      </c>
      <c r="L30" s="57" t="s">
        <v>319</v>
      </c>
      <c r="M30" s="58" t="str">
        <f>Tabla16[[#This Row],[ABR_02]]</f>
        <v>BA</v>
      </c>
      <c r="N30" t="s">
        <v>320</v>
      </c>
      <c r="O30" s="59" t="s">
        <v>318</v>
      </c>
      <c r="P30" t="s">
        <v>321</v>
      </c>
      <c r="Q30" t="s">
        <v>378</v>
      </c>
      <c r="R30" s="60" t="str">
        <f>_xlfn.CONCAT(Tabla16[[#This Row],[ABR_01]],"00",Tabla16[[#This Row],[ABR_02]],Tabla16[[#This Row],[ZONA2]],,"0",Tabla16[[#This Row],[PARADA2]])</f>
        <v>AR00BA2007</v>
      </c>
      <c r="S30" s="60" t="s">
        <v>379</v>
      </c>
      <c r="T30" s="42" t="s">
        <v>324</v>
      </c>
      <c r="U30" s="42" t="s">
        <v>324</v>
      </c>
      <c r="V30" t="s">
        <v>850</v>
      </c>
    </row>
    <row r="31" spans="1:22" x14ac:dyDescent="0.25">
      <c r="A31" s="56" t="s">
        <v>325</v>
      </c>
      <c r="B31" s="38" t="s">
        <v>601</v>
      </c>
      <c r="C31" s="10" t="s">
        <v>602</v>
      </c>
      <c r="D31" s="39" t="s">
        <v>577</v>
      </c>
      <c r="E31" s="16" t="s">
        <v>87</v>
      </c>
      <c r="F31" s="45" t="s">
        <v>590</v>
      </c>
      <c r="G31" s="16">
        <v>854</v>
      </c>
      <c r="H31" s="40" t="s">
        <v>315</v>
      </c>
      <c r="I31" s="40" t="s">
        <v>579</v>
      </c>
      <c r="J31" s="41" t="s">
        <v>591</v>
      </c>
      <c r="K31" s="41" t="s">
        <v>349</v>
      </c>
      <c r="L31" s="57" t="s">
        <v>319</v>
      </c>
      <c r="M31" s="58" t="str">
        <f>Tabla16[[#This Row],[ABR_02]]</f>
        <v>BA</v>
      </c>
      <c r="N31" t="s">
        <v>320</v>
      </c>
      <c r="O31" s="59" t="s">
        <v>318</v>
      </c>
      <c r="P31" t="s">
        <v>321</v>
      </c>
      <c r="Q31" t="s">
        <v>378</v>
      </c>
      <c r="R31" s="60" t="str">
        <f>_xlfn.CONCAT(Tabla16[[#This Row],[ABR_01]],"00",Tabla16[[#This Row],[ABR_02]],Tabla16[[#This Row],[ZONA2]],,"0",Tabla16[[#This Row],[PARADA2]])</f>
        <v>AR00BA2008</v>
      </c>
      <c r="S31" s="60" t="s">
        <v>379</v>
      </c>
      <c r="T31" s="42" t="s">
        <v>324</v>
      </c>
      <c r="U31" s="42" t="s">
        <v>324</v>
      </c>
      <c r="V31" t="s">
        <v>850</v>
      </c>
    </row>
    <row r="32" spans="1:22" x14ac:dyDescent="0.25">
      <c r="A32" s="56" t="s">
        <v>325</v>
      </c>
      <c r="B32" s="38" t="s">
        <v>603</v>
      </c>
      <c r="C32" s="10" t="s">
        <v>604</v>
      </c>
      <c r="D32" s="39" t="s">
        <v>577</v>
      </c>
      <c r="E32" s="16" t="s">
        <v>87</v>
      </c>
      <c r="F32" s="45" t="s">
        <v>590</v>
      </c>
      <c r="G32" s="16">
        <v>852</v>
      </c>
      <c r="H32" s="40" t="s">
        <v>315</v>
      </c>
      <c r="I32" s="40" t="s">
        <v>579</v>
      </c>
      <c r="J32" s="41" t="s">
        <v>591</v>
      </c>
      <c r="K32" s="41" t="s">
        <v>393</v>
      </c>
      <c r="L32" s="57" t="s">
        <v>319</v>
      </c>
      <c r="M32" s="58" t="str">
        <f>Tabla16[[#This Row],[ABR_02]]</f>
        <v>BA</v>
      </c>
      <c r="N32" t="s">
        <v>320</v>
      </c>
      <c r="O32" s="59" t="s">
        <v>318</v>
      </c>
      <c r="P32" t="s">
        <v>321</v>
      </c>
      <c r="Q32" t="s">
        <v>378</v>
      </c>
      <c r="R32" s="60" t="str">
        <f>_xlfn.CONCAT(Tabla16[[#This Row],[ABR_01]],"00",Tabla16[[#This Row],[ABR_02]],Tabla16[[#This Row],[ZONA2]],,"0",Tabla16[[#This Row],[PARADA2]])</f>
        <v>AR00BA2009</v>
      </c>
      <c r="S32" s="60" t="s">
        <v>379</v>
      </c>
      <c r="T32" s="42" t="s">
        <v>324</v>
      </c>
      <c r="U32" s="42" t="s">
        <v>324</v>
      </c>
      <c r="V32" t="s">
        <v>850</v>
      </c>
    </row>
    <row r="33" spans="1:22" x14ac:dyDescent="0.25">
      <c r="A33" s="56" t="s">
        <v>325</v>
      </c>
      <c r="B33" s="38" t="s">
        <v>605</v>
      </c>
      <c r="C33" s="10" t="s">
        <v>606</v>
      </c>
      <c r="D33" s="39" t="s">
        <v>577</v>
      </c>
      <c r="E33" s="16" t="s">
        <v>87</v>
      </c>
      <c r="F33" s="45" t="s">
        <v>590</v>
      </c>
      <c r="G33" s="16">
        <v>858</v>
      </c>
      <c r="H33" s="40" t="s">
        <v>315</v>
      </c>
      <c r="I33" s="40" t="s">
        <v>579</v>
      </c>
      <c r="J33" s="41" t="s">
        <v>591</v>
      </c>
      <c r="K33" s="41" t="s">
        <v>395</v>
      </c>
      <c r="L33" s="57" t="s">
        <v>319</v>
      </c>
      <c r="M33" s="58" t="str">
        <f>Tabla16[[#This Row],[ABR_02]]</f>
        <v>BA</v>
      </c>
      <c r="N33" t="s">
        <v>320</v>
      </c>
      <c r="O33" s="59" t="s">
        <v>318</v>
      </c>
      <c r="P33" t="s">
        <v>321</v>
      </c>
      <c r="Q33" t="s">
        <v>378</v>
      </c>
      <c r="R33" s="60" t="str">
        <f>_xlfn.CONCAT(Tabla16[[#This Row],[ABR_01]],"00",Tabla16[[#This Row],[ABR_02]],Tabla16[[#This Row],[ZONA2]],,"0",Tabla16[[#This Row],[PARADA2]])</f>
        <v>AR00BA2010</v>
      </c>
      <c r="S33" s="60" t="s">
        <v>379</v>
      </c>
      <c r="T33" s="42" t="s">
        <v>324</v>
      </c>
      <c r="U33" s="42" t="s">
        <v>324</v>
      </c>
      <c r="V33" t="s">
        <v>850</v>
      </c>
    </row>
    <row r="34" spans="1:22" x14ac:dyDescent="0.25">
      <c r="A34" s="56" t="s">
        <v>325</v>
      </c>
      <c r="B34" s="38" t="s">
        <v>607</v>
      </c>
      <c r="C34" s="10" t="s">
        <v>31</v>
      </c>
      <c r="D34" s="39" t="s">
        <v>577</v>
      </c>
      <c r="E34" s="16" t="s">
        <v>30</v>
      </c>
      <c r="F34" s="45">
        <v>283</v>
      </c>
      <c r="G34" s="16">
        <v>900</v>
      </c>
      <c r="H34" s="40" t="s">
        <v>315</v>
      </c>
      <c r="I34" s="40" t="s">
        <v>579</v>
      </c>
      <c r="J34" s="41" t="s">
        <v>608</v>
      </c>
      <c r="K34" s="41" t="s">
        <v>318</v>
      </c>
      <c r="L34" s="57" t="s">
        <v>319</v>
      </c>
      <c r="M34" s="58" t="str">
        <f>Tabla16[[#This Row],[ABR_02]]</f>
        <v>BA</v>
      </c>
      <c r="N34" t="s">
        <v>320</v>
      </c>
      <c r="O34" s="59" t="s">
        <v>318</v>
      </c>
      <c r="P34" t="s">
        <v>321</v>
      </c>
      <c r="Q34" t="s">
        <v>328</v>
      </c>
      <c r="R34" s="60" t="str">
        <f>_xlfn.CONCAT(Tabla16[[#This Row],[ABR_01]],"00",Tabla16[[#This Row],[ABR_02]],Tabla16[[#This Row],[ZONA2]],,"0",Tabla16[[#This Row],[PARADA2]])</f>
        <v>AR00BA4001</v>
      </c>
      <c r="S34" s="60" t="s">
        <v>329</v>
      </c>
      <c r="T34" s="42" t="s">
        <v>324</v>
      </c>
      <c r="U34" s="42" t="s">
        <v>324</v>
      </c>
      <c r="V34" t="s">
        <v>850</v>
      </c>
    </row>
    <row r="35" spans="1:22" x14ac:dyDescent="0.25">
      <c r="A35" s="56" t="s">
        <v>325</v>
      </c>
      <c r="B35" s="38" t="s">
        <v>609</v>
      </c>
      <c r="C35" s="44" t="s">
        <v>610</v>
      </c>
      <c r="D35" s="39" t="s">
        <v>577</v>
      </c>
      <c r="E35" s="16" t="s">
        <v>73</v>
      </c>
      <c r="F35" s="12" t="s">
        <v>611</v>
      </c>
      <c r="G35" s="16">
        <v>825</v>
      </c>
      <c r="H35" s="40" t="s">
        <v>315</v>
      </c>
      <c r="I35" s="40" t="s">
        <v>579</v>
      </c>
      <c r="J35" s="41" t="s">
        <v>612</v>
      </c>
      <c r="K35" s="41" t="s">
        <v>318</v>
      </c>
      <c r="L35" s="57" t="s">
        <v>319</v>
      </c>
      <c r="M35" s="58" t="str">
        <f>Tabla16[[#This Row],[ABR_02]]</f>
        <v>BA</v>
      </c>
      <c r="N35" t="s">
        <v>320</v>
      </c>
      <c r="O35" s="59" t="s">
        <v>318</v>
      </c>
      <c r="P35" t="s">
        <v>321</v>
      </c>
      <c r="Q35" t="s">
        <v>378</v>
      </c>
      <c r="R35" s="60" t="str">
        <f>_xlfn.CONCAT(Tabla16[[#This Row],[ABR_01]],"00",Tabla16[[#This Row],[ABR_02]],Tabla16[[#This Row],[ZONA2]],,"0",Tabla16[[#This Row],[PARADA2]])</f>
        <v>AR00BA3001</v>
      </c>
      <c r="S35" s="60" t="s">
        <v>379</v>
      </c>
      <c r="T35" s="42" t="s">
        <v>324</v>
      </c>
      <c r="U35" s="42" t="s">
        <v>324</v>
      </c>
      <c r="V35" t="s">
        <v>850</v>
      </c>
    </row>
    <row r="36" spans="1:22" x14ac:dyDescent="0.25">
      <c r="A36" s="56" t="s">
        <v>325</v>
      </c>
      <c r="B36" s="38" t="s">
        <v>613</v>
      </c>
      <c r="C36" s="10" t="s">
        <v>613</v>
      </c>
      <c r="D36" s="39" t="s">
        <v>577</v>
      </c>
      <c r="E36" s="16" t="s">
        <v>73</v>
      </c>
      <c r="F36" s="12" t="s">
        <v>611</v>
      </c>
      <c r="G36" s="16">
        <v>810</v>
      </c>
      <c r="H36" s="40" t="s">
        <v>315</v>
      </c>
      <c r="I36" s="40" t="s">
        <v>579</v>
      </c>
      <c r="J36" s="41" t="s">
        <v>612</v>
      </c>
      <c r="K36" s="41" t="s">
        <v>331</v>
      </c>
      <c r="L36" s="57" t="s">
        <v>319</v>
      </c>
      <c r="M36" s="58" t="str">
        <f>Tabla16[[#This Row],[ABR_02]]</f>
        <v>BA</v>
      </c>
      <c r="N36" t="s">
        <v>320</v>
      </c>
      <c r="O36" s="59" t="s">
        <v>318</v>
      </c>
      <c r="P36" t="s">
        <v>321</v>
      </c>
      <c r="Q36" t="s">
        <v>378</v>
      </c>
      <c r="R36" s="60" t="str">
        <f>_xlfn.CONCAT(Tabla16[[#This Row],[ABR_01]],"00",Tabla16[[#This Row],[ABR_02]],Tabla16[[#This Row],[ZONA2]],,"0",Tabla16[[#This Row],[PARADA2]])</f>
        <v>AR00BA3002</v>
      </c>
      <c r="S36" s="60" t="s">
        <v>379</v>
      </c>
      <c r="T36" s="42" t="s">
        <v>324</v>
      </c>
      <c r="U36" s="42" t="s">
        <v>324</v>
      </c>
      <c r="V36" t="s">
        <v>850</v>
      </c>
    </row>
    <row r="37" spans="1:22" x14ac:dyDescent="0.25">
      <c r="A37" s="56" t="s">
        <v>325</v>
      </c>
      <c r="B37" s="38" t="s">
        <v>614</v>
      </c>
      <c r="C37" s="44" t="s">
        <v>615</v>
      </c>
      <c r="D37" s="39" t="s">
        <v>577</v>
      </c>
      <c r="E37" s="16" t="s">
        <v>73</v>
      </c>
      <c r="F37" s="12" t="s">
        <v>611</v>
      </c>
      <c r="G37" s="16">
        <v>814</v>
      </c>
      <c r="H37" s="40" t="s">
        <v>315</v>
      </c>
      <c r="I37" s="40" t="s">
        <v>579</v>
      </c>
      <c r="J37" s="41" t="s">
        <v>612</v>
      </c>
      <c r="K37" s="41" t="s">
        <v>332</v>
      </c>
      <c r="L37" s="57" t="s">
        <v>319</v>
      </c>
      <c r="M37" s="58" t="str">
        <f>Tabla16[[#This Row],[ABR_02]]</f>
        <v>BA</v>
      </c>
      <c r="N37" t="s">
        <v>320</v>
      </c>
      <c r="O37" s="59" t="s">
        <v>318</v>
      </c>
      <c r="P37" t="s">
        <v>321</v>
      </c>
      <c r="Q37" t="s">
        <v>378</v>
      </c>
      <c r="R37" s="60" t="str">
        <f>_xlfn.CONCAT(Tabla16[[#This Row],[ABR_01]],"00",Tabla16[[#This Row],[ABR_02]],Tabla16[[#This Row],[ZONA2]],,"0",Tabla16[[#This Row],[PARADA2]])</f>
        <v>AR00BA3003</v>
      </c>
      <c r="S37" s="60" t="s">
        <v>379</v>
      </c>
      <c r="T37" s="42" t="s">
        <v>324</v>
      </c>
      <c r="U37" s="42" t="s">
        <v>324</v>
      </c>
      <c r="V37" t="s">
        <v>850</v>
      </c>
    </row>
    <row r="38" spans="1:22" x14ac:dyDescent="0.25">
      <c r="A38" s="56" t="s">
        <v>325</v>
      </c>
      <c r="B38" s="38" t="s">
        <v>616</v>
      </c>
      <c r="C38" s="44" t="s">
        <v>247</v>
      </c>
      <c r="D38" s="39" t="s">
        <v>577</v>
      </c>
      <c r="E38" s="16" t="s">
        <v>73</v>
      </c>
      <c r="F38" s="12" t="s">
        <v>611</v>
      </c>
      <c r="G38" s="16">
        <v>809</v>
      </c>
      <c r="H38" s="40" t="s">
        <v>315</v>
      </c>
      <c r="I38" s="40" t="s">
        <v>579</v>
      </c>
      <c r="J38" s="41" t="s">
        <v>612</v>
      </c>
      <c r="K38" s="41" t="s">
        <v>334</v>
      </c>
      <c r="L38" s="57" t="s">
        <v>319</v>
      </c>
      <c r="M38" s="58" t="str">
        <f>Tabla16[[#This Row],[ABR_02]]</f>
        <v>BA</v>
      </c>
      <c r="N38" t="s">
        <v>320</v>
      </c>
      <c r="O38" s="59" t="s">
        <v>318</v>
      </c>
      <c r="P38" t="s">
        <v>321</v>
      </c>
      <c r="Q38" t="s">
        <v>378</v>
      </c>
      <c r="R38" s="60" t="str">
        <f>_xlfn.CONCAT(Tabla16[[#This Row],[ABR_01]],"00",Tabla16[[#This Row],[ABR_02]],Tabla16[[#This Row],[ZONA2]],,"0",Tabla16[[#This Row],[PARADA2]])</f>
        <v>AR00BA3004</v>
      </c>
      <c r="S38" s="60" t="s">
        <v>379</v>
      </c>
      <c r="T38" s="42" t="s">
        <v>324</v>
      </c>
      <c r="U38" s="42" t="s">
        <v>324</v>
      </c>
      <c r="V38" t="s">
        <v>850</v>
      </c>
    </row>
    <row r="39" spans="1:22" x14ac:dyDescent="0.25">
      <c r="A39" s="56" t="s">
        <v>325</v>
      </c>
      <c r="B39" s="38" t="s">
        <v>617</v>
      </c>
      <c r="C39" s="44" t="s">
        <v>211</v>
      </c>
      <c r="D39" s="39" t="s">
        <v>577</v>
      </c>
      <c r="E39" s="16" t="s">
        <v>73</v>
      </c>
      <c r="F39" s="12" t="s">
        <v>611</v>
      </c>
      <c r="G39" s="16">
        <v>862</v>
      </c>
      <c r="H39" s="40" t="s">
        <v>315</v>
      </c>
      <c r="I39" s="40" t="s">
        <v>579</v>
      </c>
      <c r="J39" s="41" t="s">
        <v>612</v>
      </c>
      <c r="K39" s="41" t="s">
        <v>344</v>
      </c>
      <c r="L39" s="57" t="s">
        <v>319</v>
      </c>
      <c r="M39" s="58" t="str">
        <f>Tabla16[[#This Row],[ABR_02]]</f>
        <v>BA</v>
      </c>
      <c r="N39" t="s">
        <v>320</v>
      </c>
      <c r="O39" s="59" t="s">
        <v>318</v>
      </c>
      <c r="P39" t="s">
        <v>321</v>
      </c>
      <c r="Q39" t="s">
        <v>378</v>
      </c>
      <c r="R39" s="60" t="str">
        <f>_xlfn.CONCAT(Tabla16[[#This Row],[ABR_01]],"00",Tabla16[[#This Row],[ABR_02]],Tabla16[[#This Row],[ZONA2]],,"0",Tabla16[[#This Row],[PARADA2]])</f>
        <v>AR00BA3005</v>
      </c>
      <c r="S39" s="60" t="s">
        <v>379</v>
      </c>
      <c r="T39" s="42" t="s">
        <v>324</v>
      </c>
      <c r="U39" s="42" t="s">
        <v>324</v>
      </c>
      <c r="V39" t="s">
        <v>850</v>
      </c>
    </row>
    <row r="40" spans="1:22" x14ac:dyDescent="0.25">
      <c r="A40" s="56" t="s">
        <v>325</v>
      </c>
      <c r="B40" s="38" t="s">
        <v>618</v>
      </c>
      <c r="C40" s="44" t="s">
        <v>249</v>
      </c>
      <c r="D40" s="39" t="s">
        <v>577</v>
      </c>
      <c r="E40" s="16" t="s">
        <v>73</v>
      </c>
      <c r="F40" s="12" t="s">
        <v>611</v>
      </c>
      <c r="G40" s="16">
        <v>811</v>
      </c>
      <c r="H40" s="40" t="s">
        <v>315</v>
      </c>
      <c r="I40" s="40" t="s">
        <v>579</v>
      </c>
      <c r="J40" s="41" t="s">
        <v>612</v>
      </c>
      <c r="K40" s="41" t="s">
        <v>345</v>
      </c>
      <c r="L40" s="57" t="s">
        <v>319</v>
      </c>
      <c r="M40" s="58" t="str">
        <f>Tabla16[[#This Row],[ABR_02]]</f>
        <v>BA</v>
      </c>
      <c r="N40" t="s">
        <v>320</v>
      </c>
      <c r="O40" s="59" t="s">
        <v>318</v>
      </c>
      <c r="P40" t="s">
        <v>321</v>
      </c>
      <c r="Q40" t="s">
        <v>378</v>
      </c>
      <c r="R40" s="60" t="str">
        <f>_xlfn.CONCAT(Tabla16[[#This Row],[ABR_01]],"00",Tabla16[[#This Row],[ABR_02]],Tabla16[[#This Row],[ZONA2]],,"0",Tabla16[[#This Row],[PARADA2]])</f>
        <v>AR00BA3006</v>
      </c>
      <c r="S40" s="60" t="s">
        <v>379</v>
      </c>
      <c r="T40" s="42" t="s">
        <v>324</v>
      </c>
      <c r="U40" s="42" t="s">
        <v>324</v>
      </c>
      <c r="V40" t="s">
        <v>850</v>
      </c>
    </row>
    <row r="41" spans="1:22" x14ac:dyDescent="0.25">
      <c r="A41" s="56" t="s">
        <v>325</v>
      </c>
      <c r="B41" s="38" t="s">
        <v>619</v>
      </c>
      <c r="C41" s="10" t="s">
        <v>619</v>
      </c>
      <c r="D41" s="39" t="s">
        <v>577</v>
      </c>
      <c r="E41" s="16" t="s">
        <v>73</v>
      </c>
      <c r="F41" s="12" t="s">
        <v>611</v>
      </c>
      <c r="G41" s="16">
        <v>830</v>
      </c>
      <c r="H41" s="40" t="s">
        <v>315</v>
      </c>
      <c r="I41" s="40" t="s">
        <v>579</v>
      </c>
      <c r="J41" s="41" t="s">
        <v>612</v>
      </c>
      <c r="K41" s="41" t="s">
        <v>347</v>
      </c>
      <c r="L41" s="57" t="s">
        <v>319</v>
      </c>
      <c r="M41" s="58" t="str">
        <f>Tabla16[[#This Row],[ABR_02]]</f>
        <v>BA</v>
      </c>
      <c r="N41" t="s">
        <v>320</v>
      </c>
      <c r="O41" s="59" t="s">
        <v>318</v>
      </c>
      <c r="P41" t="s">
        <v>321</v>
      </c>
      <c r="Q41" t="s">
        <v>378</v>
      </c>
      <c r="R41" s="60" t="str">
        <f>_xlfn.CONCAT(Tabla16[[#This Row],[ABR_01]],"00",Tabla16[[#This Row],[ABR_02]],Tabla16[[#This Row],[ZONA2]],,"0",Tabla16[[#This Row],[PARADA2]])</f>
        <v>AR00BA3007</v>
      </c>
      <c r="S41" s="60" t="s">
        <v>379</v>
      </c>
      <c r="T41" s="42" t="s">
        <v>324</v>
      </c>
      <c r="U41" s="42" t="s">
        <v>324</v>
      </c>
      <c r="V41" t="s">
        <v>850</v>
      </c>
    </row>
    <row r="42" spans="1:22" x14ac:dyDescent="0.25">
      <c r="A42" s="56" t="s">
        <v>325</v>
      </c>
      <c r="B42" s="38" t="s">
        <v>620</v>
      </c>
      <c r="C42" s="44" t="s">
        <v>191</v>
      </c>
      <c r="D42" s="39" t="s">
        <v>577</v>
      </c>
      <c r="E42" s="16" t="s">
        <v>73</v>
      </c>
      <c r="F42" s="12" t="s">
        <v>611</v>
      </c>
      <c r="G42" s="16">
        <v>813</v>
      </c>
      <c r="H42" s="40" t="s">
        <v>315</v>
      </c>
      <c r="I42" s="40" t="s">
        <v>579</v>
      </c>
      <c r="J42" s="41" t="s">
        <v>612</v>
      </c>
      <c r="K42" s="41" t="s">
        <v>349</v>
      </c>
      <c r="L42" s="57" t="s">
        <v>319</v>
      </c>
      <c r="M42" s="58" t="str">
        <f>Tabla16[[#This Row],[ABR_02]]</f>
        <v>BA</v>
      </c>
      <c r="N42" t="s">
        <v>320</v>
      </c>
      <c r="O42" s="59" t="s">
        <v>318</v>
      </c>
      <c r="P42" t="s">
        <v>321</v>
      </c>
      <c r="Q42" t="s">
        <v>378</v>
      </c>
      <c r="R42" s="60" t="str">
        <f>_xlfn.CONCAT(Tabla16[[#This Row],[ABR_01]],"00",Tabla16[[#This Row],[ABR_02]],Tabla16[[#This Row],[ZONA2]],,"0",Tabla16[[#This Row],[PARADA2]])</f>
        <v>AR00BA3008</v>
      </c>
      <c r="S42" s="60" t="s">
        <v>379</v>
      </c>
      <c r="T42" s="42" t="s">
        <v>324</v>
      </c>
      <c r="U42" s="42" t="s">
        <v>324</v>
      </c>
      <c r="V42" t="s">
        <v>850</v>
      </c>
    </row>
    <row r="43" spans="1:22" x14ac:dyDescent="0.25">
      <c r="A43" s="56" t="s">
        <v>325</v>
      </c>
      <c r="B43" s="38" t="s">
        <v>621</v>
      </c>
      <c r="C43" s="10" t="s">
        <v>621</v>
      </c>
      <c r="D43" s="39" t="s">
        <v>577</v>
      </c>
      <c r="E43" s="16" t="s">
        <v>73</v>
      </c>
      <c r="F43" s="12" t="s">
        <v>611</v>
      </c>
      <c r="G43" s="16">
        <v>850</v>
      </c>
      <c r="H43" s="40" t="s">
        <v>315</v>
      </c>
      <c r="I43" s="40" t="s">
        <v>579</v>
      </c>
      <c r="J43" s="41" t="s">
        <v>612</v>
      </c>
      <c r="K43" s="41" t="s">
        <v>393</v>
      </c>
      <c r="L43" s="57" t="s">
        <v>319</v>
      </c>
      <c r="M43" s="58" t="str">
        <f>Tabla16[[#This Row],[ABR_02]]</f>
        <v>BA</v>
      </c>
      <c r="N43" t="s">
        <v>320</v>
      </c>
      <c r="O43" s="59" t="s">
        <v>318</v>
      </c>
      <c r="P43" t="s">
        <v>321</v>
      </c>
      <c r="Q43" t="s">
        <v>378</v>
      </c>
      <c r="R43" s="60" t="str">
        <f>_xlfn.CONCAT(Tabla16[[#This Row],[ABR_01]],"00",Tabla16[[#This Row],[ABR_02]],Tabla16[[#This Row],[ZONA2]],,"0",Tabla16[[#This Row],[PARADA2]])</f>
        <v>AR00BA3009</v>
      </c>
      <c r="S43" s="60" t="s">
        <v>379</v>
      </c>
      <c r="T43" s="42" t="s">
        <v>324</v>
      </c>
      <c r="U43" s="42" t="s">
        <v>324</v>
      </c>
      <c r="V43" t="s">
        <v>850</v>
      </c>
    </row>
    <row r="44" spans="1:22" x14ac:dyDescent="0.25">
      <c r="A44" s="56" t="s">
        <v>325</v>
      </c>
      <c r="B44" s="38" t="s">
        <v>622</v>
      </c>
      <c r="C44" s="44" t="s">
        <v>623</v>
      </c>
      <c r="D44" s="39" t="s">
        <v>577</v>
      </c>
      <c r="E44" s="16" t="s">
        <v>73</v>
      </c>
      <c r="F44" s="12" t="s">
        <v>611</v>
      </c>
      <c r="G44" s="16">
        <v>848</v>
      </c>
      <c r="H44" s="40" t="s">
        <v>315</v>
      </c>
      <c r="I44" s="40" t="s">
        <v>579</v>
      </c>
      <c r="J44" s="41" t="s">
        <v>612</v>
      </c>
      <c r="K44" s="41" t="s">
        <v>395</v>
      </c>
      <c r="L44" s="57" t="s">
        <v>319</v>
      </c>
      <c r="M44" s="58" t="str">
        <f>Tabla16[[#This Row],[ABR_02]]</f>
        <v>BA</v>
      </c>
      <c r="N44" t="s">
        <v>320</v>
      </c>
      <c r="O44" s="59" t="s">
        <v>318</v>
      </c>
      <c r="P44" t="s">
        <v>321</v>
      </c>
      <c r="Q44" t="s">
        <v>378</v>
      </c>
      <c r="R44" s="60" t="str">
        <f>_xlfn.CONCAT(Tabla16[[#This Row],[ABR_01]],"00",Tabla16[[#This Row],[ABR_02]],Tabla16[[#This Row],[ZONA2]],,"0",Tabla16[[#This Row],[PARADA2]])</f>
        <v>AR00BA3010</v>
      </c>
      <c r="S44" s="60" t="s">
        <v>379</v>
      </c>
      <c r="T44" s="42" t="s">
        <v>324</v>
      </c>
      <c r="U44" s="42" t="s">
        <v>324</v>
      </c>
      <c r="V44" t="s">
        <v>850</v>
      </c>
    </row>
    <row r="45" spans="1:22" x14ac:dyDescent="0.25">
      <c r="A45" s="56" t="s">
        <v>325</v>
      </c>
      <c r="B45" s="38" t="s">
        <v>624</v>
      </c>
      <c r="C45" s="10" t="s">
        <v>624</v>
      </c>
      <c r="D45" s="39" t="s">
        <v>577</v>
      </c>
      <c r="E45" s="16" t="s">
        <v>73</v>
      </c>
      <c r="F45" s="12" t="s">
        <v>611</v>
      </c>
      <c r="G45" s="16">
        <v>808</v>
      </c>
      <c r="H45" s="40" t="s">
        <v>315</v>
      </c>
      <c r="I45" s="40" t="s">
        <v>579</v>
      </c>
      <c r="J45" s="41" t="s">
        <v>612</v>
      </c>
      <c r="K45" s="41" t="s">
        <v>397</v>
      </c>
      <c r="L45" s="57" t="s">
        <v>319</v>
      </c>
      <c r="M45" s="58" t="str">
        <f>Tabla16[[#This Row],[ABR_02]]</f>
        <v>BA</v>
      </c>
      <c r="N45" t="s">
        <v>320</v>
      </c>
      <c r="O45" s="59" t="s">
        <v>318</v>
      </c>
      <c r="P45" t="s">
        <v>321</v>
      </c>
      <c r="Q45" t="s">
        <v>378</v>
      </c>
      <c r="R45" s="60" t="str">
        <f>_xlfn.CONCAT(Tabla16[[#This Row],[ABR_01]],"00",Tabla16[[#This Row],[ABR_02]],Tabla16[[#This Row],[ZONA2]],,"0",Tabla16[[#This Row],[PARADA2]])</f>
        <v>AR00BA3011</v>
      </c>
      <c r="S45" s="60" t="s">
        <v>379</v>
      </c>
      <c r="T45" s="42" t="s">
        <v>324</v>
      </c>
      <c r="U45" s="42" t="s">
        <v>324</v>
      </c>
      <c r="V45" t="s">
        <v>850</v>
      </c>
    </row>
    <row r="46" spans="1:22" x14ac:dyDescent="0.25">
      <c r="A46" s="56" t="s">
        <v>325</v>
      </c>
      <c r="B46" s="38" t="s">
        <v>625</v>
      </c>
      <c r="C46" s="44" t="s">
        <v>82</v>
      </c>
      <c r="D46" s="39" t="s">
        <v>577</v>
      </c>
      <c r="E46" s="16" t="s">
        <v>73</v>
      </c>
      <c r="F46" s="12" t="s">
        <v>611</v>
      </c>
      <c r="G46" s="16" t="s">
        <v>626</v>
      </c>
      <c r="H46" s="40" t="s">
        <v>315</v>
      </c>
      <c r="I46" s="40" t="s">
        <v>579</v>
      </c>
      <c r="J46" s="41" t="s">
        <v>612</v>
      </c>
      <c r="K46" s="41" t="s">
        <v>399</v>
      </c>
      <c r="L46" s="57" t="s">
        <v>319</v>
      </c>
      <c r="M46" s="58" t="str">
        <f>Tabla16[[#This Row],[ABR_02]]</f>
        <v>BA</v>
      </c>
      <c r="N46" t="s">
        <v>320</v>
      </c>
      <c r="O46" s="59" t="s">
        <v>318</v>
      </c>
      <c r="P46" t="s">
        <v>321</v>
      </c>
      <c r="Q46" t="s">
        <v>378</v>
      </c>
      <c r="R46" s="60" t="str">
        <f>_xlfn.CONCAT(Tabla16[[#This Row],[ABR_01]],"00",Tabla16[[#This Row],[ABR_02]],Tabla16[[#This Row],[ZONA2]],,"0",Tabla16[[#This Row],[PARADA2]])</f>
        <v>AR00BA3012</v>
      </c>
      <c r="S46" s="60" t="s">
        <v>379</v>
      </c>
      <c r="T46" s="42" t="s">
        <v>324</v>
      </c>
      <c r="U46" s="42" t="s">
        <v>324</v>
      </c>
      <c r="V46" t="s">
        <v>850</v>
      </c>
    </row>
    <row r="47" spans="1:22" x14ac:dyDescent="0.25">
      <c r="A47" s="56" t="s">
        <v>325</v>
      </c>
      <c r="B47" s="38" t="s">
        <v>627</v>
      </c>
      <c r="C47" s="10" t="s">
        <v>627</v>
      </c>
      <c r="D47" s="39" t="s">
        <v>577</v>
      </c>
      <c r="E47" s="16" t="s">
        <v>73</v>
      </c>
      <c r="F47" s="12" t="s">
        <v>611</v>
      </c>
      <c r="G47" s="16">
        <v>802</v>
      </c>
      <c r="H47" s="40" t="s">
        <v>315</v>
      </c>
      <c r="I47" s="40" t="s">
        <v>579</v>
      </c>
      <c r="J47" s="41" t="s">
        <v>612</v>
      </c>
      <c r="K47" s="41" t="s">
        <v>401</v>
      </c>
      <c r="L47" s="57" t="s">
        <v>319</v>
      </c>
      <c r="M47" s="58" t="str">
        <f>Tabla16[[#This Row],[ABR_02]]</f>
        <v>BA</v>
      </c>
      <c r="N47" t="s">
        <v>320</v>
      </c>
      <c r="O47" s="59" t="s">
        <v>318</v>
      </c>
      <c r="P47" t="s">
        <v>321</v>
      </c>
      <c r="Q47" t="s">
        <v>378</v>
      </c>
      <c r="R47" s="60" t="str">
        <f>_xlfn.CONCAT(Tabla16[[#This Row],[ABR_01]],"00",Tabla16[[#This Row],[ABR_02]],Tabla16[[#This Row],[ZONA2]],,"0",Tabla16[[#This Row],[PARADA2]])</f>
        <v>AR00BA3013</v>
      </c>
      <c r="S47" s="60" t="s">
        <v>379</v>
      </c>
      <c r="T47" s="42" t="s">
        <v>324</v>
      </c>
      <c r="U47" s="42" t="s">
        <v>324</v>
      </c>
      <c r="V47" t="s">
        <v>850</v>
      </c>
    </row>
    <row r="48" spans="1:22" x14ac:dyDescent="0.25">
      <c r="A48" s="56" t="s">
        <v>325</v>
      </c>
      <c r="B48" s="38" t="s">
        <v>628</v>
      </c>
      <c r="C48" s="10" t="s">
        <v>628</v>
      </c>
      <c r="D48" s="39" t="s">
        <v>577</v>
      </c>
      <c r="E48" s="16" t="s">
        <v>73</v>
      </c>
      <c r="F48" s="12" t="s">
        <v>611</v>
      </c>
      <c r="G48" s="16">
        <v>895</v>
      </c>
      <c r="H48" s="40" t="s">
        <v>315</v>
      </c>
      <c r="I48" s="40" t="s">
        <v>579</v>
      </c>
      <c r="J48" s="41" t="s">
        <v>612</v>
      </c>
      <c r="K48" s="41" t="s">
        <v>404</v>
      </c>
      <c r="L48" s="57" t="s">
        <v>319</v>
      </c>
      <c r="M48" s="58" t="str">
        <f>Tabla16[[#This Row],[ABR_02]]</f>
        <v>BA</v>
      </c>
      <c r="N48" t="s">
        <v>320</v>
      </c>
      <c r="O48" s="59" t="s">
        <v>318</v>
      </c>
      <c r="P48" t="s">
        <v>321</v>
      </c>
      <c r="Q48" t="s">
        <v>378</v>
      </c>
      <c r="R48" s="60" t="str">
        <f>_xlfn.CONCAT(Tabla16[[#This Row],[ABR_01]],"00",Tabla16[[#This Row],[ABR_02]],Tabla16[[#This Row],[ZONA2]],,"0",Tabla16[[#This Row],[PARADA2]])</f>
        <v>AR00BA3014</v>
      </c>
      <c r="S48" s="60" t="s">
        <v>379</v>
      </c>
      <c r="T48" s="42" t="s">
        <v>324</v>
      </c>
      <c r="U48" s="42" t="s">
        <v>324</v>
      </c>
      <c r="V48" t="s">
        <v>850</v>
      </c>
    </row>
    <row r="49" spans="1:22" x14ac:dyDescent="0.25">
      <c r="A49" s="56" t="s">
        <v>325</v>
      </c>
      <c r="B49" s="38" t="s">
        <v>629</v>
      </c>
      <c r="C49" s="44" t="s">
        <v>251</v>
      </c>
      <c r="D49" s="39" t="s">
        <v>577</v>
      </c>
      <c r="E49" s="16" t="s">
        <v>73</v>
      </c>
      <c r="F49" s="12" t="s">
        <v>611</v>
      </c>
      <c r="G49" s="16">
        <v>816</v>
      </c>
      <c r="H49" s="40" t="s">
        <v>315</v>
      </c>
      <c r="I49" s="40" t="s">
        <v>579</v>
      </c>
      <c r="J49" s="41" t="s">
        <v>612</v>
      </c>
      <c r="K49" s="41" t="s">
        <v>407</v>
      </c>
      <c r="L49" s="57" t="s">
        <v>319</v>
      </c>
      <c r="M49" s="58" t="str">
        <f>Tabla16[[#This Row],[ABR_02]]</f>
        <v>BA</v>
      </c>
      <c r="N49" t="s">
        <v>320</v>
      </c>
      <c r="O49" s="59" t="s">
        <v>318</v>
      </c>
      <c r="P49" t="s">
        <v>321</v>
      </c>
      <c r="Q49" t="s">
        <v>378</v>
      </c>
      <c r="R49" s="60" t="str">
        <f>_xlfn.CONCAT(Tabla16[[#This Row],[ABR_01]],"00",Tabla16[[#This Row],[ABR_02]],Tabla16[[#This Row],[ZONA2]],,"0",Tabla16[[#This Row],[PARADA2]])</f>
        <v>AR00BA3015</v>
      </c>
      <c r="S49" s="60" t="s">
        <v>379</v>
      </c>
      <c r="T49" s="42" t="s">
        <v>324</v>
      </c>
      <c r="U49" s="42" t="s">
        <v>324</v>
      </c>
      <c r="V49" t="s">
        <v>850</v>
      </c>
    </row>
    <row r="50" spans="1:22" x14ac:dyDescent="0.25">
      <c r="A50" s="56" t="s">
        <v>325</v>
      </c>
      <c r="B50" s="38" t="s">
        <v>630</v>
      </c>
      <c r="C50" s="10" t="s">
        <v>630</v>
      </c>
      <c r="D50" s="39" t="s">
        <v>577</v>
      </c>
      <c r="E50" s="16" t="s">
        <v>73</v>
      </c>
      <c r="F50" s="12" t="s">
        <v>611</v>
      </c>
      <c r="G50" s="16">
        <v>875</v>
      </c>
      <c r="H50" s="40" t="s">
        <v>315</v>
      </c>
      <c r="I50" s="40" t="s">
        <v>579</v>
      </c>
      <c r="J50" s="41" t="s">
        <v>612</v>
      </c>
      <c r="K50" s="41" t="s">
        <v>409</v>
      </c>
      <c r="L50" s="57" t="s">
        <v>319</v>
      </c>
      <c r="M50" s="58" t="str">
        <f>Tabla16[[#This Row],[ABR_02]]</f>
        <v>BA</v>
      </c>
      <c r="N50" t="s">
        <v>320</v>
      </c>
      <c r="O50" s="59" t="s">
        <v>318</v>
      </c>
      <c r="P50" t="s">
        <v>321</v>
      </c>
      <c r="Q50" t="s">
        <v>378</v>
      </c>
      <c r="R50" s="60" t="str">
        <f>_xlfn.CONCAT(Tabla16[[#This Row],[ABR_01]],"00",Tabla16[[#This Row],[ABR_02]],Tabla16[[#This Row],[ZONA2]],,"0",Tabla16[[#This Row],[PARADA2]])</f>
        <v>AR00BA3016</v>
      </c>
      <c r="S50" s="60" t="s">
        <v>379</v>
      </c>
      <c r="T50" s="42" t="s">
        <v>324</v>
      </c>
      <c r="U50" s="42" t="s">
        <v>324</v>
      </c>
      <c r="V50" t="s">
        <v>850</v>
      </c>
    </row>
    <row r="51" spans="1:22" x14ac:dyDescent="0.25">
      <c r="A51" s="56" t="s">
        <v>325</v>
      </c>
      <c r="B51" s="38" t="s">
        <v>631</v>
      </c>
      <c r="C51" s="44" t="s">
        <v>632</v>
      </c>
      <c r="D51" s="39" t="s">
        <v>577</v>
      </c>
      <c r="E51" s="16" t="s">
        <v>73</v>
      </c>
      <c r="F51" s="12" t="s">
        <v>611</v>
      </c>
      <c r="G51" s="16">
        <v>817</v>
      </c>
      <c r="H51" s="40" t="s">
        <v>315</v>
      </c>
      <c r="I51" s="40" t="s">
        <v>579</v>
      </c>
      <c r="J51" s="41" t="s">
        <v>612</v>
      </c>
      <c r="K51" s="41" t="s">
        <v>412</v>
      </c>
      <c r="L51" s="57" t="s">
        <v>319</v>
      </c>
      <c r="M51" s="58" t="str">
        <f>Tabla16[[#This Row],[ABR_02]]</f>
        <v>BA</v>
      </c>
      <c r="N51" t="s">
        <v>320</v>
      </c>
      <c r="O51" s="59" t="s">
        <v>318</v>
      </c>
      <c r="P51" t="s">
        <v>321</v>
      </c>
      <c r="Q51" t="s">
        <v>378</v>
      </c>
      <c r="R51" s="60" t="str">
        <f>_xlfn.CONCAT(Tabla16[[#This Row],[ABR_01]],"00",Tabla16[[#This Row],[ABR_02]],Tabla16[[#This Row],[ZONA2]],,"0",Tabla16[[#This Row],[PARADA2]])</f>
        <v>AR00BA3017</v>
      </c>
      <c r="S51" s="60" t="s">
        <v>379</v>
      </c>
      <c r="T51" s="42" t="s">
        <v>324</v>
      </c>
      <c r="U51" s="42" t="s">
        <v>324</v>
      </c>
      <c r="V51" t="s">
        <v>850</v>
      </c>
    </row>
    <row r="52" spans="1:22" x14ac:dyDescent="0.25">
      <c r="A52" s="56" t="s">
        <v>325</v>
      </c>
      <c r="B52" s="38" t="s">
        <v>633</v>
      </c>
      <c r="C52" s="44" t="s">
        <v>634</v>
      </c>
      <c r="D52" s="39" t="s">
        <v>577</v>
      </c>
      <c r="E52" s="16" t="s">
        <v>73</v>
      </c>
      <c r="F52" s="12" t="s">
        <v>611</v>
      </c>
      <c r="G52" s="16">
        <v>755</v>
      </c>
      <c r="H52" s="40" t="s">
        <v>315</v>
      </c>
      <c r="I52" s="40" t="s">
        <v>579</v>
      </c>
      <c r="J52" s="41" t="s">
        <v>612</v>
      </c>
      <c r="K52" s="41" t="s">
        <v>414</v>
      </c>
      <c r="L52" s="57" t="s">
        <v>319</v>
      </c>
      <c r="M52" s="58" t="str">
        <f>Tabla16[[#This Row],[ABR_02]]</f>
        <v>BA</v>
      </c>
      <c r="N52" t="s">
        <v>320</v>
      </c>
      <c r="O52" s="59" t="s">
        <v>318</v>
      </c>
      <c r="P52" t="s">
        <v>321</v>
      </c>
      <c r="Q52" t="s">
        <v>378</v>
      </c>
      <c r="R52" s="60" t="str">
        <f>_xlfn.CONCAT(Tabla16[[#This Row],[ABR_01]],"00",Tabla16[[#This Row],[ABR_02]],Tabla16[[#This Row],[ZONA2]],,"0",Tabla16[[#This Row],[PARADA2]])</f>
        <v>AR00BA3018</v>
      </c>
      <c r="S52" s="60" t="s">
        <v>379</v>
      </c>
      <c r="T52" s="42" t="s">
        <v>324</v>
      </c>
      <c r="U52" s="42" t="s">
        <v>324</v>
      </c>
      <c r="V52" t="s">
        <v>850</v>
      </c>
    </row>
    <row r="53" spans="1:22" x14ac:dyDescent="0.25">
      <c r="A53" s="56" t="s">
        <v>325</v>
      </c>
      <c r="B53" s="38" t="s">
        <v>197</v>
      </c>
      <c r="C53" s="10" t="s">
        <v>197</v>
      </c>
      <c r="D53" s="39" t="s">
        <v>577</v>
      </c>
      <c r="E53" s="16" t="s">
        <v>73</v>
      </c>
      <c r="F53" s="12" t="s">
        <v>611</v>
      </c>
      <c r="G53" s="16">
        <v>902</v>
      </c>
      <c r="H53" s="40" t="s">
        <v>315</v>
      </c>
      <c r="I53" s="40" t="s">
        <v>579</v>
      </c>
      <c r="J53" s="41" t="s">
        <v>612</v>
      </c>
      <c r="K53" s="41" t="s">
        <v>417</v>
      </c>
      <c r="L53" s="57" t="s">
        <v>319</v>
      </c>
      <c r="M53" s="58" t="str">
        <f>Tabla16[[#This Row],[ABR_02]]</f>
        <v>BA</v>
      </c>
      <c r="N53" t="s">
        <v>320</v>
      </c>
      <c r="O53" s="59" t="s">
        <v>318</v>
      </c>
      <c r="P53" t="s">
        <v>321</v>
      </c>
      <c r="Q53" t="s">
        <v>378</v>
      </c>
      <c r="R53" s="60" t="str">
        <f>_xlfn.CONCAT(Tabla16[[#This Row],[ABR_01]],"00",Tabla16[[#This Row],[ABR_02]],Tabla16[[#This Row],[ZONA2]],,"0",Tabla16[[#This Row],[PARADA2]])</f>
        <v>AR00BA3019</v>
      </c>
      <c r="S53" s="60" t="s">
        <v>379</v>
      </c>
      <c r="T53" s="42" t="s">
        <v>324</v>
      </c>
      <c r="U53" s="42" t="s">
        <v>324</v>
      </c>
      <c r="V53" t="s">
        <v>850</v>
      </c>
    </row>
    <row r="54" spans="1:22" x14ac:dyDescent="0.25">
      <c r="A54" s="56" t="s">
        <v>325</v>
      </c>
      <c r="B54" s="38" t="s">
        <v>635</v>
      </c>
      <c r="C54" s="10" t="s">
        <v>635</v>
      </c>
      <c r="D54" s="39" t="s">
        <v>577</v>
      </c>
      <c r="E54" s="16" t="s">
        <v>73</v>
      </c>
      <c r="F54" s="12" t="s">
        <v>611</v>
      </c>
      <c r="G54" s="16">
        <v>812</v>
      </c>
      <c r="H54" s="40" t="s">
        <v>315</v>
      </c>
      <c r="I54" s="40" t="s">
        <v>579</v>
      </c>
      <c r="J54" s="41" t="s">
        <v>612</v>
      </c>
      <c r="K54" s="41" t="s">
        <v>419</v>
      </c>
      <c r="L54" s="57" t="s">
        <v>319</v>
      </c>
      <c r="M54" s="58" t="str">
        <f>Tabla16[[#This Row],[ABR_02]]</f>
        <v>BA</v>
      </c>
      <c r="N54" t="s">
        <v>320</v>
      </c>
      <c r="O54" s="59" t="s">
        <v>318</v>
      </c>
      <c r="P54" t="s">
        <v>321</v>
      </c>
      <c r="Q54" t="s">
        <v>378</v>
      </c>
      <c r="R54" s="60" t="str">
        <f>_xlfn.CONCAT(Tabla16[[#This Row],[ABR_01]],"00",Tabla16[[#This Row],[ABR_02]],Tabla16[[#This Row],[ZONA2]],,"0",Tabla16[[#This Row],[PARADA2]])</f>
        <v>AR00BA3020</v>
      </c>
      <c r="S54" s="60" t="s">
        <v>379</v>
      </c>
      <c r="T54" s="42" t="s">
        <v>324</v>
      </c>
      <c r="U54" s="42" t="s">
        <v>324</v>
      </c>
      <c r="V54" t="s">
        <v>850</v>
      </c>
    </row>
    <row r="55" spans="1:22" x14ac:dyDescent="0.25">
      <c r="A55" s="56" t="s">
        <v>325</v>
      </c>
      <c r="B55" s="38" t="s">
        <v>636</v>
      </c>
      <c r="C55" s="44" t="s">
        <v>158</v>
      </c>
      <c r="D55" s="39" t="s">
        <v>577</v>
      </c>
      <c r="E55" s="16" t="s">
        <v>73</v>
      </c>
      <c r="F55" s="12" t="s">
        <v>611</v>
      </c>
      <c r="G55" s="16">
        <v>840</v>
      </c>
      <c r="H55" s="40" t="s">
        <v>315</v>
      </c>
      <c r="I55" s="40" t="s">
        <v>579</v>
      </c>
      <c r="J55" s="41" t="s">
        <v>612</v>
      </c>
      <c r="K55" s="41" t="s">
        <v>421</v>
      </c>
      <c r="L55" s="57" t="s">
        <v>319</v>
      </c>
      <c r="M55" s="58" t="str">
        <f>Tabla16[[#This Row],[ABR_02]]</f>
        <v>BA</v>
      </c>
      <c r="N55" t="s">
        <v>320</v>
      </c>
      <c r="O55" s="59" t="s">
        <v>318</v>
      </c>
      <c r="P55" t="s">
        <v>321</v>
      </c>
      <c r="Q55" t="s">
        <v>378</v>
      </c>
      <c r="R55" s="60" t="str">
        <f>_xlfn.CONCAT(Tabla16[[#This Row],[ABR_01]],"00",Tabla16[[#This Row],[ABR_02]],Tabla16[[#This Row],[ZONA2]],,"0",Tabla16[[#This Row],[PARADA2]])</f>
        <v>AR00BA3021</v>
      </c>
      <c r="S55" s="60" t="s">
        <v>379</v>
      </c>
      <c r="T55" s="42" t="s">
        <v>324</v>
      </c>
      <c r="U55" s="42" t="s">
        <v>324</v>
      </c>
      <c r="V55" t="s">
        <v>850</v>
      </c>
    </row>
    <row r="56" spans="1:22" x14ac:dyDescent="0.25">
      <c r="A56" s="56" t="s">
        <v>325</v>
      </c>
      <c r="B56" s="38" t="s">
        <v>205</v>
      </c>
      <c r="C56" s="10" t="s">
        <v>205</v>
      </c>
      <c r="D56" s="39" t="s">
        <v>577</v>
      </c>
      <c r="E56" s="16" t="s">
        <v>73</v>
      </c>
      <c r="F56" s="12" t="s">
        <v>611</v>
      </c>
      <c r="G56" s="16">
        <v>818</v>
      </c>
      <c r="H56" s="40" t="s">
        <v>315</v>
      </c>
      <c r="I56" s="40" t="s">
        <v>579</v>
      </c>
      <c r="J56" s="41" t="s">
        <v>612</v>
      </c>
      <c r="K56" s="41" t="s">
        <v>423</v>
      </c>
      <c r="L56" s="57" t="s">
        <v>319</v>
      </c>
      <c r="M56" s="58" t="str">
        <f>Tabla16[[#This Row],[ABR_02]]</f>
        <v>BA</v>
      </c>
      <c r="N56" t="s">
        <v>320</v>
      </c>
      <c r="O56" s="59" t="s">
        <v>318</v>
      </c>
      <c r="P56" t="s">
        <v>321</v>
      </c>
      <c r="Q56" t="s">
        <v>378</v>
      </c>
      <c r="R56" s="60" t="str">
        <f>_xlfn.CONCAT(Tabla16[[#This Row],[ABR_01]],"00",Tabla16[[#This Row],[ABR_02]],Tabla16[[#This Row],[ZONA2]],,"0",Tabla16[[#This Row],[PARADA2]])</f>
        <v>AR00BA3022</v>
      </c>
      <c r="S56" s="60" t="s">
        <v>379</v>
      </c>
      <c r="T56" s="42" t="s">
        <v>324</v>
      </c>
      <c r="U56" s="42" t="s">
        <v>324</v>
      </c>
      <c r="V56" t="s">
        <v>850</v>
      </c>
    </row>
    <row r="57" spans="1:22" x14ac:dyDescent="0.25">
      <c r="A57" s="56" t="s">
        <v>325</v>
      </c>
      <c r="B57" s="38" t="s">
        <v>637</v>
      </c>
      <c r="C57" s="10" t="s">
        <v>637</v>
      </c>
      <c r="D57" s="39" t="s">
        <v>577</v>
      </c>
      <c r="E57" s="16" t="s">
        <v>73</v>
      </c>
      <c r="F57" s="12" t="s">
        <v>611</v>
      </c>
      <c r="G57" s="16">
        <v>819</v>
      </c>
      <c r="H57" s="40" t="s">
        <v>315</v>
      </c>
      <c r="I57" s="40" t="s">
        <v>579</v>
      </c>
      <c r="J57" s="41" t="s">
        <v>612</v>
      </c>
      <c r="K57" s="41" t="s">
        <v>426</v>
      </c>
      <c r="L57" s="57" t="s">
        <v>319</v>
      </c>
      <c r="M57" s="58" t="str">
        <f>Tabla16[[#This Row],[ABR_02]]</f>
        <v>BA</v>
      </c>
      <c r="N57" t="s">
        <v>320</v>
      </c>
      <c r="O57" s="59" t="s">
        <v>318</v>
      </c>
      <c r="P57" t="s">
        <v>321</v>
      </c>
      <c r="Q57" t="s">
        <v>378</v>
      </c>
      <c r="R57" s="60" t="str">
        <f>_xlfn.CONCAT(Tabla16[[#This Row],[ABR_01]],"00",Tabla16[[#This Row],[ABR_02]],Tabla16[[#This Row],[ZONA2]],,"0",Tabla16[[#This Row],[PARADA2]])</f>
        <v>AR00BA3023</v>
      </c>
      <c r="S57" s="60" t="s">
        <v>379</v>
      </c>
      <c r="T57" s="42" t="s">
        <v>324</v>
      </c>
      <c r="U57" s="42" t="s">
        <v>324</v>
      </c>
      <c r="V57" t="s">
        <v>850</v>
      </c>
    </row>
    <row r="58" spans="1:22" x14ac:dyDescent="0.25">
      <c r="A58" s="56" t="s">
        <v>325</v>
      </c>
      <c r="B58" s="38" t="s">
        <v>638</v>
      </c>
      <c r="C58" s="44" t="s">
        <v>639</v>
      </c>
      <c r="D58" s="39" t="s">
        <v>577</v>
      </c>
      <c r="E58" s="16" t="s">
        <v>38</v>
      </c>
      <c r="F58" s="12">
        <v>342</v>
      </c>
      <c r="G58" s="16">
        <v>775</v>
      </c>
      <c r="H58" s="40" t="s">
        <v>315</v>
      </c>
      <c r="I58" s="40" t="s">
        <v>579</v>
      </c>
      <c r="J58" s="41" t="s">
        <v>612</v>
      </c>
      <c r="K58" s="41" t="s">
        <v>428</v>
      </c>
      <c r="L58" s="57" t="s">
        <v>319</v>
      </c>
      <c r="M58" s="58" t="str">
        <f>Tabla16[[#This Row],[ABR_02]]</f>
        <v>BA</v>
      </c>
      <c r="N58" t="s">
        <v>320</v>
      </c>
      <c r="O58" s="59" t="s">
        <v>318</v>
      </c>
      <c r="P58" t="s">
        <v>321</v>
      </c>
      <c r="Q58" t="s">
        <v>378</v>
      </c>
      <c r="R58" s="60" t="str">
        <f>_xlfn.CONCAT(Tabla16[[#This Row],[ABR_01]],"00",Tabla16[[#This Row],[ABR_02]],Tabla16[[#This Row],[ZONA2]],,"0",Tabla16[[#This Row],[PARADA2]])</f>
        <v>AR00BA3024</v>
      </c>
      <c r="S58" s="60" t="s">
        <v>379</v>
      </c>
      <c r="T58" s="42" t="s">
        <v>324</v>
      </c>
      <c r="U58" s="42" t="s">
        <v>324</v>
      </c>
      <c r="V58" t="s">
        <v>850</v>
      </c>
    </row>
    <row r="59" spans="1:22" x14ac:dyDescent="0.25">
      <c r="A59" s="56" t="s">
        <v>325</v>
      </c>
      <c r="B59" s="44" t="s">
        <v>640</v>
      </c>
      <c r="C59" s="44" t="s">
        <v>640</v>
      </c>
      <c r="D59" s="39" t="s">
        <v>577</v>
      </c>
      <c r="E59" s="16" t="s">
        <v>73</v>
      </c>
      <c r="F59" s="12" t="s">
        <v>611</v>
      </c>
      <c r="G59" s="16" t="s">
        <v>641</v>
      </c>
      <c r="H59" s="40" t="s">
        <v>315</v>
      </c>
      <c r="I59" s="40" t="s">
        <v>579</v>
      </c>
      <c r="J59" s="41" t="s">
        <v>612</v>
      </c>
      <c r="K59" s="41" t="s">
        <v>430</v>
      </c>
      <c r="L59" s="57" t="s">
        <v>319</v>
      </c>
      <c r="M59" s="58" t="str">
        <f>Tabla16[[#This Row],[ABR_02]]</f>
        <v>BA</v>
      </c>
      <c r="N59" t="s">
        <v>320</v>
      </c>
      <c r="O59" s="59" t="s">
        <v>318</v>
      </c>
      <c r="P59" t="s">
        <v>321</v>
      </c>
      <c r="Q59" t="s">
        <v>378</v>
      </c>
      <c r="R59" s="60" t="str">
        <f>_xlfn.CONCAT(Tabla16[[#This Row],[ABR_01]],"00",Tabla16[[#This Row],[ABR_02]],Tabla16[[#This Row],[ZONA2]],,"0",Tabla16[[#This Row],[PARADA2]])</f>
        <v>AR00BA3025</v>
      </c>
      <c r="S59" s="60" t="s">
        <v>379</v>
      </c>
      <c r="T59" s="42" t="s">
        <v>324</v>
      </c>
      <c r="U59" s="42" t="s">
        <v>324</v>
      </c>
      <c r="V59" t="s">
        <v>850</v>
      </c>
    </row>
    <row r="60" spans="1:22" x14ac:dyDescent="0.25">
      <c r="A60" s="56" t="s">
        <v>325</v>
      </c>
      <c r="B60" s="38" t="s">
        <v>588</v>
      </c>
      <c r="C60" s="10" t="s">
        <v>589</v>
      </c>
      <c r="D60" s="39" t="s">
        <v>577</v>
      </c>
      <c r="E60" s="16" t="s">
        <v>87</v>
      </c>
      <c r="F60" s="12" t="s">
        <v>590</v>
      </c>
      <c r="G60" s="16">
        <v>885</v>
      </c>
      <c r="H60" s="40" t="s">
        <v>315</v>
      </c>
      <c r="I60" s="40" t="s">
        <v>579</v>
      </c>
      <c r="J60" s="41" t="s">
        <v>591</v>
      </c>
      <c r="K60" s="41" t="s">
        <v>318</v>
      </c>
      <c r="L60" s="57" t="s">
        <v>319</v>
      </c>
      <c r="M60" s="58" t="str">
        <f>Tabla16[[#This Row],[ABR_02]]</f>
        <v>BA</v>
      </c>
      <c r="N60" t="s">
        <v>320</v>
      </c>
      <c r="O60" s="59" t="s">
        <v>334</v>
      </c>
      <c r="P60" t="s">
        <v>650</v>
      </c>
      <c r="Q60" t="s">
        <v>320</v>
      </c>
      <c r="R60" s="60" t="str">
        <f>_xlfn.CONCAT(Tabla16[[#This Row],[ABR_01]],"00",Tabla16[[#This Row],[ABR_02]],Tabla16[[#This Row],[ZONA2]],,"0",Tabla16[[#This Row],[PARADA2]])</f>
        <v>AR00BA2001</v>
      </c>
      <c r="S60" s="60" t="s">
        <v>580</v>
      </c>
      <c r="T60" s="42" t="s">
        <v>324</v>
      </c>
      <c r="U60" s="53" t="s">
        <v>324</v>
      </c>
      <c r="V60" t="s">
        <v>851</v>
      </c>
    </row>
    <row r="61" spans="1:22" x14ac:dyDescent="0.25">
      <c r="A61" s="56" t="s">
        <v>325</v>
      </c>
      <c r="B61" s="38" t="s">
        <v>592</v>
      </c>
      <c r="C61" s="10" t="s">
        <v>593</v>
      </c>
      <c r="D61" s="39" t="s">
        <v>577</v>
      </c>
      <c r="E61" s="16" t="s">
        <v>87</v>
      </c>
      <c r="F61" s="12" t="s">
        <v>590</v>
      </c>
      <c r="G61" s="16">
        <v>856</v>
      </c>
      <c r="H61" s="40" t="s">
        <v>315</v>
      </c>
      <c r="I61" s="40" t="s">
        <v>579</v>
      </c>
      <c r="J61" s="41" t="s">
        <v>591</v>
      </c>
      <c r="K61" s="41" t="s">
        <v>331</v>
      </c>
      <c r="L61" s="57" t="s">
        <v>319</v>
      </c>
      <c r="M61" s="58" t="str">
        <f>Tabla16[[#This Row],[ABR_02]]</f>
        <v>BA</v>
      </c>
      <c r="N61" t="s">
        <v>320</v>
      </c>
      <c r="O61" s="59" t="s">
        <v>334</v>
      </c>
      <c r="P61" t="s">
        <v>650</v>
      </c>
      <c r="Q61" t="s">
        <v>320</v>
      </c>
      <c r="R61" s="60" t="str">
        <f>_xlfn.CONCAT(Tabla16[[#This Row],[ABR_01]],"00",Tabla16[[#This Row],[ABR_02]],Tabla16[[#This Row],[ZONA2]],,"0",Tabla16[[#This Row],[PARADA2]])</f>
        <v>AR00BA2002</v>
      </c>
      <c r="S61" s="60" t="s">
        <v>580</v>
      </c>
      <c r="T61" s="42" t="s">
        <v>324</v>
      </c>
      <c r="U61" s="53" t="s">
        <v>324</v>
      </c>
      <c r="V61" t="s">
        <v>851</v>
      </c>
    </row>
    <row r="62" spans="1:22" x14ac:dyDescent="0.25">
      <c r="A62" s="56" t="s">
        <v>325</v>
      </c>
      <c r="B62" s="38" t="s">
        <v>594</v>
      </c>
      <c r="C62" s="44" t="s">
        <v>208</v>
      </c>
      <c r="D62" s="39" t="s">
        <v>577</v>
      </c>
      <c r="E62" s="16" t="s">
        <v>87</v>
      </c>
      <c r="F62" s="12" t="s">
        <v>590</v>
      </c>
      <c r="G62" s="16">
        <v>823</v>
      </c>
      <c r="H62" s="40" t="s">
        <v>315</v>
      </c>
      <c r="I62" s="40" t="s">
        <v>579</v>
      </c>
      <c r="J62" s="41" t="s">
        <v>591</v>
      </c>
      <c r="K62" s="41" t="s">
        <v>332</v>
      </c>
      <c r="L62" s="57" t="s">
        <v>319</v>
      </c>
      <c r="M62" s="58" t="str">
        <f>Tabla16[[#This Row],[ABR_02]]</f>
        <v>BA</v>
      </c>
      <c r="N62" t="s">
        <v>320</v>
      </c>
      <c r="O62" s="59" t="s">
        <v>334</v>
      </c>
      <c r="P62" t="s">
        <v>650</v>
      </c>
      <c r="Q62" t="s">
        <v>320</v>
      </c>
      <c r="R62" s="60" t="str">
        <f>_xlfn.CONCAT(Tabla16[[#This Row],[ABR_01]],"00",Tabla16[[#This Row],[ABR_02]],Tabla16[[#This Row],[ZONA2]],,"0",Tabla16[[#This Row],[PARADA2]])</f>
        <v>AR00BA2003</v>
      </c>
      <c r="S62" s="60" t="s">
        <v>580</v>
      </c>
      <c r="T62" s="42" t="s">
        <v>324</v>
      </c>
      <c r="U62" s="53" t="s">
        <v>324</v>
      </c>
      <c r="V62" t="s">
        <v>851</v>
      </c>
    </row>
    <row r="63" spans="1:22" x14ac:dyDescent="0.25">
      <c r="A63" s="56" t="s">
        <v>325</v>
      </c>
      <c r="B63" s="38" t="s">
        <v>595</v>
      </c>
      <c r="C63" s="44" t="s">
        <v>210</v>
      </c>
      <c r="D63" s="39" t="s">
        <v>577</v>
      </c>
      <c r="E63" s="16" t="s">
        <v>87</v>
      </c>
      <c r="F63" s="12" t="s">
        <v>590</v>
      </c>
      <c r="G63" s="16">
        <v>870</v>
      </c>
      <c r="H63" s="40" t="s">
        <v>315</v>
      </c>
      <c r="I63" s="40" t="s">
        <v>579</v>
      </c>
      <c r="J63" s="41" t="s">
        <v>591</v>
      </c>
      <c r="K63" s="41" t="s">
        <v>334</v>
      </c>
      <c r="L63" s="57" t="s">
        <v>319</v>
      </c>
      <c r="M63" s="58" t="str">
        <f>Tabla16[[#This Row],[ABR_02]]</f>
        <v>BA</v>
      </c>
      <c r="N63" t="s">
        <v>320</v>
      </c>
      <c r="O63" s="59" t="s">
        <v>334</v>
      </c>
      <c r="P63" t="s">
        <v>650</v>
      </c>
      <c r="Q63" t="s">
        <v>320</v>
      </c>
      <c r="R63" s="60" t="str">
        <f>_xlfn.CONCAT(Tabla16[[#This Row],[ABR_01]],"00",Tabla16[[#This Row],[ABR_02]],Tabla16[[#This Row],[ZONA2]],,"0",Tabla16[[#This Row],[PARADA2]])</f>
        <v>AR00BA2004</v>
      </c>
      <c r="S63" s="60" t="s">
        <v>580</v>
      </c>
      <c r="T63" s="42" t="s">
        <v>324</v>
      </c>
      <c r="U63" s="53" t="s">
        <v>324</v>
      </c>
      <c r="V63" t="s">
        <v>851</v>
      </c>
    </row>
    <row r="64" spans="1:22" x14ac:dyDescent="0.25">
      <c r="A64" s="56" t="s">
        <v>325</v>
      </c>
      <c r="B64" s="38" t="s">
        <v>596</v>
      </c>
      <c r="C64" s="10" t="s">
        <v>597</v>
      </c>
      <c r="D64" s="39" t="s">
        <v>577</v>
      </c>
      <c r="E64" s="16" t="s">
        <v>87</v>
      </c>
      <c r="F64" s="12" t="s">
        <v>590</v>
      </c>
      <c r="G64" s="16">
        <v>880</v>
      </c>
      <c r="H64" s="40" t="s">
        <v>315</v>
      </c>
      <c r="I64" s="40" t="s">
        <v>579</v>
      </c>
      <c r="J64" s="41" t="s">
        <v>591</v>
      </c>
      <c r="K64" s="41" t="s">
        <v>344</v>
      </c>
      <c r="L64" s="57" t="s">
        <v>319</v>
      </c>
      <c r="M64" s="58" t="str">
        <f>Tabla16[[#This Row],[ABR_02]]</f>
        <v>BA</v>
      </c>
      <c r="N64" t="s">
        <v>320</v>
      </c>
      <c r="O64" s="59" t="s">
        <v>334</v>
      </c>
      <c r="P64" t="s">
        <v>650</v>
      </c>
      <c r="Q64" t="s">
        <v>320</v>
      </c>
      <c r="R64" s="60" t="str">
        <f>_xlfn.CONCAT(Tabla16[[#This Row],[ABR_01]],"00",Tabla16[[#This Row],[ABR_02]],Tabla16[[#This Row],[ZONA2]],,"0",Tabla16[[#This Row],[PARADA2]])</f>
        <v>AR00BA2005</v>
      </c>
      <c r="S64" s="60" t="s">
        <v>580</v>
      </c>
      <c r="T64" s="42" t="s">
        <v>324</v>
      </c>
      <c r="U64" s="53" t="s">
        <v>324</v>
      </c>
      <c r="V64" t="s">
        <v>851</v>
      </c>
    </row>
    <row r="65" spans="1:22" x14ac:dyDescent="0.25">
      <c r="A65" s="56" t="s">
        <v>325</v>
      </c>
      <c r="B65" s="38" t="s">
        <v>598</v>
      </c>
      <c r="C65" s="44" t="s">
        <v>255</v>
      </c>
      <c r="D65" s="39" t="s">
        <v>577</v>
      </c>
      <c r="E65" s="16" t="s">
        <v>87</v>
      </c>
      <c r="F65" s="12" t="s">
        <v>590</v>
      </c>
      <c r="G65" s="16">
        <v>890</v>
      </c>
      <c r="H65" s="40" t="s">
        <v>315</v>
      </c>
      <c r="I65" s="40" t="s">
        <v>579</v>
      </c>
      <c r="J65" s="41" t="s">
        <v>591</v>
      </c>
      <c r="K65" s="41" t="s">
        <v>345</v>
      </c>
      <c r="L65" s="57" t="s">
        <v>319</v>
      </c>
      <c r="M65" s="58" t="str">
        <f>Tabla16[[#This Row],[ABR_02]]</f>
        <v>BA</v>
      </c>
      <c r="N65" t="s">
        <v>320</v>
      </c>
      <c r="O65" s="59" t="s">
        <v>334</v>
      </c>
      <c r="P65" t="s">
        <v>650</v>
      </c>
      <c r="Q65" t="s">
        <v>320</v>
      </c>
      <c r="R65" s="60" t="str">
        <f>_xlfn.CONCAT(Tabla16[[#This Row],[ABR_01]],"00",Tabla16[[#This Row],[ABR_02]],Tabla16[[#This Row],[ZONA2]],,"0",Tabla16[[#This Row],[PARADA2]])</f>
        <v>AR00BA2006</v>
      </c>
      <c r="S65" s="60" t="s">
        <v>580</v>
      </c>
      <c r="T65" s="42" t="s">
        <v>324</v>
      </c>
      <c r="U65" s="53" t="s">
        <v>324</v>
      </c>
      <c r="V65" t="s">
        <v>851</v>
      </c>
    </row>
    <row r="66" spans="1:22" x14ac:dyDescent="0.25">
      <c r="A66" s="56" t="s">
        <v>325</v>
      </c>
      <c r="B66" s="38" t="s">
        <v>599</v>
      </c>
      <c r="C66" s="44" t="s">
        <v>600</v>
      </c>
      <c r="D66" s="39" t="s">
        <v>577</v>
      </c>
      <c r="E66" s="16" t="s">
        <v>87</v>
      </c>
      <c r="F66" s="12" t="s">
        <v>590</v>
      </c>
      <c r="G66" s="16">
        <v>860</v>
      </c>
      <c r="H66" s="40" t="s">
        <v>315</v>
      </c>
      <c r="I66" s="40" t="s">
        <v>579</v>
      </c>
      <c r="J66" s="41" t="s">
        <v>591</v>
      </c>
      <c r="K66" s="41" t="s">
        <v>347</v>
      </c>
      <c r="L66" s="57" t="s">
        <v>319</v>
      </c>
      <c r="M66" s="58" t="str">
        <f>Tabla16[[#This Row],[ABR_02]]</f>
        <v>BA</v>
      </c>
      <c r="N66" t="s">
        <v>320</v>
      </c>
      <c r="O66" s="59" t="s">
        <v>334</v>
      </c>
      <c r="P66" t="s">
        <v>650</v>
      </c>
      <c r="Q66" t="s">
        <v>320</v>
      </c>
      <c r="R66" s="60" t="str">
        <f>_xlfn.CONCAT(Tabla16[[#This Row],[ABR_01]],"00",Tabla16[[#This Row],[ABR_02]],Tabla16[[#This Row],[ZONA2]],,"0",Tabla16[[#This Row],[PARADA2]])</f>
        <v>AR00BA2007</v>
      </c>
      <c r="S66" s="60" t="s">
        <v>580</v>
      </c>
      <c r="T66" s="42" t="s">
        <v>324</v>
      </c>
      <c r="U66" s="53" t="s">
        <v>324</v>
      </c>
      <c r="V66" t="s">
        <v>851</v>
      </c>
    </row>
    <row r="67" spans="1:22" x14ac:dyDescent="0.25">
      <c r="A67" s="56" t="s">
        <v>325</v>
      </c>
      <c r="B67" s="38" t="s">
        <v>601</v>
      </c>
      <c r="C67" s="10" t="s">
        <v>602</v>
      </c>
      <c r="D67" s="39" t="s">
        <v>577</v>
      </c>
      <c r="E67" s="16" t="s">
        <v>87</v>
      </c>
      <c r="F67" s="12" t="s">
        <v>590</v>
      </c>
      <c r="G67" s="16">
        <v>854</v>
      </c>
      <c r="H67" s="40" t="s">
        <v>315</v>
      </c>
      <c r="I67" s="40" t="s">
        <v>579</v>
      </c>
      <c r="J67" s="41" t="s">
        <v>591</v>
      </c>
      <c r="K67" s="41" t="s">
        <v>349</v>
      </c>
      <c r="L67" s="57" t="s">
        <v>319</v>
      </c>
      <c r="M67" s="58" t="str">
        <f>Tabla16[[#This Row],[ABR_02]]</f>
        <v>BA</v>
      </c>
      <c r="N67" t="s">
        <v>320</v>
      </c>
      <c r="O67" s="59" t="s">
        <v>334</v>
      </c>
      <c r="P67" t="s">
        <v>650</v>
      </c>
      <c r="Q67" t="s">
        <v>320</v>
      </c>
      <c r="R67" s="60" t="str">
        <f>_xlfn.CONCAT(Tabla16[[#This Row],[ABR_01]],"00",Tabla16[[#This Row],[ABR_02]],Tabla16[[#This Row],[ZONA2]],,"0",Tabla16[[#This Row],[PARADA2]])</f>
        <v>AR00BA2008</v>
      </c>
      <c r="S67" s="60" t="s">
        <v>580</v>
      </c>
      <c r="T67" s="42" t="s">
        <v>324</v>
      </c>
      <c r="U67" s="53" t="s">
        <v>324</v>
      </c>
      <c r="V67" t="s">
        <v>851</v>
      </c>
    </row>
    <row r="68" spans="1:22" x14ac:dyDescent="0.25">
      <c r="A68" s="56" t="s">
        <v>325</v>
      </c>
      <c r="B68" s="38" t="s">
        <v>603</v>
      </c>
      <c r="C68" s="10" t="s">
        <v>604</v>
      </c>
      <c r="D68" s="39" t="s">
        <v>577</v>
      </c>
      <c r="E68" s="16" t="s">
        <v>87</v>
      </c>
      <c r="F68" s="12" t="s">
        <v>590</v>
      </c>
      <c r="G68" s="16">
        <v>852</v>
      </c>
      <c r="H68" s="40" t="s">
        <v>315</v>
      </c>
      <c r="I68" s="40" t="s">
        <v>579</v>
      </c>
      <c r="J68" s="41" t="s">
        <v>591</v>
      </c>
      <c r="K68" s="41" t="s">
        <v>393</v>
      </c>
      <c r="L68" s="57" t="s">
        <v>319</v>
      </c>
      <c r="M68" s="58" t="str">
        <f>Tabla16[[#This Row],[ABR_02]]</f>
        <v>BA</v>
      </c>
      <c r="N68" t="s">
        <v>320</v>
      </c>
      <c r="O68" s="59" t="s">
        <v>334</v>
      </c>
      <c r="P68" t="s">
        <v>650</v>
      </c>
      <c r="Q68" t="s">
        <v>320</v>
      </c>
      <c r="R68" s="60" t="str">
        <f>_xlfn.CONCAT(Tabla16[[#This Row],[ABR_01]],"00",Tabla16[[#This Row],[ABR_02]],Tabla16[[#This Row],[ZONA2]],,"0",Tabla16[[#This Row],[PARADA2]])</f>
        <v>AR00BA2009</v>
      </c>
      <c r="S68" s="60" t="s">
        <v>580</v>
      </c>
      <c r="T68" s="42" t="s">
        <v>324</v>
      </c>
      <c r="U68" s="53" t="s">
        <v>324</v>
      </c>
      <c r="V68" t="s">
        <v>851</v>
      </c>
    </row>
    <row r="69" spans="1:22" x14ac:dyDescent="0.25">
      <c r="A69" s="56" t="s">
        <v>325</v>
      </c>
      <c r="B69" s="38" t="s">
        <v>605</v>
      </c>
      <c r="C69" s="10" t="s">
        <v>606</v>
      </c>
      <c r="D69" s="39" t="s">
        <v>577</v>
      </c>
      <c r="E69" s="16" t="s">
        <v>87</v>
      </c>
      <c r="F69" s="12" t="s">
        <v>590</v>
      </c>
      <c r="G69" s="16">
        <v>858</v>
      </c>
      <c r="H69" s="40" t="s">
        <v>315</v>
      </c>
      <c r="I69" s="40" t="s">
        <v>579</v>
      </c>
      <c r="J69" s="41" t="s">
        <v>591</v>
      </c>
      <c r="K69" s="41" t="s">
        <v>395</v>
      </c>
      <c r="L69" s="57" t="s">
        <v>319</v>
      </c>
      <c r="M69" s="58" t="str">
        <f>Tabla16[[#This Row],[ABR_02]]</f>
        <v>BA</v>
      </c>
      <c r="N69" t="s">
        <v>320</v>
      </c>
      <c r="O69" s="59" t="s">
        <v>334</v>
      </c>
      <c r="P69" t="s">
        <v>650</v>
      </c>
      <c r="Q69" t="s">
        <v>320</v>
      </c>
      <c r="R69" s="60" t="str">
        <f>_xlfn.CONCAT(Tabla16[[#This Row],[ABR_01]],"00",Tabla16[[#This Row],[ABR_02]],Tabla16[[#This Row],[ZONA2]],,"0",Tabla16[[#This Row],[PARADA2]])</f>
        <v>AR00BA2010</v>
      </c>
      <c r="S69" s="60" t="s">
        <v>580</v>
      </c>
      <c r="T69" s="42" t="s">
        <v>324</v>
      </c>
      <c r="U69" s="53" t="s">
        <v>324</v>
      </c>
      <c r="V69" t="s">
        <v>851</v>
      </c>
    </row>
    <row r="70" spans="1:22" x14ac:dyDescent="0.25">
      <c r="A70" s="56" t="s">
        <v>325</v>
      </c>
      <c r="B70" s="38" t="s">
        <v>607</v>
      </c>
      <c r="C70" s="10" t="s">
        <v>31</v>
      </c>
      <c r="D70" s="39" t="s">
        <v>577</v>
      </c>
      <c r="E70" s="16" t="s">
        <v>30</v>
      </c>
      <c r="F70" s="12">
        <v>283</v>
      </c>
      <c r="G70" s="16">
        <v>900</v>
      </c>
      <c r="H70" s="40" t="s">
        <v>315</v>
      </c>
      <c r="I70" s="40" t="s">
        <v>579</v>
      </c>
      <c r="J70" s="41" t="s">
        <v>608</v>
      </c>
      <c r="K70" s="41" t="s">
        <v>318</v>
      </c>
      <c r="L70" s="57" t="s">
        <v>319</v>
      </c>
      <c r="M70" s="58" t="str">
        <f>Tabla16[[#This Row],[ABR_02]]</f>
        <v>BA</v>
      </c>
      <c r="N70" t="s">
        <v>320</v>
      </c>
      <c r="O70" s="59" t="s">
        <v>334</v>
      </c>
      <c r="P70" t="s">
        <v>650</v>
      </c>
      <c r="Q70" t="s">
        <v>320</v>
      </c>
      <c r="R70" s="60" t="str">
        <f>_xlfn.CONCAT(Tabla16[[#This Row],[ABR_01]],"00",Tabla16[[#This Row],[ABR_02]],Tabla16[[#This Row],[ZONA2]],,"0",Tabla16[[#This Row],[PARADA2]])</f>
        <v>AR00BA4001</v>
      </c>
      <c r="S70" s="60" t="s">
        <v>580</v>
      </c>
      <c r="T70" s="42" t="s">
        <v>324</v>
      </c>
      <c r="U70" s="53" t="s">
        <v>324</v>
      </c>
      <c r="V70" t="s">
        <v>851</v>
      </c>
    </row>
    <row r="71" spans="1:22" x14ac:dyDescent="0.25">
      <c r="A71" s="56" t="s">
        <v>325</v>
      </c>
      <c r="B71" s="38" t="s">
        <v>609</v>
      </c>
      <c r="C71" s="44" t="s">
        <v>610</v>
      </c>
      <c r="D71" s="39" t="s">
        <v>577</v>
      </c>
      <c r="E71" s="16" t="s">
        <v>73</v>
      </c>
      <c r="F71" s="12" t="s">
        <v>611</v>
      </c>
      <c r="G71" s="16">
        <v>825</v>
      </c>
      <c r="H71" s="40" t="s">
        <v>315</v>
      </c>
      <c r="I71" s="40" t="s">
        <v>579</v>
      </c>
      <c r="J71" s="41" t="s">
        <v>612</v>
      </c>
      <c r="K71" s="41" t="s">
        <v>318</v>
      </c>
      <c r="L71" s="57" t="s">
        <v>319</v>
      </c>
      <c r="M71" s="58" t="str">
        <f>Tabla16[[#This Row],[ABR_02]]</f>
        <v>BA</v>
      </c>
      <c r="N71" t="s">
        <v>320</v>
      </c>
      <c r="O71" s="59" t="s">
        <v>334</v>
      </c>
      <c r="P71" t="s">
        <v>650</v>
      </c>
      <c r="Q71" t="s">
        <v>320</v>
      </c>
      <c r="R71" s="60" t="str">
        <f>_xlfn.CONCAT(Tabla16[[#This Row],[ABR_01]],"00",Tabla16[[#This Row],[ABR_02]],Tabla16[[#This Row],[ZONA2]],,"0",Tabla16[[#This Row],[PARADA2]])</f>
        <v>AR00BA3001</v>
      </c>
      <c r="S71" s="60" t="s">
        <v>580</v>
      </c>
      <c r="T71" s="42" t="s">
        <v>324</v>
      </c>
      <c r="U71" s="53" t="s">
        <v>324</v>
      </c>
      <c r="V71" t="s">
        <v>851</v>
      </c>
    </row>
    <row r="72" spans="1:22" x14ac:dyDescent="0.25">
      <c r="A72" s="56" t="s">
        <v>325</v>
      </c>
      <c r="B72" s="38" t="s">
        <v>613</v>
      </c>
      <c r="C72" s="10" t="s">
        <v>613</v>
      </c>
      <c r="D72" s="39" t="s">
        <v>577</v>
      </c>
      <c r="E72" s="16" t="s">
        <v>73</v>
      </c>
      <c r="F72" s="12" t="s">
        <v>611</v>
      </c>
      <c r="G72" s="16">
        <v>810</v>
      </c>
      <c r="H72" s="40" t="s">
        <v>315</v>
      </c>
      <c r="I72" s="40" t="s">
        <v>579</v>
      </c>
      <c r="J72" s="41" t="s">
        <v>612</v>
      </c>
      <c r="K72" s="41" t="s">
        <v>331</v>
      </c>
      <c r="L72" s="57" t="s">
        <v>319</v>
      </c>
      <c r="M72" s="58" t="str">
        <f>Tabla16[[#This Row],[ABR_02]]</f>
        <v>BA</v>
      </c>
      <c r="N72" t="s">
        <v>320</v>
      </c>
      <c r="O72" s="59" t="s">
        <v>334</v>
      </c>
      <c r="P72" t="s">
        <v>650</v>
      </c>
      <c r="Q72" t="s">
        <v>320</v>
      </c>
      <c r="R72" s="60" t="str">
        <f>_xlfn.CONCAT(Tabla16[[#This Row],[ABR_01]],"00",Tabla16[[#This Row],[ABR_02]],Tabla16[[#This Row],[ZONA2]],,"0",Tabla16[[#This Row],[PARADA2]])</f>
        <v>AR00BA3002</v>
      </c>
      <c r="S72" s="60" t="s">
        <v>580</v>
      </c>
      <c r="T72" s="42" t="s">
        <v>324</v>
      </c>
      <c r="U72" s="53" t="s">
        <v>324</v>
      </c>
      <c r="V72" t="s">
        <v>851</v>
      </c>
    </row>
    <row r="73" spans="1:22" x14ac:dyDescent="0.25">
      <c r="A73" s="56" t="s">
        <v>325</v>
      </c>
      <c r="B73" s="38" t="s">
        <v>614</v>
      </c>
      <c r="C73" s="44" t="s">
        <v>615</v>
      </c>
      <c r="D73" s="39" t="s">
        <v>577</v>
      </c>
      <c r="E73" s="16" t="s">
        <v>73</v>
      </c>
      <c r="F73" s="12" t="s">
        <v>611</v>
      </c>
      <c r="G73" s="16">
        <v>814</v>
      </c>
      <c r="H73" s="40" t="s">
        <v>315</v>
      </c>
      <c r="I73" s="40" t="s">
        <v>579</v>
      </c>
      <c r="J73" s="41" t="s">
        <v>612</v>
      </c>
      <c r="K73" s="41" t="s">
        <v>332</v>
      </c>
      <c r="L73" s="57" t="s">
        <v>319</v>
      </c>
      <c r="M73" s="58" t="str">
        <f>Tabla16[[#This Row],[ABR_02]]</f>
        <v>BA</v>
      </c>
      <c r="N73" t="s">
        <v>320</v>
      </c>
      <c r="O73" s="59" t="s">
        <v>334</v>
      </c>
      <c r="P73" t="s">
        <v>650</v>
      </c>
      <c r="Q73" t="s">
        <v>320</v>
      </c>
      <c r="R73" s="60" t="str">
        <f>_xlfn.CONCAT(Tabla16[[#This Row],[ABR_01]],"00",Tabla16[[#This Row],[ABR_02]],Tabla16[[#This Row],[ZONA2]],,"0",Tabla16[[#This Row],[PARADA2]])</f>
        <v>AR00BA3003</v>
      </c>
      <c r="S73" s="60" t="s">
        <v>580</v>
      </c>
      <c r="T73" s="42" t="s">
        <v>324</v>
      </c>
      <c r="U73" s="53" t="s">
        <v>324</v>
      </c>
      <c r="V73" t="s">
        <v>851</v>
      </c>
    </row>
    <row r="74" spans="1:22" x14ac:dyDescent="0.25">
      <c r="A74" s="56" t="s">
        <v>325</v>
      </c>
      <c r="B74" s="38" t="s">
        <v>616</v>
      </c>
      <c r="C74" s="44" t="s">
        <v>247</v>
      </c>
      <c r="D74" s="39" t="s">
        <v>577</v>
      </c>
      <c r="E74" s="16" t="s">
        <v>73</v>
      </c>
      <c r="F74" s="12" t="s">
        <v>611</v>
      </c>
      <c r="G74" s="16">
        <v>809</v>
      </c>
      <c r="H74" s="40" t="s">
        <v>315</v>
      </c>
      <c r="I74" s="40" t="s">
        <v>579</v>
      </c>
      <c r="J74" s="41" t="s">
        <v>612</v>
      </c>
      <c r="K74" s="41" t="s">
        <v>334</v>
      </c>
      <c r="L74" s="57" t="s">
        <v>319</v>
      </c>
      <c r="M74" s="58" t="str">
        <f>Tabla16[[#This Row],[ABR_02]]</f>
        <v>BA</v>
      </c>
      <c r="N74" t="s">
        <v>320</v>
      </c>
      <c r="O74" s="59" t="s">
        <v>334</v>
      </c>
      <c r="P74" t="s">
        <v>650</v>
      </c>
      <c r="Q74" t="s">
        <v>320</v>
      </c>
      <c r="R74" s="60" t="str">
        <f>_xlfn.CONCAT(Tabla16[[#This Row],[ABR_01]],"00",Tabla16[[#This Row],[ABR_02]],Tabla16[[#This Row],[ZONA2]],,"0",Tabla16[[#This Row],[PARADA2]])</f>
        <v>AR00BA3004</v>
      </c>
      <c r="S74" s="60" t="s">
        <v>580</v>
      </c>
      <c r="T74" s="42" t="s">
        <v>324</v>
      </c>
      <c r="U74" s="53" t="s">
        <v>324</v>
      </c>
      <c r="V74" t="s">
        <v>851</v>
      </c>
    </row>
    <row r="75" spans="1:22" x14ac:dyDescent="0.25">
      <c r="A75" s="56" t="s">
        <v>325</v>
      </c>
      <c r="B75" s="38" t="s">
        <v>617</v>
      </c>
      <c r="C75" s="44" t="s">
        <v>211</v>
      </c>
      <c r="D75" s="39" t="s">
        <v>577</v>
      </c>
      <c r="E75" s="16" t="s">
        <v>73</v>
      </c>
      <c r="F75" s="12" t="s">
        <v>611</v>
      </c>
      <c r="G75" s="16">
        <v>862</v>
      </c>
      <c r="H75" s="40" t="s">
        <v>315</v>
      </c>
      <c r="I75" s="40" t="s">
        <v>579</v>
      </c>
      <c r="J75" s="41" t="s">
        <v>612</v>
      </c>
      <c r="K75" s="41" t="s">
        <v>344</v>
      </c>
      <c r="L75" s="57" t="s">
        <v>319</v>
      </c>
      <c r="M75" s="58" t="str">
        <f>Tabla16[[#This Row],[ABR_02]]</f>
        <v>BA</v>
      </c>
      <c r="N75" t="s">
        <v>320</v>
      </c>
      <c r="O75" s="59" t="s">
        <v>334</v>
      </c>
      <c r="P75" t="s">
        <v>650</v>
      </c>
      <c r="Q75" t="s">
        <v>320</v>
      </c>
      <c r="R75" s="60" t="str">
        <f>_xlfn.CONCAT(Tabla16[[#This Row],[ABR_01]],"00",Tabla16[[#This Row],[ABR_02]],Tabla16[[#This Row],[ZONA2]],,"0",Tabla16[[#This Row],[PARADA2]])</f>
        <v>AR00BA3005</v>
      </c>
      <c r="S75" s="60" t="s">
        <v>580</v>
      </c>
      <c r="T75" s="42" t="s">
        <v>324</v>
      </c>
      <c r="U75" s="53" t="s">
        <v>324</v>
      </c>
      <c r="V75" t="s">
        <v>851</v>
      </c>
    </row>
    <row r="76" spans="1:22" x14ac:dyDescent="0.25">
      <c r="A76" s="56" t="s">
        <v>325</v>
      </c>
      <c r="B76" s="38" t="s">
        <v>618</v>
      </c>
      <c r="C76" s="44" t="s">
        <v>249</v>
      </c>
      <c r="D76" s="39" t="s">
        <v>577</v>
      </c>
      <c r="E76" s="16" t="s">
        <v>73</v>
      </c>
      <c r="F76" s="12" t="s">
        <v>611</v>
      </c>
      <c r="G76" s="16">
        <v>811</v>
      </c>
      <c r="H76" s="40" t="s">
        <v>315</v>
      </c>
      <c r="I76" s="40" t="s">
        <v>579</v>
      </c>
      <c r="J76" s="41" t="s">
        <v>612</v>
      </c>
      <c r="K76" s="41" t="s">
        <v>345</v>
      </c>
      <c r="L76" s="57" t="s">
        <v>319</v>
      </c>
      <c r="M76" s="58" t="str">
        <f>Tabla16[[#This Row],[ABR_02]]</f>
        <v>BA</v>
      </c>
      <c r="N76" t="s">
        <v>320</v>
      </c>
      <c r="O76" s="59" t="s">
        <v>334</v>
      </c>
      <c r="P76" t="s">
        <v>650</v>
      </c>
      <c r="Q76" t="s">
        <v>320</v>
      </c>
      <c r="R76" s="60" t="str">
        <f>_xlfn.CONCAT(Tabla16[[#This Row],[ABR_01]],"00",Tabla16[[#This Row],[ABR_02]],Tabla16[[#This Row],[ZONA2]],,"0",Tabla16[[#This Row],[PARADA2]])</f>
        <v>AR00BA3006</v>
      </c>
      <c r="S76" s="60" t="s">
        <v>580</v>
      </c>
      <c r="T76" s="42" t="s">
        <v>324</v>
      </c>
      <c r="U76" s="53" t="s">
        <v>324</v>
      </c>
      <c r="V76" t="s">
        <v>851</v>
      </c>
    </row>
    <row r="77" spans="1:22" x14ac:dyDescent="0.25">
      <c r="A77" s="56" t="s">
        <v>325</v>
      </c>
      <c r="B77" s="38" t="s">
        <v>619</v>
      </c>
      <c r="C77" s="10" t="s">
        <v>619</v>
      </c>
      <c r="D77" s="39" t="s">
        <v>577</v>
      </c>
      <c r="E77" s="16" t="s">
        <v>73</v>
      </c>
      <c r="F77" s="12" t="s">
        <v>611</v>
      </c>
      <c r="G77" s="16">
        <v>830</v>
      </c>
      <c r="H77" s="40" t="s">
        <v>315</v>
      </c>
      <c r="I77" s="40" t="s">
        <v>579</v>
      </c>
      <c r="J77" s="41" t="s">
        <v>612</v>
      </c>
      <c r="K77" s="41" t="s">
        <v>347</v>
      </c>
      <c r="L77" s="57" t="s">
        <v>319</v>
      </c>
      <c r="M77" s="58" t="str">
        <f>Tabla16[[#This Row],[ABR_02]]</f>
        <v>BA</v>
      </c>
      <c r="N77" t="s">
        <v>320</v>
      </c>
      <c r="O77" s="59" t="s">
        <v>334</v>
      </c>
      <c r="P77" t="s">
        <v>650</v>
      </c>
      <c r="Q77" t="s">
        <v>320</v>
      </c>
      <c r="R77" s="60" t="str">
        <f>_xlfn.CONCAT(Tabla16[[#This Row],[ABR_01]],"00",Tabla16[[#This Row],[ABR_02]],Tabla16[[#This Row],[ZONA2]],,"0",Tabla16[[#This Row],[PARADA2]])</f>
        <v>AR00BA3007</v>
      </c>
      <c r="S77" s="60" t="s">
        <v>580</v>
      </c>
      <c r="T77" s="42" t="s">
        <v>324</v>
      </c>
      <c r="U77" s="53" t="s">
        <v>324</v>
      </c>
      <c r="V77" t="s">
        <v>851</v>
      </c>
    </row>
    <row r="78" spans="1:22" x14ac:dyDescent="0.25">
      <c r="A78" s="56" t="s">
        <v>325</v>
      </c>
      <c r="B78" s="38" t="s">
        <v>620</v>
      </c>
      <c r="C78" s="44" t="s">
        <v>191</v>
      </c>
      <c r="D78" s="39" t="s">
        <v>577</v>
      </c>
      <c r="E78" s="16" t="s">
        <v>73</v>
      </c>
      <c r="F78" s="12" t="s">
        <v>611</v>
      </c>
      <c r="G78" s="16">
        <v>813</v>
      </c>
      <c r="H78" s="40" t="s">
        <v>315</v>
      </c>
      <c r="I78" s="40" t="s">
        <v>579</v>
      </c>
      <c r="J78" s="41" t="s">
        <v>612</v>
      </c>
      <c r="K78" s="41" t="s">
        <v>349</v>
      </c>
      <c r="L78" s="57" t="s">
        <v>319</v>
      </c>
      <c r="M78" s="58" t="str">
        <f>Tabla16[[#This Row],[ABR_02]]</f>
        <v>BA</v>
      </c>
      <c r="N78" t="s">
        <v>320</v>
      </c>
      <c r="O78" s="59" t="s">
        <v>334</v>
      </c>
      <c r="P78" t="s">
        <v>650</v>
      </c>
      <c r="Q78" t="s">
        <v>320</v>
      </c>
      <c r="R78" s="60" t="str">
        <f>_xlfn.CONCAT(Tabla16[[#This Row],[ABR_01]],"00",Tabla16[[#This Row],[ABR_02]],Tabla16[[#This Row],[ZONA2]],,"0",Tabla16[[#This Row],[PARADA2]])</f>
        <v>AR00BA3008</v>
      </c>
      <c r="S78" s="60" t="s">
        <v>580</v>
      </c>
      <c r="T78" s="42" t="s">
        <v>324</v>
      </c>
      <c r="U78" s="53" t="s">
        <v>324</v>
      </c>
      <c r="V78" t="s">
        <v>851</v>
      </c>
    </row>
    <row r="79" spans="1:22" x14ac:dyDescent="0.25">
      <c r="A79" s="56" t="s">
        <v>325</v>
      </c>
      <c r="B79" s="38" t="s">
        <v>621</v>
      </c>
      <c r="C79" s="10" t="s">
        <v>621</v>
      </c>
      <c r="D79" s="39" t="s">
        <v>577</v>
      </c>
      <c r="E79" s="16" t="s">
        <v>73</v>
      </c>
      <c r="F79" s="12" t="s">
        <v>611</v>
      </c>
      <c r="G79" s="16">
        <v>850</v>
      </c>
      <c r="H79" s="40" t="s">
        <v>315</v>
      </c>
      <c r="I79" s="40" t="s">
        <v>579</v>
      </c>
      <c r="J79" s="41" t="s">
        <v>612</v>
      </c>
      <c r="K79" s="41" t="s">
        <v>393</v>
      </c>
      <c r="L79" s="57" t="s">
        <v>319</v>
      </c>
      <c r="M79" s="58" t="str">
        <f>Tabla16[[#This Row],[ABR_02]]</f>
        <v>BA</v>
      </c>
      <c r="N79" t="s">
        <v>320</v>
      </c>
      <c r="O79" s="59" t="s">
        <v>334</v>
      </c>
      <c r="P79" t="s">
        <v>650</v>
      </c>
      <c r="Q79" t="s">
        <v>320</v>
      </c>
      <c r="R79" s="60" t="str">
        <f>_xlfn.CONCAT(Tabla16[[#This Row],[ABR_01]],"00",Tabla16[[#This Row],[ABR_02]],Tabla16[[#This Row],[ZONA2]],,"0",Tabla16[[#This Row],[PARADA2]])</f>
        <v>AR00BA3009</v>
      </c>
      <c r="S79" s="60" t="s">
        <v>580</v>
      </c>
      <c r="T79" s="42" t="s">
        <v>324</v>
      </c>
      <c r="U79" s="53" t="s">
        <v>324</v>
      </c>
      <c r="V79" t="s">
        <v>851</v>
      </c>
    </row>
    <row r="80" spans="1:22" x14ac:dyDescent="0.25">
      <c r="A80" s="56" t="s">
        <v>325</v>
      </c>
      <c r="B80" s="38" t="s">
        <v>622</v>
      </c>
      <c r="C80" s="44" t="s">
        <v>623</v>
      </c>
      <c r="D80" s="39" t="s">
        <v>577</v>
      </c>
      <c r="E80" s="16" t="s">
        <v>73</v>
      </c>
      <c r="F80" s="12" t="s">
        <v>611</v>
      </c>
      <c r="G80" s="16">
        <v>848</v>
      </c>
      <c r="H80" s="40" t="s">
        <v>315</v>
      </c>
      <c r="I80" s="40" t="s">
        <v>579</v>
      </c>
      <c r="J80" s="41" t="s">
        <v>612</v>
      </c>
      <c r="K80" s="41" t="s">
        <v>395</v>
      </c>
      <c r="L80" s="57" t="s">
        <v>319</v>
      </c>
      <c r="M80" s="58" t="str">
        <f>Tabla16[[#This Row],[ABR_02]]</f>
        <v>BA</v>
      </c>
      <c r="N80" t="s">
        <v>320</v>
      </c>
      <c r="O80" s="59" t="s">
        <v>334</v>
      </c>
      <c r="P80" t="s">
        <v>650</v>
      </c>
      <c r="Q80" t="s">
        <v>320</v>
      </c>
      <c r="R80" s="60" t="str">
        <f>_xlfn.CONCAT(Tabla16[[#This Row],[ABR_01]],"00",Tabla16[[#This Row],[ABR_02]],Tabla16[[#This Row],[ZONA2]],,"0",Tabla16[[#This Row],[PARADA2]])</f>
        <v>AR00BA3010</v>
      </c>
      <c r="S80" s="60" t="s">
        <v>580</v>
      </c>
      <c r="T80" s="42" t="s">
        <v>324</v>
      </c>
      <c r="U80" s="53" t="s">
        <v>324</v>
      </c>
      <c r="V80" t="s">
        <v>851</v>
      </c>
    </row>
    <row r="81" spans="1:22" x14ac:dyDescent="0.25">
      <c r="A81" s="56" t="s">
        <v>325</v>
      </c>
      <c r="B81" s="38" t="s">
        <v>624</v>
      </c>
      <c r="C81" s="10" t="s">
        <v>624</v>
      </c>
      <c r="D81" s="39" t="s">
        <v>577</v>
      </c>
      <c r="E81" s="16" t="s">
        <v>73</v>
      </c>
      <c r="F81" s="12" t="s">
        <v>611</v>
      </c>
      <c r="G81" s="16">
        <v>808</v>
      </c>
      <c r="H81" s="40" t="s">
        <v>315</v>
      </c>
      <c r="I81" s="40" t="s">
        <v>579</v>
      </c>
      <c r="J81" s="41" t="s">
        <v>612</v>
      </c>
      <c r="K81" s="41" t="s">
        <v>397</v>
      </c>
      <c r="L81" s="57" t="s">
        <v>319</v>
      </c>
      <c r="M81" s="58" t="str">
        <f>Tabla16[[#This Row],[ABR_02]]</f>
        <v>BA</v>
      </c>
      <c r="N81" t="s">
        <v>320</v>
      </c>
      <c r="O81" s="59" t="s">
        <v>334</v>
      </c>
      <c r="P81" t="s">
        <v>650</v>
      </c>
      <c r="Q81" t="s">
        <v>320</v>
      </c>
      <c r="R81" s="60" t="str">
        <f>_xlfn.CONCAT(Tabla16[[#This Row],[ABR_01]],"00",Tabla16[[#This Row],[ABR_02]],Tabla16[[#This Row],[ZONA2]],,"0",Tabla16[[#This Row],[PARADA2]])</f>
        <v>AR00BA3011</v>
      </c>
      <c r="S81" s="60" t="s">
        <v>580</v>
      </c>
      <c r="T81" s="42" t="s">
        <v>324</v>
      </c>
      <c r="U81" s="53" t="s">
        <v>324</v>
      </c>
      <c r="V81" t="s">
        <v>851</v>
      </c>
    </row>
    <row r="82" spans="1:22" x14ac:dyDescent="0.25">
      <c r="A82" s="56" t="s">
        <v>325</v>
      </c>
      <c r="B82" s="38" t="s">
        <v>625</v>
      </c>
      <c r="C82" s="44" t="s">
        <v>82</v>
      </c>
      <c r="D82" s="39" t="s">
        <v>577</v>
      </c>
      <c r="E82" s="16" t="s">
        <v>73</v>
      </c>
      <c r="F82" s="12" t="s">
        <v>611</v>
      </c>
      <c r="G82" s="16" t="s">
        <v>626</v>
      </c>
      <c r="H82" s="40" t="s">
        <v>315</v>
      </c>
      <c r="I82" s="40" t="s">
        <v>579</v>
      </c>
      <c r="J82" s="41" t="s">
        <v>612</v>
      </c>
      <c r="K82" s="41" t="s">
        <v>399</v>
      </c>
      <c r="L82" s="57" t="s">
        <v>319</v>
      </c>
      <c r="M82" s="58" t="str">
        <f>Tabla16[[#This Row],[ABR_02]]</f>
        <v>BA</v>
      </c>
      <c r="N82" t="s">
        <v>320</v>
      </c>
      <c r="O82" s="59" t="s">
        <v>334</v>
      </c>
      <c r="P82" t="s">
        <v>650</v>
      </c>
      <c r="Q82" t="s">
        <v>320</v>
      </c>
      <c r="R82" s="60" t="str">
        <f>_xlfn.CONCAT(Tabla16[[#This Row],[ABR_01]],"00",Tabla16[[#This Row],[ABR_02]],Tabla16[[#This Row],[ZONA2]],,"0",Tabla16[[#This Row],[PARADA2]])</f>
        <v>AR00BA3012</v>
      </c>
      <c r="S82" s="60" t="s">
        <v>580</v>
      </c>
      <c r="T82" s="42" t="s">
        <v>324</v>
      </c>
      <c r="U82" s="53" t="s">
        <v>324</v>
      </c>
      <c r="V82" t="s">
        <v>851</v>
      </c>
    </row>
    <row r="83" spans="1:22" x14ac:dyDescent="0.25">
      <c r="A83" s="56" t="s">
        <v>325</v>
      </c>
      <c r="B83" s="38" t="s">
        <v>627</v>
      </c>
      <c r="C83" s="10" t="s">
        <v>627</v>
      </c>
      <c r="D83" s="39" t="s">
        <v>577</v>
      </c>
      <c r="E83" s="16" t="s">
        <v>73</v>
      </c>
      <c r="F83" s="12" t="s">
        <v>611</v>
      </c>
      <c r="G83" s="16">
        <v>802</v>
      </c>
      <c r="H83" s="40" t="s">
        <v>315</v>
      </c>
      <c r="I83" s="40" t="s">
        <v>579</v>
      </c>
      <c r="J83" s="41" t="s">
        <v>612</v>
      </c>
      <c r="K83" s="41" t="s">
        <v>401</v>
      </c>
      <c r="L83" s="57" t="s">
        <v>319</v>
      </c>
      <c r="M83" s="58" t="str">
        <f>Tabla16[[#This Row],[ABR_02]]</f>
        <v>BA</v>
      </c>
      <c r="N83" t="s">
        <v>320</v>
      </c>
      <c r="O83" s="59" t="s">
        <v>334</v>
      </c>
      <c r="P83" t="s">
        <v>650</v>
      </c>
      <c r="Q83" t="s">
        <v>320</v>
      </c>
      <c r="R83" s="60" t="str">
        <f>_xlfn.CONCAT(Tabla16[[#This Row],[ABR_01]],"00",Tabla16[[#This Row],[ABR_02]],Tabla16[[#This Row],[ZONA2]],,"0",Tabla16[[#This Row],[PARADA2]])</f>
        <v>AR00BA3013</v>
      </c>
      <c r="S83" s="60" t="s">
        <v>580</v>
      </c>
      <c r="T83" s="42" t="s">
        <v>324</v>
      </c>
      <c r="U83" s="53" t="s">
        <v>324</v>
      </c>
      <c r="V83" t="s">
        <v>851</v>
      </c>
    </row>
    <row r="84" spans="1:22" x14ac:dyDescent="0.25">
      <c r="A84" s="56" t="s">
        <v>325</v>
      </c>
      <c r="B84" s="38" t="s">
        <v>628</v>
      </c>
      <c r="C84" s="10" t="s">
        <v>628</v>
      </c>
      <c r="D84" s="39" t="s">
        <v>577</v>
      </c>
      <c r="E84" s="16" t="s">
        <v>73</v>
      </c>
      <c r="F84" s="12" t="s">
        <v>611</v>
      </c>
      <c r="G84" s="16">
        <v>895</v>
      </c>
      <c r="H84" s="40" t="s">
        <v>315</v>
      </c>
      <c r="I84" s="40" t="s">
        <v>579</v>
      </c>
      <c r="J84" s="41" t="s">
        <v>612</v>
      </c>
      <c r="K84" s="41" t="s">
        <v>404</v>
      </c>
      <c r="L84" s="57" t="s">
        <v>319</v>
      </c>
      <c r="M84" s="58" t="str">
        <f>Tabla16[[#This Row],[ABR_02]]</f>
        <v>BA</v>
      </c>
      <c r="N84" t="s">
        <v>320</v>
      </c>
      <c r="O84" s="59" t="s">
        <v>334</v>
      </c>
      <c r="P84" t="s">
        <v>650</v>
      </c>
      <c r="Q84" t="s">
        <v>320</v>
      </c>
      <c r="R84" s="60" t="str">
        <f>_xlfn.CONCAT(Tabla16[[#This Row],[ABR_01]],"00",Tabla16[[#This Row],[ABR_02]],Tabla16[[#This Row],[ZONA2]],,"0",Tabla16[[#This Row],[PARADA2]])</f>
        <v>AR00BA3014</v>
      </c>
      <c r="S84" s="60" t="s">
        <v>580</v>
      </c>
      <c r="T84" s="42" t="s">
        <v>324</v>
      </c>
      <c r="U84" s="53" t="s">
        <v>324</v>
      </c>
      <c r="V84" t="s">
        <v>851</v>
      </c>
    </row>
    <row r="85" spans="1:22" x14ac:dyDescent="0.25">
      <c r="A85" s="56" t="s">
        <v>325</v>
      </c>
      <c r="B85" s="38" t="s">
        <v>629</v>
      </c>
      <c r="C85" s="44" t="s">
        <v>251</v>
      </c>
      <c r="D85" s="39" t="s">
        <v>577</v>
      </c>
      <c r="E85" s="16" t="s">
        <v>73</v>
      </c>
      <c r="F85" s="12" t="s">
        <v>611</v>
      </c>
      <c r="G85" s="16">
        <v>816</v>
      </c>
      <c r="H85" s="40" t="s">
        <v>315</v>
      </c>
      <c r="I85" s="40" t="s">
        <v>579</v>
      </c>
      <c r="J85" s="41" t="s">
        <v>612</v>
      </c>
      <c r="K85" s="41" t="s">
        <v>407</v>
      </c>
      <c r="L85" s="57" t="s">
        <v>319</v>
      </c>
      <c r="M85" s="58" t="str">
        <f>Tabla16[[#This Row],[ABR_02]]</f>
        <v>BA</v>
      </c>
      <c r="N85" t="s">
        <v>320</v>
      </c>
      <c r="O85" s="59" t="s">
        <v>334</v>
      </c>
      <c r="P85" t="s">
        <v>650</v>
      </c>
      <c r="Q85" t="s">
        <v>320</v>
      </c>
      <c r="R85" s="60" t="str">
        <f>_xlfn.CONCAT(Tabla16[[#This Row],[ABR_01]],"00",Tabla16[[#This Row],[ABR_02]],Tabla16[[#This Row],[ZONA2]],,"0",Tabla16[[#This Row],[PARADA2]])</f>
        <v>AR00BA3015</v>
      </c>
      <c r="S85" s="60" t="s">
        <v>580</v>
      </c>
      <c r="T85" s="42" t="s">
        <v>324</v>
      </c>
      <c r="U85" s="53" t="s">
        <v>324</v>
      </c>
      <c r="V85" t="s">
        <v>851</v>
      </c>
    </row>
    <row r="86" spans="1:22" x14ac:dyDescent="0.25">
      <c r="A86" s="56" t="s">
        <v>325</v>
      </c>
      <c r="B86" s="38" t="s">
        <v>630</v>
      </c>
      <c r="C86" s="10" t="s">
        <v>630</v>
      </c>
      <c r="D86" s="39" t="s">
        <v>577</v>
      </c>
      <c r="E86" s="16" t="s">
        <v>73</v>
      </c>
      <c r="F86" s="12" t="s">
        <v>611</v>
      </c>
      <c r="G86" s="16">
        <v>875</v>
      </c>
      <c r="H86" s="40" t="s">
        <v>315</v>
      </c>
      <c r="I86" s="40" t="s">
        <v>579</v>
      </c>
      <c r="J86" s="41" t="s">
        <v>612</v>
      </c>
      <c r="K86" s="41" t="s">
        <v>409</v>
      </c>
      <c r="L86" s="57" t="s">
        <v>319</v>
      </c>
      <c r="M86" s="58" t="str">
        <f>Tabla16[[#This Row],[ABR_02]]</f>
        <v>BA</v>
      </c>
      <c r="N86" t="s">
        <v>320</v>
      </c>
      <c r="O86" s="59" t="s">
        <v>334</v>
      </c>
      <c r="P86" t="s">
        <v>650</v>
      </c>
      <c r="Q86" t="s">
        <v>320</v>
      </c>
      <c r="R86" s="60" t="str">
        <f>_xlfn.CONCAT(Tabla16[[#This Row],[ABR_01]],"00",Tabla16[[#This Row],[ABR_02]],Tabla16[[#This Row],[ZONA2]],,"0",Tabla16[[#This Row],[PARADA2]])</f>
        <v>AR00BA3016</v>
      </c>
      <c r="S86" s="60" t="s">
        <v>580</v>
      </c>
      <c r="T86" s="42" t="s">
        <v>324</v>
      </c>
      <c r="U86" s="53" t="s">
        <v>324</v>
      </c>
      <c r="V86" t="s">
        <v>851</v>
      </c>
    </row>
    <row r="87" spans="1:22" x14ac:dyDescent="0.25">
      <c r="A87" s="56" t="s">
        <v>325</v>
      </c>
      <c r="B87" s="38" t="s">
        <v>631</v>
      </c>
      <c r="C87" s="44" t="s">
        <v>632</v>
      </c>
      <c r="D87" s="39" t="s">
        <v>577</v>
      </c>
      <c r="E87" s="16" t="s">
        <v>73</v>
      </c>
      <c r="F87" s="12" t="s">
        <v>611</v>
      </c>
      <c r="G87" s="16">
        <v>817</v>
      </c>
      <c r="H87" s="40" t="s">
        <v>315</v>
      </c>
      <c r="I87" s="40" t="s">
        <v>579</v>
      </c>
      <c r="J87" s="41" t="s">
        <v>612</v>
      </c>
      <c r="K87" s="41" t="s">
        <v>412</v>
      </c>
      <c r="L87" s="57" t="s">
        <v>319</v>
      </c>
      <c r="M87" s="58" t="str">
        <f>Tabla16[[#This Row],[ABR_02]]</f>
        <v>BA</v>
      </c>
      <c r="N87" t="s">
        <v>320</v>
      </c>
      <c r="O87" s="59" t="s">
        <v>334</v>
      </c>
      <c r="P87" t="s">
        <v>650</v>
      </c>
      <c r="Q87" t="s">
        <v>320</v>
      </c>
      <c r="R87" s="60" t="str">
        <f>_xlfn.CONCAT(Tabla16[[#This Row],[ABR_01]],"00",Tabla16[[#This Row],[ABR_02]],Tabla16[[#This Row],[ZONA2]],,"0",Tabla16[[#This Row],[PARADA2]])</f>
        <v>AR00BA3017</v>
      </c>
      <c r="S87" s="60" t="s">
        <v>580</v>
      </c>
      <c r="T87" s="42" t="s">
        <v>324</v>
      </c>
      <c r="U87" s="53" t="s">
        <v>324</v>
      </c>
      <c r="V87" t="s">
        <v>851</v>
      </c>
    </row>
    <row r="88" spans="1:22" x14ac:dyDescent="0.25">
      <c r="A88" s="56" t="s">
        <v>325</v>
      </c>
      <c r="B88" s="38" t="s">
        <v>633</v>
      </c>
      <c r="C88" s="44" t="s">
        <v>634</v>
      </c>
      <c r="D88" s="39" t="s">
        <v>577</v>
      </c>
      <c r="E88" s="16" t="s">
        <v>73</v>
      </c>
      <c r="F88" s="12" t="s">
        <v>611</v>
      </c>
      <c r="G88" s="16">
        <v>755</v>
      </c>
      <c r="H88" s="40" t="s">
        <v>315</v>
      </c>
      <c r="I88" s="40" t="s">
        <v>579</v>
      </c>
      <c r="J88" s="41" t="s">
        <v>612</v>
      </c>
      <c r="K88" s="41" t="s">
        <v>414</v>
      </c>
      <c r="L88" s="57" t="s">
        <v>319</v>
      </c>
      <c r="M88" s="58" t="str">
        <f>Tabla16[[#This Row],[ABR_02]]</f>
        <v>BA</v>
      </c>
      <c r="N88" t="s">
        <v>320</v>
      </c>
      <c r="O88" s="59" t="s">
        <v>334</v>
      </c>
      <c r="P88" t="s">
        <v>650</v>
      </c>
      <c r="Q88" t="s">
        <v>320</v>
      </c>
      <c r="R88" s="60" t="str">
        <f>_xlfn.CONCAT(Tabla16[[#This Row],[ABR_01]],"00",Tabla16[[#This Row],[ABR_02]],Tabla16[[#This Row],[ZONA2]],,"0",Tabla16[[#This Row],[PARADA2]])</f>
        <v>AR00BA3018</v>
      </c>
      <c r="S88" s="60" t="s">
        <v>580</v>
      </c>
      <c r="T88" s="42" t="s">
        <v>324</v>
      </c>
      <c r="U88" s="53" t="s">
        <v>324</v>
      </c>
      <c r="V88" t="s">
        <v>851</v>
      </c>
    </row>
    <row r="89" spans="1:22" x14ac:dyDescent="0.25">
      <c r="A89" s="56" t="s">
        <v>325</v>
      </c>
      <c r="B89" s="38" t="s">
        <v>197</v>
      </c>
      <c r="C89" s="10" t="s">
        <v>197</v>
      </c>
      <c r="D89" s="39" t="s">
        <v>577</v>
      </c>
      <c r="E89" s="16" t="s">
        <v>73</v>
      </c>
      <c r="F89" s="12" t="s">
        <v>611</v>
      </c>
      <c r="G89" s="16">
        <v>902</v>
      </c>
      <c r="H89" s="40" t="s">
        <v>315</v>
      </c>
      <c r="I89" s="40" t="s">
        <v>579</v>
      </c>
      <c r="J89" s="41" t="s">
        <v>612</v>
      </c>
      <c r="K89" s="41" t="s">
        <v>417</v>
      </c>
      <c r="L89" s="57" t="s">
        <v>319</v>
      </c>
      <c r="M89" s="58" t="str">
        <f>Tabla16[[#This Row],[ABR_02]]</f>
        <v>BA</v>
      </c>
      <c r="N89" t="s">
        <v>320</v>
      </c>
      <c r="O89" s="59" t="s">
        <v>334</v>
      </c>
      <c r="P89" t="s">
        <v>650</v>
      </c>
      <c r="Q89" t="s">
        <v>320</v>
      </c>
      <c r="R89" s="60" t="str">
        <f>_xlfn.CONCAT(Tabla16[[#This Row],[ABR_01]],"00",Tabla16[[#This Row],[ABR_02]],Tabla16[[#This Row],[ZONA2]],,"0",Tabla16[[#This Row],[PARADA2]])</f>
        <v>AR00BA3019</v>
      </c>
      <c r="S89" s="60" t="s">
        <v>580</v>
      </c>
      <c r="T89" s="42" t="s">
        <v>324</v>
      </c>
      <c r="U89" s="53" t="s">
        <v>324</v>
      </c>
      <c r="V89" t="s">
        <v>851</v>
      </c>
    </row>
    <row r="90" spans="1:22" x14ac:dyDescent="0.25">
      <c r="A90" s="56" t="s">
        <v>325</v>
      </c>
      <c r="B90" s="38" t="s">
        <v>635</v>
      </c>
      <c r="C90" s="10" t="s">
        <v>635</v>
      </c>
      <c r="D90" s="39" t="s">
        <v>577</v>
      </c>
      <c r="E90" s="16" t="s">
        <v>73</v>
      </c>
      <c r="F90" s="12" t="s">
        <v>611</v>
      </c>
      <c r="G90" s="16">
        <v>812</v>
      </c>
      <c r="H90" s="40" t="s">
        <v>315</v>
      </c>
      <c r="I90" s="40" t="s">
        <v>579</v>
      </c>
      <c r="J90" s="41" t="s">
        <v>612</v>
      </c>
      <c r="K90" s="41" t="s">
        <v>419</v>
      </c>
      <c r="L90" s="57" t="s">
        <v>319</v>
      </c>
      <c r="M90" s="58" t="str">
        <f>Tabla16[[#This Row],[ABR_02]]</f>
        <v>BA</v>
      </c>
      <c r="N90" t="s">
        <v>320</v>
      </c>
      <c r="O90" s="59" t="s">
        <v>334</v>
      </c>
      <c r="P90" t="s">
        <v>650</v>
      </c>
      <c r="Q90" t="s">
        <v>320</v>
      </c>
      <c r="R90" s="60" t="str">
        <f>_xlfn.CONCAT(Tabla16[[#This Row],[ABR_01]],"00",Tabla16[[#This Row],[ABR_02]],Tabla16[[#This Row],[ZONA2]],,"0",Tabla16[[#This Row],[PARADA2]])</f>
        <v>AR00BA3020</v>
      </c>
      <c r="S90" s="60" t="s">
        <v>580</v>
      </c>
      <c r="T90" s="42" t="s">
        <v>324</v>
      </c>
      <c r="U90" s="53" t="s">
        <v>324</v>
      </c>
      <c r="V90" t="s">
        <v>851</v>
      </c>
    </row>
    <row r="91" spans="1:22" x14ac:dyDescent="0.25">
      <c r="A91" s="56" t="s">
        <v>325</v>
      </c>
      <c r="B91" s="38" t="s">
        <v>636</v>
      </c>
      <c r="C91" s="44" t="s">
        <v>158</v>
      </c>
      <c r="D91" s="39" t="s">
        <v>577</v>
      </c>
      <c r="E91" s="16" t="s">
        <v>73</v>
      </c>
      <c r="F91" s="12" t="s">
        <v>611</v>
      </c>
      <c r="G91" s="16">
        <v>840</v>
      </c>
      <c r="H91" s="40" t="s">
        <v>315</v>
      </c>
      <c r="I91" s="40" t="s">
        <v>579</v>
      </c>
      <c r="J91" s="41" t="s">
        <v>612</v>
      </c>
      <c r="K91" s="41" t="s">
        <v>421</v>
      </c>
      <c r="L91" s="57" t="s">
        <v>319</v>
      </c>
      <c r="M91" s="58" t="str">
        <f>Tabla16[[#This Row],[ABR_02]]</f>
        <v>BA</v>
      </c>
      <c r="N91" t="s">
        <v>320</v>
      </c>
      <c r="O91" s="59" t="s">
        <v>334</v>
      </c>
      <c r="P91" t="s">
        <v>650</v>
      </c>
      <c r="Q91" t="s">
        <v>320</v>
      </c>
      <c r="R91" s="60" t="str">
        <f>_xlfn.CONCAT(Tabla16[[#This Row],[ABR_01]],"00",Tabla16[[#This Row],[ABR_02]],Tabla16[[#This Row],[ZONA2]],,"0",Tabla16[[#This Row],[PARADA2]])</f>
        <v>AR00BA3021</v>
      </c>
      <c r="S91" s="60" t="s">
        <v>580</v>
      </c>
      <c r="T91" s="42" t="s">
        <v>324</v>
      </c>
      <c r="U91" s="53" t="s">
        <v>324</v>
      </c>
      <c r="V91" t="s">
        <v>851</v>
      </c>
    </row>
    <row r="92" spans="1:22" x14ac:dyDescent="0.25">
      <c r="A92" s="56" t="s">
        <v>325</v>
      </c>
      <c r="B92" s="38" t="s">
        <v>205</v>
      </c>
      <c r="C92" s="10" t="s">
        <v>205</v>
      </c>
      <c r="D92" s="39" t="s">
        <v>577</v>
      </c>
      <c r="E92" s="16" t="s">
        <v>73</v>
      </c>
      <c r="F92" s="12" t="s">
        <v>611</v>
      </c>
      <c r="G92" s="16">
        <v>818</v>
      </c>
      <c r="H92" s="40" t="s">
        <v>315</v>
      </c>
      <c r="I92" s="40" t="s">
        <v>579</v>
      </c>
      <c r="J92" s="41" t="s">
        <v>612</v>
      </c>
      <c r="K92" s="41" t="s">
        <v>423</v>
      </c>
      <c r="L92" s="57" t="s">
        <v>319</v>
      </c>
      <c r="M92" s="58" t="str">
        <f>Tabla16[[#This Row],[ABR_02]]</f>
        <v>BA</v>
      </c>
      <c r="N92" t="s">
        <v>320</v>
      </c>
      <c r="O92" s="59" t="s">
        <v>334</v>
      </c>
      <c r="P92" t="s">
        <v>650</v>
      </c>
      <c r="Q92" t="s">
        <v>320</v>
      </c>
      <c r="R92" s="60" t="str">
        <f>_xlfn.CONCAT(Tabla16[[#This Row],[ABR_01]],"00",Tabla16[[#This Row],[ABR_02]],Tabla16[[#This Row],[ZONA2]],,"0",Tabla16[[#This Row],[PARADA2]])</f>
        <v>AR00BA3022</v>
      </c>
      <c r="S92" s="60" t="s">
        <v>580</v>
      </c>
      <c r="T92" s="42" t="s">
        <v>324</v>
      </c>
      <c r="U92" s="53" t="s">
        <v>324</v>
      </c>
      <c r="V92" t="s">
        <v>851</v>
      </c>
    </row>
    <row r="93" spans="1:22" x14ac:dyDescent="0.25">
      <c r="A93" s="56" t="s">
        <v>325</v>
      </c>
      <c r="B93" s="38" t="s">
        <v>637</v>
      </c>
      <c r="C93" s="10" t="s">
        <v>637</v>
      </c>
      <c r="D93" s="39" t="s">
        <v>577</v>
      </c>
      <c r="E93" s="16" t="s">
        <v>73</v>
      </c>
      <c r="F93" s="12" t="s">
        <v>611</v>
      </c>
      <c r="G93" s="16">
        <v>819</v>
      </c>
      <c r="H93" s="40" t="s">
        <v>315</v>
      </c>
      <c r="I93" s="40" t="s">
        <v>579</v>
      </c>
      <c r="J93" s="41" t="s">
        <v>612</v>
      </c>
      <c r="K93" s="41" t="s">
        <v>426</v>
      </c>
      <c r="L93" s="57" t="s">
        <v>319</v>
      </c>
      <c r="M93" s="58" t="str">
        <f>Tabla16[[#This Row],[ABR_02]]</f>
        <v>BA</v>
      </c>
      <c r="N93" t="s">
        <v>320</v>
      </c>
      <c r="O93" s="59" t="s">
        <v>334</v>
      </c>
      <c r="P93" t="s">
        <v>650</v>
      </c>
      <c r="Q93" t="s">
        <v>320</v>
      </c>
      <c r="R93" s="60" t="str">
        <f>_xlfn.CONCAT(Tabla16[[#This Row],[ABR_01]],"00",Tabla16[[#This Row],[ABR_02]],Tabla16[[#This Row],[ZONA2]],,"0",Tabla16[[#This Row],[PARADA2]])</f>
        <v>AR00BA3023</v>
      </c>
      <c r="S93" s="60" t="s">
        <v>580</v>
      </c>
      <c r="T93" s="42" t="s">
        <v>324</v>
      </c>
      <c r="U93" s="53" t="s">
        <v>324</v>
      </c>
      <c r="V93" t="s">
        <v>851</v>
      </c>
    </row>
    <row r="94" spans="1:22" x14ac:dyDescent="0.25">
      <c r="A94" s="56" t="s">
        <v>325</v>
      </c>
      <c r="B94" s="38" t="s">
        <v>638</v>
      </c>
      <c r="C94" s="44" t="s">
        <v>639</v>
      </c>
      <c r="D94" s="39" t="s">
        <v>577</v>
      </c>
      <c r="E94" s="16" t="s">
        <v>38</v>
      </c>
      <c r="F94" s="12">
        <v>342</v>
      </c>
      <c r="G94" s="16">
        <v>775</v>
      </c>
      <c r="H94" s="40" t="s">
        <v>315</v>
      </c>
      <c r="I94" s="40" t="s">
        <v>579</v>
      </c>
      <c r="J94" s="41" t="s">
        <v>612</v>
      </c>
      <c r="K94" s="41" t="s">
        <v>428</v>
      </c>
      <c r="L94" s="57" t="s">
        <v>319</v>
      </c>
      <c r="M94" s="58" t="str">
        <f>Tabla16[[#This Row],[ABR_02]]</f>
        <v>BA</v>
      </c>
      <c r="N94" t="s">
        <v>320</v>
      </c>
      <c r="O94" s="59" t="s">
        <v>334</v>
      </c>
      <c r="P94" t="s">
        <v>650</v>
      </c>
      <c r="Q94" t="s">
        <v>320</v>
      </c>
      <c r="R94" s="60" t="str">
        <f>_xlfn.CONCAT(Tabla16[[#This Row],[ABR_01]],"00",Tabla16[[#This Row],[ABR_02]],Tabla16[[#This Row],[ZONA2]],,"0",Tabla16[[#This Row],[PARADA2]])</f>
        <v>AR00BA3024</v>
      </c>
      <c r="S94" s="60" t="s">
        <v>580</v>
      </c>
      <c r="T94" s="42" t="s">
        <v>324</v>
      </c>
      <c r="U94" s="53" t="s">
        <v>324</v>
      </c>
      <c r="V94" t="s">
        <v>851</v>
      </c>
    </row>
    <row r="95" spans="1:22" x14ac:dyDescent="0.25">
      <c r="A95" s="56" t="s">
        <v>325</v>
      </c>
      <c r="B95" s="38" t="s">
        <v>640</v>
      </c>
      <c r="C95" s="44" t="s">
        <v>640</v>
      </c>
      <c r="D95" s="39" t="s">
        <v>577</v>
      </c>
      <c r="E95" s="16" t="s">
        <v>73</v>
      </c>
      <c r="F95" s="12" t="s">
        <v>611</v>
      </c>
      <c r="G95" s="16" t="s">
        <v>641</v>
      </c>
      <c r="H95" s="40" t="s">
        <v>315</v>
      </c>
      <c r="I95" s="40" t="s">
        <v>579</v>
      </c>
      <c r="J95" s="41" t="s">
        <v>612</v>
      </c>
      <c r="K95" s="41" t="s">
        <v>430</v>
      </c>
      <c r="L95" s="57" t="s">
        <v>319</v>
      </c>
      <c r="M95" s="58" t="str">
        <f>Tabla16[[#This Row],[ABR_02]]</f>
        <v>BA</v>
      </c>
      <c r="N95" t="s">
        <v>320</v>
      </c>
      <c r="O95" s="59" t="s">
        <v>334</v>
      </c>
      <c r="P95" t="s">
        <v>650</v>
      </c>
      <c r="Q95" t="s">
        <v>320</v>
      </c>
      <c r="R95" s="60" t="str">
        <f>_xlfn.CONCAT(Tabla16[[#This Row],[ABR_01]],"00",Tabla16[[#This Row],[ABR_02]],Tabla16[[#This Row],[ZONA2]],,"0",Tabla16[[#This Row],[PARADA2]])</f>
        <v>AR00BA3025</v>
      </c>
      <c r="S95" s="60" t="s">
        <v>580</v>
      </c>
      <c r="T95" s="42" t="s">
        <v>324</v>
      </c>
      <c r="U95" s="53" t="s">
        <v>324</v>
      </c>
      <c r="V95" t="s">
        <v>851</v>
      </c>
    </row>
    <row r="96" spans="1:22" x14ac:dyDescent="0.25">
      <c r="A96" s="56" t="s">
        <v>325</v>
      </c>
      <c r="B96" s="38" t="s">
        <v>573</v>
      </c>
      <c r="C96" s="44" t="s">
        <v>43</v>
      </c>
      <c r="D96" s="39" t="s">
        <v>574</v>
      </c>
      <c r="E96" s="16" t="s">
        <v>42</v>
      </c>
      <c r="F96" s="12">
        <v>354</v>
      </c>
      <c r="G96" s="16">
        <v>470</v>
      </c>
      <c r="H96" s="40" t="s">
        <v>315</v>
      </c>
      <c r="I96" s="40" t="s">
        <v>575</v>
      </c>
      <c r="J96" s="41" t="s">
        <v>317</v>
      </c>
      <c r="K96" s="41" t="s">
        <v>318</v>
      </c>
      <c r="L96" s="57" t="s">
        <v>319</v>
      </c>
      <c r="M96" s="58" t="str">
        <f>Tabla16[[#This Row],[ABR_02]]</f>
        <v>CA</v>
      </c>
      <c r="N96" t="s">
        <v>320</v>
      </c>
      <c r="O96" s="59" t="s">
        <v>318</v>
      </c>
      <c r="P96" t="s">
        <v>321</v>
      </c>
      <c r="Q96" t="s">
        <v>328</v>
      </c>
      <c r="R96" s="60" t="str">
        <f>_xlfn.CONCAT(Tabla16[[#This Row],[ABR_01]],"00",Tabla16[[#This Row],[ABR_02]],Tabla16[[#This Row],[ZONA2]],,"0",Tabla16[[#This Row],[PARADA2]])</f>
        <v>AR00CA1001</v>
      </c>
      <c r="S96" s="60" t="s">
        <v>329</v>
      </c>
      <c r="T96" s="42" t="s">
        <v>324</v>
      </c>
      <c r="U96" s="42" t="s">
        <v>324</v>
      </c>
      <c r="V96" t="s">
        <v>850</v>
      </c>
    </row>
    <row r="97" spans="1:22" x14ac:dyDescent="0.25">
      <c r="A97" s="56" t="s">
        <v>325</v>
      </c>
      <c r="B97" s="38" t="s">
        <v>573</v>
      </c>
      <c r="C97" s="44" t="s">
        <v>43</v>
      </c>
      <c r="D97" s="39" t="s">
        <v>574</v>
      </c>
      <c r="E97" s="16" t="s">
        <v>42</v>
      </c>
      <c r="F97" s="12">
        <v>354</v>
      </c>
      <c r="G97" s="16">
        <v>470</v>
      </c>
      <c r="H97" s="40" t="s">
        <v>315</v>
      </c>
      <c r="I97" s="40" t="s">
        <v>575</v>
      </c>
      <c r="J97" s="41" t="s">
        <v>317</v>
      </c>
      <c r="K97" s="41" t="s">
        <v>318</v>
      </c>
      <c r="L97" s="57" t="s">
        <v>319</v>
      </c>
      <c r="M97" s="58" t="str">
        <f>Tabla16[[#This Row],[ABR_02]]</f>
        <v>CA</v>
      </c>
      <c r="N97" t="s">
        <v>320</v>
      </c>
      <c r="O97" s="59" t="s">
        <v>334</v>
      </c>
      <c r="P97" t="s">
        <v>650</v>
      </c>
      <c r="Q97" t="s">
        <v>651</v>
      </c>
      <c r="R97" s="60" t="str">
        <f>_xlfn.CONCAT(Tabla16[[#This Row],[ABR_01]],"00",Tabla16[[#This Row],[ABR_02]],Tabla16[[#This Row],[ZONA2]],,"0",Tabla16[[#This Row],[PARADA2]])</f>
        <v>AR00CA1001</v>
      </c>
      <c r="S97" s="60" t="s">
        <v>652</v>
      </c>
      <c r="T97" s="42" t="s">
        <v>324</v>
      </c>
      <c r="U97" s="53" t="s">
        <v>324</v>
      </c>
      <c r="V97" t="s">
        <v>851</v>
      </c>
    </row>
    <row r="98" spans="1:22" x14ac:dyDescent="0.25">
      <c r="A98" s="56" t="s">
        <v>325</v>
      </c>
      <c r="B98" s="38" t="s">
        <v>541</v>
      </c>
      <c r="C98" s="38" t="s">
        <v>542</v>
      </c>
      <c r="D98" s="39" t="s">
        <v>543</v>
      </c>
      <c r="E98" s="16" t="s">
        <v>58</v>
      </c>
      <c r="F98" s="12">
        <v>351</v>
      </c>
      <c r="G98" s="16">
        <v>607</v>
      </c>
      <c r="H98" s="40" t="s">
        <v>315</v>
      </c>
      <c r="I98" s="40" t="s">
        <v>544</v>
      </c>
      <c r="J98" s="41" t="s">
        <v>317</v>
      </c>
      <c r="K98" s="41" t="s">
        <v>318</v>
      </c>
      <c r="L98" s="57" t="s">
        <v>319</v>
      </c>
      <c r="M98" s="58" t="str">
        <f>Tabla16[[#This Row],[ABR_02]]</f>
        <v>CB</v>
      </c>
      <c r="N98" t="s">
        <v>320</v>
      </c>
      <c r="O98" s="59" t="s">
        <v>318</v>
      </c>
      <c r="P98" t="s">
        <v>321</v>
      </c>
      <c r="Q98" t="s">
        <v>328</v>
      </c>
      <c r="R98" s="60" t="str">
        <f>_xlfn.CONCAT(Tabla16[[#This Row],[ABR_01]],"00",Tabla16[[#This Row],[ABR_02]],Tabla16[[#This Row],[ZONA2]],,"0",Tabla16[[#This Row],[PARADA2]])</f>
        <v>AR00CB1001</v>
      </c>
      <c r="S98" s="60" t="s">
        <v>329</v>
      </c>
      <c r="T98" s="42" t="s">
        <v>324</v>
      </c>
      <c r="U98" s="42" t="s">
        <v>324</v>
      </c>
      <c r="V98" t="s">
        <v>850</v>
      </c>
    </row>
    <row r="99" spans="1:22" x14ac:dyDescent="0.25">
      <c r="A99" s="56" t="s">
        <v>325</v>
      </c>
      <c r="B99" s="38" t="s">
        <v>545</v>
      </c>
      <c r="C99" s="38" t="s">
        <v>545</v>
      </c>
      <c r="D99" s="39" t="s">
        <v>543</v>
      </c>
      <c r="E99" s="16" t="s">
        <v>58</v>
      </c>
      <c r="F99" s="12">
        <v>351</v>
      </c>
      <c r="G99" s="16">
        <v>635</v>
      </c>
      <c r="H99" s="40" t="s">
        <v>315</v>
      </c>
      <c r="I99" s="40" t="s">
        <v>544</v>
      </c>
      <c r="J99" s="41" t="s">
        <v>317</v>
      </c>
      <c r="K99" s="41" t="s">
        <v>331</v>
      </c>
      <c r="L99" s="57" t="s">
        <v>319</v>
      </c>
      <c r="M99" s="58" t="str">
        <f>Tabla16[[#This Row],[ABR_02]]</f>
        <v>CB</v>
      </c>
      <c r="N99" t="s">
        <v>320</v>
      </c>
      <c r="O99" s="59" t="s">
        <v>318</v>
      </c>
      <c r="P99" t="s">
        <v>321</v>
      </c>
      <c r="Q99" t="s">
        <v>328</v>
      </c>
      <c r="R99" s="60" t="str">
        <f>_xlfn.CONCAT(Tabla16[[#This Row],[ABR_01]],"00",Tabla16[[#This Row],[ABR_02]],Tabla16[[#This Row],[ZONA2]],,"0",Tabla16[[#This Row],[PARADA2]])</f>
        <v>AR00CB1002</v>
      </c>
      <c r="S99" s="60" t="s">
        <v>329</v>
      </c>
      <c r="T99" s="42" t="s">
        <v>324</v>
      </c>
      <c r="U99" s="42" t="s">
        <v>324</v>
      </c>
      <c r="V99" t="s">
        <v>850</v>
      </c>
    </row>
    <row r="100" spans="1:22" x14ac:dyDescent="0.25">
      <c r="A100" s="56" t="s">
        <v>325</v>
      </c>
      <c r="B100" s="38" t="s">
        <v>546</v>
      </c>
      <c r="C100" s="38" t="s">
        <v>546</v>
      </c>
      <c r="D100" s="39" t="s">
        <v>543</v>
      </c>
      <c r="E100" s="16" t="s">
        <v>58</v>
      </c>
      <c r="F100" s="12">
        <v>351</v>
      </c>
      <c r="G100" s="16">
        <v>725</v>
      </c>
      <c r="H100" s="40" t="s">
        <v>315</v>
      </c>
      <c r="I100" s="40" t="s">
        <v>544</v>
      </c>
      <c r="J100" s="41" t="s">
        <v>317</v>
      </c>
      <c r="K100" s="41" t="s">
        <v>332</v>
      </c>
      <c r="L100" s="57" t="s">
        <v>319</v>
      </c>
      <c r="M100" s="58" t="str">
        <f>Tabla16[[#This Row],[ABR_02]]</f>
        <v>CB</v>
      </c>
      <c r="N100" t="s">
        <v>320</v>
      </c>
      <c r="O100" s="59" t="s">
        <v>318</v>
      </c>
      <c r="P100" t="s">
        <v>321</v>
      </c>
      <c r="Q100" t="s">
        <v>328</v>
      </c>
      <c r="R100" s="60" t="str">
        <f>_xlfn.CONCAT(Tabla16[[#This Row],[ABR_01]],"00",Tabla16[[#This Row],[ABR_02]],Tabla16[[#This Row],[ZONA2]],,"0",Tabla16[[#This Row],[PARADA2]])</f>
        <v>AR00CB1003</v>
      </c>
      <c r="S100" s="60" t="s">
        <v>329</v>
      </c>
      <c r="T100" s="42" t="s">
        <v>324</v>
      </c>
      <c r="U100" s="42" t="s">
        <v>324</v>
      </c>
      <c r="V100" t="s">
        <v>850</v>
      </c>
    </row>
    <row r="101" spans="1:22" x14ac:dyDescent="0.25">
      <c r="A101" s="56" t="s">
        <v>325</v>
      </c>
      <c r="B101" s="38" t="s">
        <v>229</v>
      </c>
      <c r="C101" s="38" t="s">
        <v>229</v>
      </c>
      <c r="D101" s="39" t="s">
        <v>543</v>
      </c>
      <c r="E101" s="16" t="s">
        <v>58</v>
      </c>
      <c r="F101" s="12">
        <v>351</v>
      </c>
      <c r="G101" s="16">
        <v>627</v>
      </c>
      <c r="H101" s="40" t="s">
        <v>315</v>
      </c>
      <c r="I101" s="40" t="s">
        <v>544</v>
      </c>
      <c r="J101" s="41" t="s">
        <v>317</v>
      </c>
      <c r="K101" s="41" t="s">
        <v>334</v>
      </c>
      <c r="L101" s="57" t="s">
        <v>319</v>
      </c>
      <c r="M101" s="58" t="str">
        <f>Tabla16[[#This Row],[ABR_02]]</f>
        <v>CB</v>
      </c>
      <c r="N101" t="s">
        <v>320</v>
      </c>
      <c r="O101" s="59" t="s">
        <v>318</v>
      </c>
      <c r="P101" t="s">
        <v>321</v>
      </c>
      <c r="Q101" t="s">
        <v>328</v>
      </c>
      <c r="R101" s="60" t="str">
        <f>_xlfn.CONCAT(Tabla16[[#This Row],[ABR_01]],"00",Tabla16[[#This Row],[ABR_02]],Tabla16[[#This Row],[ZONA2]],,"0",Tabla16[[#This Row],[PARADA2]])</f>
        <v>AR00CB1004</v>
      </c>
      <c r="S101" s="60" t="s">
        <v>329</v>
      </c>
      <c r="T101" s="42" t="s">
        <v>324</v>
      </c>
      <c r="U101" s="42" t="s">
        <v>324</v>
      </c>
      <c r="V101" t="s">
        <v>850</v>
      </c>
    </row>
    <row r="102" spans="1:22" x14ac:dyDescent="0.25">
      <c r="A102" s="56" t="s">
        <v>325</v>
      </c>
      <c r="B102" s="46" t="s">
        <v>223</v>
      </c>
      <c r="C102" s="46" t="s">
        <v>223</v>
      </c>
      <c r="D102" s="39" t="s">
        <v>543</v>
      </c>
      <c r="E102" s="16" t="s">
        <v>58</v>
      </c>
      <c r="F102" s="12">
        <v>351</v>
      </c>
      <c r="G102" s="16">
        <v>628</v>
      </c>
      <c r="H102" s="40" t="s">
        <v>315</v>
      </c>
      <c r="I102" s="40" t="s">
        <v>544</v>
      </c>
      <c r="J102" s="41" t="s">
        <v>317</v>
      </c>
      <c r="K102" s="41" t="s">
        <v>344</v>
      </c>
      <c r="L102" s="57" t="s">
        <v>319</v>
      </c>
      <c r="M102" s="58" t="str">
        <f>Tabla16[[#This Row],[ABR_02]]</f>
        <v>CB</v>
      </c>
      <c r="N102" t="s">
        <v>320</v>
      </c>
      <c r="O102" s="59" t="s">
        <v>318</v>
      </c>
      <c r="P102" t="s">
        <v>321</v>
      </c>
      <c r="Q102" t="s">
        <v>328</v>
      </c>
      <c r="R102" s="60" t="str">
        <f>_xlfn.CONCAT(Tabla16[[#This Row],[ABR_01]],"00",Tabla16[[#This Row],[ABR_02]],Tabla16[[#This Row],[ZONA2]],,"0",Tabla16[[#This Row],[PARADA2]])</f>
        <v>AR00CB1005</v>
      </c>
      <c r="S102" s="60" t="s">
        <v>329</v>
      </c>
      <c r="T102" s="42" t="s">
        <v>324</v>
      </c>
      <c r="U102" s="42" t="s">
        <v>324</v>
      </c>
      <c r="V102" t="s">
        <v>850</v>
      </c>
    </row>
    <row r="103" spans="1:22" x14ac:dyDescent="0.25">
      <c r="A103" s="56" t="s">
        <v>325</v>
      </c>
      <c r="B103" s="38" t="s">
        <v>547</v>
      </c>
      <c r="C103" s="38" t="s">
        <v>225</v>
      </c>
      <c r="D103" s="39" t="s">
        <v>543</v>
      </c>
      <c r="E103" s="16" t="s">
        <v>58</v>
      </c>
      <c r="F103" s="12">
        <v>351</v>
      </c>
      <c r="G103" s="16">
        <v>605</v>
      </c>
      <c r="H103" s="40" t="s">
        <v>315</v>
      </c>
      <c r="I103" s="40" t="s">
        <v>544</v>
      </c>
      <c r="J103" s="41" t="s">
        <v>317</v>
      </c>
      <c r="K103" s="41" t="s">
        <v>345</v>
      </c>
      <c r="L103" s="57" t="s">
        <v>319</v>
      </c>
      <c r="M103" s="58" t="str">
        <f>Tabla16[[#This Row],[ABR_02]]</f>
        <v>CB</v>
      </c>
      <c r="N103" t="s">
        <v>320</v>
      </c>
      <c r="O103" s="59" t="s">
        <v>318</v>
      </c>
      <c r="P103" t="s">
        <v>321</v>
      </c>
      <c r="Q103" t="s">
        <v>328</v>
      </c>
      <c r="R103" s="60" t="str">
        <f>_xlfn.CONCAT(Tabla16[[#This Row],[ABR_01]],"00",Tabla16[[#This Row],[ABR_02]],Tabla16[[#This Row],[ZONA2]],,"0",Tabla16[[#This Row],[PARADA2]])</f>
        <v>AR00CB1006</v>
      </c>
      <c r="S103" s="60" t="s">
        <v>329</v>
      </c>
      <c r="T103" s="42" t="s">
        <v>324</v>
      </c>
      <c r="U103" s="42" t="s">
        <v>324</v>
      </c>
      <c r="V103" t="s">
        <v>850</v>
      </c>
    </row>
    <row r="104" spans="1:22" x14ac:dyDescent="0.25">
      <c r="A104" s="56" t="s">
        <v>325</v>
      </c>
      <c r="B104" s="38" t="s">
        <v>548</v>
      </c>
      <c r="C104" s="38" t="s">
        <v>548</v>
      </c>
      <c r="D104" s="39" t="s">
        <v>543</v>
      </c>
      <c r="E104" s="16" t="s">
        <v>58</v>
      </c>
      <c r="F104" s="12">
        <v>351</v>
      </c>
      <c r="G104" s="16">
        <v>650</v>
      </c>
      <c r="H104" s="40" t="s">
        <v>315</v>
      </c>
      <c r="I104" s="40" t="s">
        <v>544</v>
      </c>
      <c r="J104" s="41" t="s">
        <v>317</v>
      </c>
      <c r="K104" s="41" t="s">
        <v>347</v>
      </c>
      <c r="L104" s="57" t="s">
        <v>319</v>
      </c>
      <c r="M104" s="58" t="str">
        <f>Tabla16[[#This Row],[ABR_02]]</f>
        <v>CB</v>
      </c>
      <c r="N104" t="s">
        <v>320</v>
      </c>
      <c r="O104" s="59" t="s">
        <v>318</v>
      </c>
      <c r="P104" t="s">
        <v>321</v>
      </c>
      <c r="Q104" t="s">
        <v>328</v>
      </c>
      <c r="R104" s="60" t="str">
        <f>_xlfn.CONCAT(Tabla16[[#This Row],[ABR_01]],"00",Tabla16[[#This Row],[ABR_02]],Tabla16[[#This Row],[ZONA2]],,"0",Tabla16[[#This Row],[PARADA2]])</f>
        <v>AR00CB1007</v>
      </c>
      <c r="S104" s="60" t="s">
        <v>329</v>
      </c>
      <c r="T104" s="42" t="s">
        <v>324</v>
      </c>
      <c r="U104" s="42" t="s">
        <v>324</v>
      </c>
      <c r="V104" t="s">
        <v>850</v>
      </c>
    </row>
    <row r="105" spans="1:22" x14ac:dyDescent="0.25">
      <c r="A105" s="56" t="s">
        <v>325</v>
      </c>
      <c r="B105" s="46" t="s">
        <v>549</v>
      </c>
      <c r="C105" s="46" t="s">
        <v>59</v>
      </c>
      <c r="D105" s="39" t="s">
        <v>543</v>
      </c>
      <c r="E105" s="16" t="s">
        <v>58</v>
      </c>
      <c r="F105" s="12">
        <v>351</v>
      </c>
      <c r="G105" s="16">
        <v>600</v>
      </c>
      <c r="H105" s="40" t="s">
        <v>315</v>
      </c>
      <c r="I105" s="40" t="s">
        <v>544</v>
      </c>
      <c r="J105" s="41" t="s">
        <v>317</v>
      </c>
      <c r="K105" s="41" t="s">
        <v>349</v>
      </c>
      <c r="L105" s="57" t="s">
        <v>319</v>
      </c>
      <c r="M105" s="58" t="str">
        <f>Tabla16[[#This Row],[ABR_02]]</f>
        <v>CB</v>
      </c>
      <c r="N105" t="s">
        <v>320</v>
      </c>
      <c r="O105" s="59" t="s">
        <v>318</v>
      </c>
      <c r="P105" t="s">
        <v>321</v>
      </c>
      <c r="Q105" t="s">
        <v>328</v>
      </c>
      <c r="R105" s="60" t="str">
        <f>_xlfn.CONCAT(Tabla16[[#This Row],[ABR_01]],"00",Tabla16[[#This Row],[ABR_02]],Tabla16[[#This Row],[ZONA2]],,"0",Tabla16[[#This Row],[PARADA2]])</f>
        <v>AR00CB1008</v>
      </c>
      <c r="S105" s="60" t="s">
        <v>329</v>
      </c>
      <c r="T105" s="42" t="s">
        <v>324</v>
      </c>
      <c r="U105" s="42" t="s">
        <v>324</v>
      </c>
      <c r="V105" t="s">
        <v>850</v>
      </c>
    </row>
    <row r="106" spans="1:22" x14ac:dyDescent="0.25">
      <c r="A106" s="56" t="s">
        <v>325</v>
      </c>
      <c r="B106" s="38" t="s">
        <v>550</v>
      </c>
      <c r="C106" s="38" t="s">
        <v>551</v>
      </c>
      <c r="D106" s="39" t="s">
        <v>543</v>
      </c>
      <c r="E106" s="16" t="s">
        <v>58</v>
      </c>
      <c r="F106" s="12">
        <v>351</v>
      </c>
      <c r="G106" s="16">
        <v>680</v>
      </c>
      <c r="H106" s="40" t="s">
        <v>315</v>
      </c>
      <c r="I106" s="40" t="s">
        <v>544</v>
      </c>
      <c r="J106" s="41" t="s">
        <v>317</v>
      </c>
      <c r="K106" s="41" t="s">
        <v>393</v>
      </c>
      <c r="L106" s="57" t="s">
        <v>319</v>
      </c>
      <c r="M106" s="58" t="str">
        <f>Tabla16[[#This Row],[ABR_02]]</f>
        <v>CB</v>
      </c>
      <c r="N106" t="s">
        <v>320</v>
      </c>
      <c r="O106" s="59" t="s">
        <v>318</v>
      </c>
      <c r="P106" t="s">
        <v>321</v>
      </c>
      <c r="Q106" t="s">
        <v>328</v>
      </c>
      <c r="R106" s="60" t="str">
        <f>_xlfn.CONCAT(Tabla16[[#This Row],[ABR_01]],"00",Tabla16[[#This Row],[ABR_02]],Tabla16[[#This Row],[ZONA2]],,"0",Tabla16[[#This Row],[PARADA2]])</f>
        <v>AR00CB1009</v>
      </c>
      <c r="S106" s="60" t="s">
        <v>329</v>
      </c>
      <c r="T106" s="42" t="s">
        <v>324</v>
      </c>
      <c r="U106" s="42" t="s">
        <v>324</v>
      </c>
      <c r="V106" t="s">
        <v>850</v>
      </c>
    </row>
    <row r="107" spans="1:22" x14ac:dyDescent="0.25">
      <c r="A107" s="56" t="s">
        <v>325</v>
      </c>
      <c r="B107" s="38" t="s">
        <v>552</v>
      </c>
      <c r="C107" s="38" t="s">
        <v>552</v>
      </c>
      <c r="D107" s="39" t="s">
        <v>543</v>
      </c>
      <c r="E107" s="16" t="s">
        <v>58</v>
      </c>
      <c r="F107" s="12">
        <v>351</v>
      </c>
      <c r="G107" s="16">
        <v>610</v>
      </c>
      <c r="H107" s="40" t="s">
        <v>315</v>
      </c>
      <c r="I107" s="40" t="s">
        <v>544</v>
      </c>
      <c r="J107" s="41" t="s">
        <v>317</v>
      </c>
      <c r="K107" s="41" t="s">
        <v>395</v>
      </c>
      <c r="L107" s="57" t="s">
        <v>319</v>
      </c>
      <c r="M107" s="58" t="str">
        <f>Tabla16[[#This Row],[ABR_02]]</f>
        <v>CB</v>
      </c>
      <c r="N107" t="s">
        <v>320</v>
      </c>
      <c r="O107" s="59" t="s">
        <v>318</v>
      </c>
      <c r="P107" t="s">
        <v>321</v>
      </c>
      <c r="Q107" t="s">
        <v>328</v>
      </c>
      <c r="R107" s="60" t="str">
        <f>_xlfn.CONCAT(Tabla16[[#This Row],[ABR_01]],"00",Tabla16[[#This Row],[ABR_02]],Tabla16[[#This Row],[ZONA2]],,"0",Tabla16[[#This Row],[PARADA2]])</f>
        <v>AR00CB1010</v>
      </c>
      <c r="S107" s="60" t="s">
        <v>329</v>
      </c>
      <c r="T107" s="42" t="s">
        <v>324</v>
      </c>
      <c r="U107" s="42" t="s">
        <v>324</v>
      </c>
      <c r="V107" t="s">
        <v>850</v>
      </c>
    </row>
    <row r="108" spans="1:22" x14ac:dyDescent="0.25">
      <c r="A108" s="56" t="s">
        <v>325</v>
      </c>
      <c r="B108" s="38" t="s">
        <v>553</v>
      </c>
      <c r="C108" s="38" t="s">
        <v>553</v>
      </c>
      <c r="D108" s="39" t="s">
        <v>543</v>
      </c>
      <c r="E108" s="16" t="s">
        <v>58</v>
      </c>
      <c r="F108" s="12">
        <v>351</v>
      </c>
      <c r="G108" s="16">
        <v>670</v>
      </c>
      <c r="H108" s="40" t="s">
        <v>315</v>
      </c>
      <c r="I108" s="40" t="s">
        <v>544</v>
      </c>
      <c r="J108" s="41" t="s">
        <v>317</v>
      </c>
      <c r="K108" s="41" t="s">
        <v>397</v>
      </c>
      <c r="L108" s="57" t="s">
        <v>319</v>
      </c>
      <c r="M108" s="58" t="str">
        <f>Tabla16[[#This Row],[ABR_02]]</f>
        <v>CB</v>
      </c>
      <c r="N108" t="s">
        <v>320</v>
      </c>
      <c r="O108" s="59" t="s">
        <v>318</v>
      </c>
      <c r="P108" t="s">
        <v>321</v>
      </c>
      <c r="Q108" t="s">
        <v>328</v>
      </c>
      <c r="R108" s="60" t="str">
        <f>_xlfn.CONCAT(Tabla16[[#This Row],[ABR_01]],"00",Tabla16[[#This Row],[ABR_02]],Tabla16[[#This Row],[ZONA2]],,"0",Tabla16[[#This Row],[PARADA2]])</f>
        <v>AR00CB1011</v>
      </c>
      <c r="S108" s="60" t="s">
        <v>329</v>
      </c>
      <c r="T108" s="42" t="s">
        <v>324</v>
      </c>
      <c r="U108" s="42" t="s">
        <v>324</v>
      </c>
      <c r="V108" t="s">
        <v>850</v>
      </c>
    </row>
    <row r="109" spans="1:22" x14ac:dyDescent="0.25">
      <c r="A109" s="56" t="s">
        <v>325</v>
      </c>
      <c r="B109" s="38" t="s">
        <v>554</v>
      </c>
      <c r="C109" s="38" t="s">
        <v>554</v>
      </c>
      <c r="D109" s="39" t="s">
        <v>543</v>
      </c>
      <c r="E109" s="16" t="s">
        <v>58</v>
      </c>
      <c r="F109" s="12">
        <v>351</v>
      </c>
      <c r="G109" s="16">
        <v>645</v>
      </c>
      <c r="H109" s="40" t="s">
        <v>315</v>
      </c>
      <c r="I109" s="40" t="s">
        <v>544</v>
      </c>
      <c r="J109" s="41" t="s">
        <v>317</v>
      </c>
      <c r="K109" s="41" t="s">
        <v>399</v>
      </c>
      <c r="L109" s="57" t="s">
        <v>319</v>
      </c>
      <c r="M109" s="58" t="str">
        <f>Tabla16[[#This Row],[ABR_02]]</f>
        <v>CB</v>
      </c>
      <c r="N109" t="s">
        <v>320</v>
      </c>
      <c r="O109" s="59" t="s">
        <v>318</v>
      </c>
      <c r="P109" t="s">
        <v>321</v>
      </c>
      <c r="Q109" t="s">
        <v>328</v>
      </c>
      <c r="R109" s="60" t="str">
        <f>_xlfn.CONCAT(Tabla16[[#This Row],[ABR_01]],"00",Tabla16[[#This Row],[ABR_02]],Tabla16[[#This Row],[ZONA2]],,"0",Tabla16[[#This Row],[PARADA2]])</f>
        <v>AR00CB1012</v>
      </c>
      <c r="S109" s="60" t="s">
        <v>329</v>
      </c>
      <c r="T109" s="42" t="s">
        <v>324</v>
      </c>
      <c r="U109" s="42" t="s">
        <v>324</v>
      </c>
      <c r="V109" t="s">
        <v>850</v>
      </c>
    </row>
    <row r="110" spans="1:22" x14ac:dyDescent="0.25">
      <c r="A110" s="56" t="s">
        <v>325</v>
      </c>
      <c r="B110" s="38" t="s">
        <v>555</v>
      </c>
      <c r="C110" s="38" t="s">
        <v>555</v>
      </c>
      <c r="D110" s="39" t="s">
        <v>543</v>
      </c>
      <c r="E110" s="16" t="s">
        <v>58</v>
      </c>
      <c r="F110" s="12">
        <v>351</v>
      </c>
      <c r="G110" s="16">
        <v>660</v>
      </c>
      <c r="H110" s="40" t="s">
        <v>315</v>
      </c>
      <c r="I110" s="40" t="s">
        <v>544</v>
      </c>
      <c r="J110" s="41" t="s">
        <v>317</v>
      </c>
      <c r="K110" s="41" t="s">
        <v>401</v>
      </c>
      <c r="L110" s="57" t="s">
        <v>319</v>
      </c>
      <c r="M110" s="58" t="str">
        <f>Tabla16[[#This Row],[ABR_02]]</f>
        <v>CB</v>
      </c>
      <c r="N110" t="s">
        <v>320</v>
      </c>
      <c r="O110" s="59" t="s">
        <v>318</v>
      </c>
      <c r="P110" t="s">
        <v>321</v>
      </c>
      <c r="Q110" t="s">
        <v>328</v>
      </c>
      <c r="R110" s="60" t="str">
        <f>_xlfn.CONCAT(Tabla16[[#This Row],[ABR_01]],"00",Tabla16[[#This Row],[ABR_02]],Tabla16[[#This Row],[ZONA2]],,"0",Tabla16[[#This Row],[PARADA2]])</f>
        <v>AR00CB1013</v>
      </c>
      <c r="S110" s="60" t="s">
        <v>329</v>
      </c>
      <c r="T110" s="42" t="s">
        <v>324</v>
      </c>
      <c r="U110" s="42" t="s">
        <v>324</v>
      </c>
      <c r="V110" t="s">
        <v>850</v>
      </c>
    </row>
    <row r="111" spans="1:22" x14ac:dyDescent="0.25">
      <c r="A111" s="56" t="s">
        <v>325</v>
      </c>
      <c r="B111" s="38" t="s">
        <v>556</v>
      </c>
      <c r="C111" s="38" t="s">
        <v>556</v>
      </c>
      <c r="D111" s="39" t="s">
        <v>543</v>
      </c>
      <c r="E111" s="16" t="s">
        <v>58</v>
      </c>
      <c r="F111" s="12">
        <v>351</v>
      </c>
      <c r="G111" s="16">
        <v>625</v>
      </c>
      <c r="H111" s="40" t="s">
        <v>315</v>
      </c>
      <c r="I111" s="40" t="s">
        <v>544</v>
      </c>
      <c r="J111" s="41" t="s">
        <v>317</v>
      </c>
      <c r="K111" s="41" t="s">
        <v>404</v>
      </c>
      <c r="L111" s="57" t="s">
        <v>319</v>
      </c>
      <c r="M111" s="58" t="str">
        <f>Tabla16[[#This Row],[ABR_02]]</f>
        <v>CB</v>
      </c>
      <c r="N111" t="s">
        <v>320</v>
      </c>
      <c r="O111" s="59" t="s">
        <v>318</v>
      </c>
      <c r="P111" t="s">
        <v>321</v>
      </c>
      <c r="Q111" t="s">
        <v>328</v>
      </c>
      <c r="R111" s="60" t="str">
        <f>_xlfn.CONCAT(Tabla16[[#This Row],[ABR_01]],"00",Tabla16[[#This Row],[ABR_02]],Tabla16[[#This Row],[ZONA2]],,"0",Tabla16[[#This Row],[PARADA2]])</f>
        <v>AR00CB1014</v>
      </c>
      <c r="S111" s="60" t="s">
        <v>329</v>
      </c>
      <c r="T111" s="42" t="s">
        <v>324</v>
      </c>
      <c r="U111" s="42" t="s">
        <v>324</v>
      </c>
      <c r="V111" t="s">
        <v>850</v>
      </c>
    </row>
    <row r="112" spans="1:22" x14ac:dyDescent="0.25">
      <c r="A112" s="56" t="s">
        <v>325</v>
      </c>
      <c r="B112" s="38" t="s">
        <v>557</v>
      </c>
      <c r="C112" s="38" t="s">
        <v>557</v>
      </c>
      <c r="D112" s="39" t="s">
        <v>543</v>
      </c>
      <c r="E112" s="16" t="s">
        <v>58</v>
      </c>
      <c r="F112" s="12">
        <v>351</v>
      </c>
      <c r="G112" s="16">
        <v>655</v>
      </c>
      <c r="H112" s="40" t="s">
        <v>315</v>
      </c>
      <c r="I112" s="40" t="s">
        <v>544</v>
      </c>
      <c r="J112" s="41" t="s">
        <v>317</v>
      </c>
      <c r="K112" s="41" t="s">
        <v>407</v>
      </c>
      <c r="L112" s="57" t="s">
        <v>319</v>
      </c>
      <c r="M112" s="58" t="str">
        <f>Tabla16[[#This Row],[ABR_02]]</f>
        <v>CB</v>
      </c>
      <c r="N112" t="s">
        <v>320</v>
      </c>
      <c r="O112" s="59" t="s">
        <v>318</v>
      </c>
      <c r="P112" t="s">
        <v>321</v>
      </c>
      <c r="Q112" t="s">
        <v>328</v>
      </c>
      <c r="R112" s="60" t="str">
        <f>_xlfn.CONCAT(Tabla16[[#This Row],[ABR_01]],"00",Tabla16[[#This Row],[ABR_02]],Tabla16[[#This Row],[ZONA2]],,"0",Tabla16[[#This Row],[PARADA2]])</f>
        <v>AR00CB1015</v>
      </c>
      <c r="S112" s="60" t="s">
        <v>329</v>
      </c>
      <c r="T112" s="42" t="s">
        <v>324</v>
      </c>
      <c r="U112" s="42" t="s">
        <v>324</v>
      </c>
      <c r="V112" t="s">
        <v>850</v>
      </c>
    </row>
    <row r="113" spans="1:22" x14ac:dyDescent="0.25">
      <c r="A113" s="56" t="s">
        <v>325</v>
      </c>
      <c r="B113" s="38" t="s">
        <v>558</v>
      </c>
      <c r="C113" s="38" t="s">
        <v>559</v>
      </c>
      <c r="D113" s="39" t="s">
        <v>543</v>
      </c>
      <c r="E113" s="16" t="s">
        <v>58</v>
      </c>
      <c r="F113" s="12">
        <v>351</v>
      </c>
      <c r="G113" s="16">
        <v>620</v>
      </c>
      <c r="H113" s="40" t="s">
        <v>315</v>
      </c>
      <c r="I113" s="40" t="s">
        <v>544</v>
      </c>
      <c r="J113" s="41" t="s">
        <v>317</v>
      </c>
      <c r="K113" s="41" t="s">
        <v>409</v>
      </c>
      <c r="L113" s="57" t="s">
        <v>319</v>
      </c>
      <c r="M113" s="58" t="str">
        <f>Tabla16[[#This Row],[ABR_02]]</f>
        <v>CB</v>
      </c>
      <c r="N113" t="s">
        <v>320</v>
      </c>
      <c r="O113" s="59" t="s">
        <v>318</v>
      </c>
      <c r="P113" t="s">
        <v>321</v>
      </c>
      <c r="Q113" t="s">
        <v>328</v>
      </c>
      <c r="R113" s="60" t="str">
        <f>_xlfn.CONCAT(Tabla16[[#This Row],[ABR_01]],"00",Tabla16[[#This Row],[ABR_02]],Tabla16[[#This Row],[ZONA2]],,"0",Tabla16[[#This Row],[PARADA2]])</f>
        <v>AR00CB1016</v>
      </c>
      <c r="S113" s="60" t="s">
        <v>329</v>
      </c>
      <c r="T113" s="42" t="s">
        <v>324</v>
      </c>
      <c r="U113" s="42" t="s">
        <v>324</v>
      </c>
      <c r="V113" t="s">
        <v>850</v>
      </c>
    </row>
    <row r="114" spans="1:22" x14ac:dyDescent="0.25">
      <c r="A114" s="56" t="s">
        <v>325</v>
      </c>
      <c r="B114" s="38" t="s">
        <v>560</v>
      </c>
      <c r="C114" s="38" t="s">
        <v>119</v>
      </c>
      <c r="D114" s="39" t="s">
        <v>543</v>
      </c>
      <c r="E114" s="16" t="s">
        <v>58</v>
      </c>
      <c r="F114" s="12">
        <v>351</v>
      </c>
      <c r="G114" s="16">
        <v>662</v>
      </c>
      <c r="H114" s="40" t="s">
        <v>315</v>
      </c>
      <c r="I114" s="40" t="s">
        <v>544</v>
      </c>
      <c r="J114" s="41" t="s">
        <v>317</v>
      </c>
      <c r="K114" s="41" t="s">
        <v>412</v>
      </c>
      <c r="L114" s="57" t="s">
        <v>319</v>
      </c>
      <c r="M114" s="58" t="str">
        <f>Tabla16[[#This Row],[ABR_02]]</f>
        <v>CB</v>
      </c>
      <c r="N114" t="s">
        <v>320</v>
      </c>
      <c r="O114" s="59" t="s">
        <v>318</v>
      </c>
      <c r="P114" t="s">
        <v>321</v>
      </c>
      <c r="Q114" t="s">
        <v>328</v>
      </c>
      <c r="R114" s="60" t="str">
        <f>_xlfn.CONCAT(Tabla16[[#This Row],[ABR_01]],"00",Tabla16[[#This Row],[ABR_02]],Tabla16[[#This Row],[ZONA2]],,"0",Tabla16[[#This Row],[PARADA2]])</f>
        <v>AR00CB1017</v>
      </c>
      <c r="S114" s="60" t="s">
        <v>329</v>
      </c>
      <c r="T114" s="42" t="s">
        <v>324</v>
      </c>
      <c r="U114" s="42" t="s">
        <v>324</v>
      </c>
      <c r="V114" t="s">
        <v>850</v>
      </c>
    </row>
    <row r="115" spans="1:22" x14ac:dyDescent="0.25">
      <c r="A115" s="56" t="s">
        <v>325</v>
      </c>
      <c r="B115" s="38" t="s">
        <v>561</v>
      </c>
      <c r="C115" s="38" t="s">
        <v>227</v>
      </c>
      <c r="D115" s="39" t="s">
        <v>543</v>
      </c>
      <c r="E115" s="16" t="s">
        <v>58</v>
      </c>
      <c r="F115" s="12">
        <v>351</v>
      </c>
      <c r="G115" s="16">
        <v>665</v>
      </c>
      <c r="H115" s="40" t="s">
        <v>315</v>
      </c>
      <c r="I115" s="40" t="s">
        <v>544</v>
      </c>
      <c r="J115" s="41" t="s">
        <v>317</v>
      </c>
      <c r="K115" s="41" t="s">
        <v>414</v>
      </c>
      <c r="L115" s="57" t="s">
        <v>319</v>
      </c>
      <c r="M115" s="58" t="str">
        <f>Tabla16[[#This Row],[ABR_02]]</f>
        <v>CB</v>
      </c>
      <c r="N115" t="s">
        <v>320</v>
      </c>
      <c r="O115" s="59" t="s">
        <v>318</v>
      </c>
      <c r="P115" t="s">
        <v>321</v>
      </c>
      <c r="Q115" t="s">
        <v>328</v>
      </c>
      <c r="R115" s="60" t="str">
        <f>_xlfn.CONCAT(Tabla16[[#This Row],[ABR_01]],"00",Tabla16[[#This Row],[ABR_02]],Tabla16[[#This Row],[ZONA2]],,"0",Tabla16[[#This Row],[PARADA2]])</f>
        <v>AR00CB1018</v>
      </c>
      <c r="S115" s="60" t="s">
        <v>329</v>
      </c>
      <c r="T115" s="42" t="s">
        <v>324</v>
      </c>
      <c r="U115" s="42" t="s">
        <v>324</v>
      </c>
      <c r="V115" t="s">
        <v>850</v>
      </c>
    </row>
    <row r="116" spans="1:22" x14ac:dyDescent="0.25">
      <c r="A116" s="56" t="s">
        <v>325</v>
      </c>
      <c r="B116" s="38" t="s">
        <v>562</v>
      </c>
      <c r="C116" s="38" t="s">
        <v>563</v>
      </c>
      <c r="D116" s="39" t="s">
        <v>543</v>
      </c>
      <c r="E116" s="16" t="s">
        <v>58</v>
      </c>
      <c r="F116" s="12">
        <v>351</v>
      </c>
      <c r="G116" s="16">
        <v>720</v>
      </c>
      <c r="H116" s="40" t="s">
        <v>315</v>
      </c>
      <c r="I116" s="40" t="s">
        <v>544</v>
      </c>
      <c r="J116" s="41" t="s">
        <v>317</v>
      </c>
      <c r="K116" s="41" t="s">
        <v>417</v>
      </c>
      <c r="L116" s="57" t="s">
        <v>319</v>
      </c>
      <c r="M116" s="58" t="str">
        <f>Tabla16[[#This Row],[ABR_02]]</f>
        <v>CB</v>
      </c>
      <c r="N116" t="s">
        <v>320</v>
      </c>
      <c r="O116" s="59" t="s">
        <v>318</v>
      </c>
      <c r="P116" t="s">
        <v>321</v>
      </c>
      <c r="Q116" t="s">
        <v>328</v>
      </c>
      <c r="R116" s="60" t="str">
        <f>_xlfn.CONCAT(Tabla16[[#This Row],[ABR_01]],"00",Tabla16[[#This Row],[ABR_02]],Tabla16[[#This Row],[ZONA2]],,"0",Tabla16[[#This Row],[PARADA2]])</f>
        <v>AR00CB1019</v>
      </c>
      <c r="S116" s="60" t="s">
        <v>329</v>
      </c>
      <c r="T116" s="42" t="s">
        <v>324</v>
      </c>
      <c r="U116" s="42" t="s">
        <v>324</v>
      </c>
      <c r="V116" t="s">
        <v>850</v>
      </c>
    </row>
    <row r="117" spans="1:22" x14ac:dyDescent="0.25">
      <c r="A117" s="56" t="s">
        <v>325</v>
      </c>
      <c r="B117" s="38" t="s">
        <v>564</v>
      </c>
      <c r="C117" s="38" t="s">
        <v>564</v>
      </c>
      <c r="D117" s="39" t="s">
        <v>543</v>
      </c>
      <c r="E117" s="16" t="s">
        <v>58</v>
      </c>
      <c r="F117" s="12">
        <v>351</v>
      </c>
      <c r="G117" s="16">
        <v>657</v>
      </c>
      <c r="H117" s="40" t="s">
        <v>315</v>
      </c>
      <c r="I117" s="40" t="s">
        <v>544</v>
      </c>
      <c r="J117" s="41" t="s">
        <v>317</v>
      </c>
      <c r="K117" s="41" t="s">
        <v>419</v>
      </c>
      <c r="L117" s="57" t="s">
        <v>319</v>
      </c>
      <c r="M117" s="58" t="str">
        <f>Tabla16[[#This Row],[ABR_02]]</f>
        <v>CB</v>
      </c>
      <c r="N117" t="s">
        <v>320</v>
      </c>
      <c r="O117" s="59" t="s">
        <v>318</v>
      </c>
      <c r="P117" t="s">
        <v>321</v>
      </c>
      <c r="Q117" t="s">
        <v>328</v>
      </c>
      <c r="R117" s="60" t="str">
        <f>_xlfn.CONCAT(Tabla16[[#This Row],[ABR_01]],"00",Tabla16[[#This Row],[ABR_02]],Tabla16[[#This Row],[ZONA2]],,"0",Tabla16[[#This Row],[PARADA2]])</f>
        <v>AR00CB1020</v>
      </c>
      <c r="S117" s="60" t="s">
        <v>329</v>
      </c>
      <c r="T117" s="42" t="s">
        <v>324</v>
      </c>
      <c r="U117" s="42" t="s">
        <v>324</v>
      </c>
      <c r="V117" t="s">
        <v>850</v>
      </c>
    </row>
    <row r="118" spans="1:22" x14ac:dyDescent="0.25">
      <c r="A118" s="56" t="s">
        <v>325</v>
      </c>
      <c r="B118" s="38" t="s">
        <v>565</v>
      </c>
      <c r="C118" s="10" t="s">
        <v>566</v>
      </c>
      <c r="D118" s="39" t="s">
        <v>543</v>
      </c>
      <c r="E118" s="16" t="s">
        <v>58</v>
      </c>
      <c r="F118" s="12">
        <v>351</v>
      </c>
      <c r="G118" s="16">
        <v>630</v>
      </c>
      <c r="H118" s="40" t="s">
        <v>315</v>
      </c>
      <c r="I118" s="40" t="s">
        <v>544</v>
      </c>
      <c r="J118" s="41" t="s">
        <v>317</v>
      </c>
      <c r="K118" s="41" t="s">
        <v>421</v>
      </c>
      <c r="L118" s="57" t="s">
        <v>319</v>
      </c>
      <c r="M118" s="58" t="str">
        <f>Tabla16[[#This Row],[ABR_02]]</f>
        <v>CB</v>
      </c>
      <c r="N118" t="s">
        <v>320</v>
      </c>
      <c r="O118" s="59" t="s">
        <v>318</v>
      </c>
      <c r="P118" t="s">
        <v>321</v>
      </c>
      <c r="Q118" t="s">
        <v>328</v>
      </c>
      <c r="R118" s="60" t="str">
        <f>_xlfn.CONCAT(Tabla16[[#This Row],[ABR_01]],"00",Tabla16[[#This Row],[ABR_02]],Tabla16[[#This Row],[ZONA2]],,"0",Tabla16[[#This Row],[PARADA2]])</f>
        <v>AR00CB1021</v>
      </c>
      <c r="S118" s="60" t="s">
        <v>329</v>
      </c>
      <c r="T118" s="42" t="s">
        <v>324</v>
      </c>
      <c r="U118" s="42" t="s">
        <v>324</v>
      </c>
      <c r="V118" t="s">
        <v>850</v>
      </c>
    </row>
    <row r="119" spans="1:22" x14ac:dyDescent="0.25">
      <c r="A119" s="56" t="s">
        <v>325</v>
      </c>
      <c r="B119" s="38" t="s">
        <v>567</v>
      </c>
      <c r="C119" s="10" t="s">
        <v>568</v>
      </c>
      <c r="D119" s="39" t="s">
        <v>543</v>
      </c>
      <c r="E119" s="16" t="s">
        <v>58</v>
      </c>
      <c r="F119" s="12">
        <v>351</v>
      </c>
      <c r="G119" s="16">
        <v>615</v>
      </c>
      <c r="H119" s="40" t="s">
        <v>315</v>
      </c>
      <c r="I119" s="40" t="s">
        <v>544</v>
      </c>
      <c r="J119" s="41" t="s">
        <v>317</v>
      </c>
      <c r="K119" s="41" t="s">
        <v>423</v>
      </c>
      <c r="L119" s="57" t="s">
        <v>319</v>
      </c>
      <c r="M119" s="58" t="str">
        <f>Tabla16[[#This Row],[ABR_02]]</f>
        <v>CB</v>
      </c>
      <c r="N119" t="s">
        <v>320</v>
      </c>
      <c r="O119" s="59" t="s">
        <v>318</v>
      </c>
      <c r="P119" t="s">
        <v>321</v>
      </c>
      <c r="Q119" t="s">
        <v>328</v>
      </c>
      <c r="R119" s="60" t="str">
        <f>_xlfn.CONCAT(Tabla16[[#This Row],[ABR_01]],"00",Tabla16[[#This Row],[ABR_02]],Tabla16[[#This Row],[ZONA2]],,"0",Tabla16[[#This Row],[PARADA2]])</f>
        <v>AR00CB1022</v>
      </c>
      <c r="S119" s="60" t="s">
        <v>329</v>
      </c>
      <c r="T119" s="42" t="s">
        <v>324</v>
      </c>
      <c r="U119" s="42" t="s">
        <v>324</v>
      </c>
      <c r="V119" t="s">
        <v>850</v>
      </c>
    </row>
    <row r="120" spans="1:22" x14ac:dyDescent="0.25">
      <c r="A120" s="56" t="s">
        <v>325</v>
      </c>
      <c r="B120" s="38" t="s">
        <v>569</v>
      </c>
      <c r="C120" s="10" t="s">
        <v>570</v>
      </c>
      <c r="D120" s="39" t="s">
        <v>543</v>
      </c>
      <c r="E120" s="16" t="s">
        <v>58</v>
      </c>
      <c r="F120" s="12">
        <v>351</v>
      </c>
      <c r="G120" s="16">
        <v>640</v>
      </c>
      <c r="H120" s="40" t="s">
        <v>315</v>
      </c>
      <c r="I120" s="40" t="s">
        <v>544</v>
      </c>
      <c r="J120" s="41" t="s">
        <v>317</v>
      </c>
      <c r="K120" s="41" t="s">
        <v>426</v>
      </c>
      <c r="L120" s="57" t="s">
        <v>319</v>
      </c>
      <c r="M120" s="58" t="str">
        <f>Tabla16[[#This Row],[ABR_02]]</f>
        <v>CB</v>
      </c>
      <c r="N120" t="s">
        <v>320</v>
      </c>
      <c r="O120" s="59" t="s">
        <v>318</v>
      </c>
      <c r="P120" t="s">
        <v>321</v>
      </c>
      <c r="Q120" t="s">
        <v>328</v>
      </c>
      <c r="R120" s="60" t="str">
        <f>_xlfn.CONCAT(Tabla16[[#This Row],[ABR_01]],"00",Tabla16[[#This Row],[ABR_02]],Tabla16[[#This Row],[ZONA2]],,"0",Tabla16[[#This Row],[PARADA2]])</f>
        <v>AR00CB1023</v>
      </c>
      <c r="S120" s="60" t="s">
        <v>329</v>
      </c>
      <c r="T120" s="42" t="s">
        <v>324</v>
      </c>
      <c r="U120" s="42" t="s">
        <v>324</v>
      </c>
      <c r="V120" t="s">
        <v>850</v>
      </c>
    </row>
    <row r="121" spans="1:22" x14ac:dyDescent="0.25">
      <c r="A121" s="56" t="s">
        <v>325</v>
      </c>
      <c r="B121" s="38" t="s">
        <v>571</v>
      </c>
      <c r="C121" s="10" t="s">
        <v>571</v>
      </c>
      <c r="D121" s="39" t="s">
        <v>543</v>
      </c>
      <c r="E121" s="16" t="s">
        <v>58</v>
      </c>
      <c r="F121" s="12">
        <v>351</v>
      </c>
      <c r="G121" s="16">
        <v>685</v>
      </c>
      <c r="H121" s="40" t="s">
        <v>315</v>
      </c>
      <c r="I121" s="40" t="s">
        <v>544</v>
      </c>
      <c r="J121" s="41" t="s">
        <v>317</v>
      </c>
      <c r="K121" s="41" t="s">
        <v>428</v>
      </c>
      <c r="L121" s="57" t="s">
        <v>319</v>
      </c>
      <c r="M121" s="58" t="str">
        <f>Tabla16[[#This Row],[ABR_02]]</f>
        <v>CB</v>
      </c>
      <c r="N121" t="s">
        <v>320</v>
      </c>
      <c r="O121" s="59" t="s">
        <v>318</v>
      </c>
      <c r="P121" t="s">
        <v>321</v>
      </c>
      <c r="Q121" t="s">
        <v>328</v>
      </c>
      <c r="R121" s="60" t="str">
        <f>_xlfn.CONCAT(Tabla16[[#This Row],[ABR_01]],"00",Tabla16[[#This Row],[ABR_02]],Tabla16[[#This Row],[ZONA2]],,"0",Tabla16[[#This Row],[PARADA2]])</f>
        <v>AR00CB1024</v>
      </c>
      <c r="S121" s="60" t="s">
        <v>329</v>
      </c>
      <c r="T121" s="42" t="s">
        <v>324</v>
      </c>
      <c r="U121" s="42" t="s">
        <v>324</v>
      </c>
      <c r="V121" t="s">
        <v>850</v>
      </c>
    </row>
    <row r="122" spans="1:22" x14ac:dyDescent="0.25">
      <c r="A122" s="56" t="s">
        <v>325</v>
      </c>
      <c r="B122" s="38" t="s">
        <v>572</v>
      </c>
      <c r="C122" s="44" t="s">
        <v>168</v>
      </c>
      <c r="D122" s="39" t="s">
        <v>543</v>
      </c>
      <c r="E122" s="16" t="s">
        <v>58</v>
      </c>
      <c r="F122" s="12">
        <v>351</v>
      </c>
      <c r="G122" s="16">
        <v>675</v>
      </c>
      <c r="H122" s="40" t="s">
        <v>315</v>
      </c>
      <c r="I122" s="40" t="s">
        <v>544</v>
      </c>
      <c r="J122" s="41" t="s">
        <v>317</v>
      </c>
      <c r="K122" s="41" t="s">
        <v>430</v>
      </c>
      <c r="L122" s="57" t="s">
        <v>319</v>
      </c>
      <c r="M122" s="58" t="str">
        <f>Tabla16[[#This Row],[ABR_02]]</f>
        <v>CB</v>
      </c>
      <c r="N122" t="s">
        <v>320</v>
      </c>
      <c r="O122" s="59" t="s">
        <v>318</v>
      </c>
      <c r="P122" t="s">
        <v>321</v>
      </c>
      <c r="Q122" t="s">
        <v>328</v>
      </c>
      <c r="R122" s="60" t="str">
        <f>_xlfn.CONCAT(Tabla16[[#This Row],[ABR_01]],"00",Tabla16[[#This Row],[ABR_02]],Tabla16[[#This Row],[ZONA2]],,"0",Tabla16[[#This Row],[PARADA2]])</f>
        <v>AR00CB1025</v>
      </c>
      <c r="S122" s="60" t="s">
        <v>329</v>
      </c>
      <c r="T122" s="42" t="s">
        <v>324</v>
      </c>
      <c r="U122" s="42" t="s">
        <v>324</v>
      </c>
      <c r="V122" t="s">
        <v>850</v>
      </c>
    </row>
    <row r="123" spans="1:22" x14ac:dyDescent="0.25">
      <c r="A123" s="56" t="s">
        <v>325</v>
      </c>
      <c r="B123" s="38" t="s">
        <v>541</v>
      </c>
      <c r="C123" s="38" t="s">
        <v>542</v>
      </c>
      <c r="D123" s="39" t="s">
        <v>543</v>
      </c>
      <c r="E123" s="16" t="s">
        <v>58</v>
      </c>
      <c r="F123" s="12">
        <v>351</v>
      </c>
      <c r="G123" s="16">
        <v>607</v>
      </c>
      <c r="H123" s="40" t="s">
        <v>315</v>
      </c>
      <c r="I123" s="40" t="s">
        <v>544</v>
      </c>
      <c r="J123" s="41" t="s">
        <v>317</v>
      </c>
      <c r="K123" s="41" t="s">
        <v>318</v>
      </c>
      <c r="L123" s="57" t="s">
        <v>319</v>
      </c>
      <c r="M123" s="58" t="str">
        <f>Tabla16[[#This Row],[ABR_02]]</f>
        <v>CB</v>
      </c>
      <c r="N123" t="s">
        <v>320</v>
      </c>
      <c r="O123" s="59" t="s">
        <v>334</v>
      </c>
      <c r="P123" t="s">
        <v>650</v>
      </c>
      <c r="Q123" t="s">
        <v>320</v>
      </c>
      <c r="R123" s="60" t="str">
        <f>_xlfn.CONCAT(Tabla16[[#This Row],[ABR_01]],"00",Tabla16[[#This Row],[ABR_02]],Tabla16[[#This Row],[ZONA2]],,"0",Tabla16[[#This Row],[PARADA2]])</f>
        <v>AR00CB1001</v>
      </c>
      <c r="S123" s="60" t="s">
        <v>580</v>
      </c>
      <c r="T123" s="42" t="s">
        <v>324</v>
      </c>
      <c r="U123" s="53" t="s">
        <v>324</v>
      </c>
      <c r="V123" t="s">
        <v>851</v>
      </c>
    </row>
    <row r="124" spans="1:22" x14ac:dyDescent="0.25">
      <c r="A124" s="56" t="s">
        <v>325</v>
      </c>
      <c r="B124" s="38" t="s">
        <v>545</v>
      </c>
      <c r="C124" s="38" t="s">
        <v>545</v>
      </c>
      <c r="D124" s="39" t="s">
        <v>543</v>
      </c>
      <c r="E124" s="16" t="s">
        <v>58</v>
      </c>
      <c r="F124" s="12">
        <v>351</v>
      </c>
      <c r="G124" s="16">
        <v>635</v>
      </c>
      <c r="H124" s="40" t="s">
        <v>315</v>
      </c>
      <c r="I124" s="40" t="s">
        <v>544</v>
      </c>
      <c r="J124" s="41" t="s">
        <v>317</v>
      </c>
      <c r="K124" s="41" t="s">
        <v>331</v>
      </c>
      <c r="L124" s="57" t="s">
        <v>319</v>
      </c>
      <c r="M124" s="58" t="str">
        <f>Tabla16[[#This Row],[ABR_02]]</f>
        <v>CB</v>
      </c>
      <c r="N124" t="s">
        <v>320</v>
      </c>
      <c r="O124" s="59" t="s">
        <v>334</v>
      </c>
      <c r="P124" t="s">
        <v>650</v>
      </c>
      <c r="Q124" t="s">
        <v>320</v>
      </c>
      <c r="R124" s="60" t="str">
        <f>_xlfn.CONCAT(Tabla16[[#This Row],[ABR_01]],"00",Tabla16[[#This Row],[ABR_02]],Tabla16[[#This Row],[ZONA2]],,"0",Tabla16[[#This Row],[PARADA2]])</f>
        <v>AR00CB1002</v>
      </c>
      <c r="S124" s="60" t="s">
        <v>580</v>
      </c>
      <c r="T124" s="42" t="s">
        <v>324</v>
      </c>
      <c r="U124" s="53" t="s">
        <v>324</v>
      </c>
      <c r="V124" t="s">
        <v>851</v>
      </c>
    </row>
    <row r="125" spans="1:22" x14ac:dyDescent="0.25">
      <c r="A125" s="56" t="s">
        <v>325</v>
      </c>
      <c r="B125" s="38" t="s">
        <v>546</v>
      </c>
      <c r="C125" s="38" t="s">
        <v>546</v>
      </c>
      <c r="D125" s="39" t="s">
        <v>543</v>
      </c>
      <c r="E125" s="16" t="s">
        <v>58</v>
      </c>
      <c r="F125" s="12">
        <v>351</v>
      </c>
      <c r="G125" s="16">
        <v>725</v>
      </c>
      <c r="H125" s="40" t="s">
        <v>315</v>
      </c>
      <c r="I125" s="40" t="s">
        <v>544</v>
      </c>
      <c r="J125" s="41" t="s">
        <v>317</v>
      </c>
      <c r="K125" s="41" t="s">
        <v>332</v>
      </c>
      <c r="L125" s="57" t="s">
        <v>319</v>
      </c>
      <c r="M125" s="58" t="str">
        <f>Tabla16[[#This Row],[ABR_02]]</f>
        <v>CB</v>
      </c>
      <c r="N125" t="s">
        <v>320</v>
      </c>
      <c r="O125" s="59" t="s">
        <v>334</v>
      </c>
      <c r="P125" t="s">
        <v>650</v>
      </c>
      <c r="Q125" t="s">
        <v>320</v>
      </c>
      <c r="R125" s="60" t="str">
        <f>_xlfn.CONCAT(Tabla16[[#This Row],[ABR_01]],"00",Tabla16[[#This Row],[ABR_02]],Tabla16[[#This Row],[ZONA2]],,"0",Tabla16[[#This Row],[PARADA2]])</f>
        <v>AR00CB1003</v>
      </c>
      <c r="S125" s="60" t="s">
        <v>580</v>
      </c>
      <c r="T125" s="42" t="s">
        <v>324</v>
      </c>
      <c r="U125" s="53" t="s">
        <v>324</v>
      </c>
      <c r="V125" t="s">
        <v>851</v>
      </c>
    </row>
    <row r="126" spans="1:22" x14ac:dyDescent="0.25">
      <c r="A126" s="56" t="s">
        <v>325</v>
      </c>
      <c r="B126" s="38" t="s">
        <v>229</v>
      </c>
      <c r="C126" s="38" t="s">
        <v>229</v>
      </c>
      <c r="D126" s="39" t="s">
        <v>543</v>
      </c>
      <c r="E126" s="16" t="s">
        <v>58</v>
      </c>
      <c r="F126" s="12">
        <v>351</v>
      </c>
      <c r="G126" s="16">
        <v>627</v>
      </c>
      <c r="H126" s="40" t="s">
        <v>315</v>
      </c>
      <c r="I126" s="40" t="s">
        <v>544</v>
      </c>
      <c r="J126" s="41" t="s">
        <v>317</v>
      </c>
      <c r="K126" s="41" t="s">
        <v>334</v>
      </c>
      <c r="L126" s="57" t="s">
        <v>319</v>
      </c>
      <c r="M126" s="58" t="str">
        <f>Tabla16[[#This Row],[ABR_02]]</f>
        <v>CB</v>
      </c>
      <c r="N126" t="s">
        <v>320</v>
      </c>
      <c r="O126" s="59" t="s">
        <v>334</v>
      </c>
      <c r="P126" t="s">
        <v>650</v>
      </c>
      <c r="Q126" t="s">
        <v>320</v>
      </c>
      <c r="R126" s="60" t="str">
        <f>_xlfn.CONCAT(Tabla16[[#This Row],[ABR_01]],"00",Tabla16[[#This Row],[ABR_02]],Tabla16[[#This Row],[ZONA2]],,"0",Tabla16[[#This Row],[PARADA2]])</f>
        <v>AR00CB1004</v>
      </c>
      <c r="S126" s="60" t="s">
        <v>580</v>
      </c>
      <c r="T126" s="42" t="s">
        <v>324</v>
      </c>
      <c r="U126" s="53" t="s">
        <v>324</v>
      </c>
      <c r="V126" t="s">
        <v>851</v>
      </c>
    </row>
    <row r="127" spans="1:22" x14ac:dyDescent="0.25">
      <c r="A127" s="56" t="s">
        <v>325</v>
      </c>
      <c r="B127" s="38" t="s">
        <v>223</v>
      </c>
      <c r="C127" s="46" t="s">
        <v>223</v>
      </c>
      <c r="D127" s="39" t="s">
        <v>543</v>
      </c>
      <c r="E127" s="16" t="s">
        <v>58</v>
      </c>
      <c r="F127" s="12">
        <v>351</v>
      </c>
      <c r="G127" s="16">
        <v>628</v>
      </c>
      <c r="H127" s="40" t="s">
        <v>315</v>
      </c>
      <c r="I127" s="40" t="s">
        <v>544</v>
      </c>
      <c r="J127" s="41" t="s">
        <v>317</v>
      </c>
      <c r="K127" s="41" t="s">
        <v>344</v>
      </c>
      <c r="L127" s="57" t="s">
        <v>319</v>
      </c>
      <c r="M127" s="58" t="str">
        <f>Tabla16[[#This Row],[ABR_02]]</f>
        <v>CB</v>
      </c>
      <c r="N127" t="s">
        <v>320</v>
      </c>
      <c r="O127" s="59" t="s">
        <v>334</v>
      </c>
      <c r="P127" t="s">
        <v>650</v>
      </c>
      <c r="Q127" t="s">
        <v>320</v>
      </c>
      <c r="R127" s="60" t="str">
        <f>_xlfn.CONCAT(Tabla16[[#This Row],[ABR_01]],"00",Tabla16[[#This Row],[ABR_02]],Tabla16[[#This Row],[ZONA2]],,"0",Tabla16[[#This Row],[PARADA2]])</f>
        <v>AR00CB1005</v>
      </c>
      <c r="S127" s="60" t="s">
        <v>580</v>
      </c>
      <c r="T127" s="42" t="s">
        <v>324</v>
      </c>
      <c r="U127" s="53" t="s">
        <v>324</v>
      </c>
      <c r="V127" t="s">
        <v>851</v>
      </c>
    </row>
    <row r="128" spans="1:22" x14ac:dyDescent="0.25">
      <c r="A128" s="56" t="s">
        <v>325</v>
      </c>
      <c r="B128" s="38" t="s">
        <v>547</v>
      </c>
      <c r="C128" s="38" t="s">
        <v>225</v>
      </c>
      <c r="D128" s="39" t="s">
        <v>543</v>
      </c>
      <c r="E128" s="16" t="s">
        <v>58</v>
      </c>
      <c r="F128" s="12">
        <v>351</v>
      </c>
      <c r="G128" s="16">
        <v>605</v>
      </c>
      <c r="H128" s="40" t="s">
        <v>315</v>
      </c>
      <c r="I128" s="40" t="s">
        <v>544</v>
      </c>
      <c r="J128" s="41" t="s">
        <v>317</v>
      </c>
      <c r="K128" s="41" t="s">
        <v>345</v>
      </c>
      <c r="L128" s="57" t="s">
        <v>319</v>
      </c>
      <c r="M128" s="58" t="str">
        <f>Tabla16[[#This Row],[ABR_02]]</f>
        <v>CB</v>
      </c>
      <c r="N128" t="s">
        <v>320</v>
      </c>
      <c r="O128" s="59" t="s">
        <v>334</v>
      </c>
      <c r="P128" t="s">
        <v>650</v>
      </c>
      <c r="Q128" t="s">
        <v>320</v>
      </c>
      <c r="R128" s="60" t="str">
        <f>_xlfn.CONCAT(Tabla16[[#This Row],[ABR_01]],"00",Tabla16[[#This Row],[ABR_02]],Tabla16[[#This Row],[ZONA2]],,"0",Tabla16[[#This Row],[PARADA2]])</f>
        <v>AR00CB1006</v>
      </c>
      <c r="S128" s="60" t="s">
        <v>580</v>
      </c>
      <c r="T128" s="42" t="s">
        <v>324</v>
      </c>
      <c r="U128" s="53" t="s">
        <v>324</v>
      </c>
      <c r="V128" t="s">
        <v>851</v>
      </c>
    </row>
    <row r="129" spans="1:22" x14ac:dyDescent="0.25">
      <c r="A129" s="56" t="s">
        <v>325</v>
      </c>
      <c r="B129" s="38" t="s">
        <v>548</v>
      </c>
      <c r="C129" s="38" t="s">
        <v>548</v>
      </c>
      <c r="D129" s="39" t="s">
        <v>543</v>
      </c>
      <c r="E129" s="16" t="s">
        <v>58</v>
      </c>
      <c r="F129" s="12">
        <v>351</v>
      </c>
      <c r="G129" s="16">
        <v>650</v>
      </c>
      <c r="H129" s="40" t="s">
        <v>315</v>
      </c>
      <c r="I129" s="40" t="s">
        <v>544</v>
      </c>
      <c r="J129" s="41" t="s">
        <v>317</v>
      </c>
      <c r="K129" s="41" t="s">
        <v>347</v>
      </c>
      <c r="L129" s="57" t="s">
        <v>319</v>
      </c>
      <c r="M129" s="58" t="str">
        <f>Tabla16[[#This Row],[ABR_02]]</f>
        <v>CB</v>
      </c>
      <c r="N129" t="s">
        <v>320</v>
      </c>
      <c r="O129" s="59" t="s">
        <v>334</v>
      </c>
      <c r="P129" t="s">
        <v>650</v>
      </c>
      <c r="Q129" t="s">
        <v>320</v>
      </c>
      <c r="R129" s="60" t="str">
        <f>_xlfn.CONCAT(Tabla16[[#This Row],[ABR_01]],"00",Tabla16[[#This Row],[ABR_02]],Tabla16[[#This Row],[ZONA2]],,"0",Tabla16[[#This Row],[PARADA2]])</f>
        <v>AR00CB1007</v>
      </c>
      <c r="S129" s="60" t="s">
        <v>580</v>
      </c>
      <c r="T129" s="42" t="s">
        <v>324</v>
      </c>
      <c r="U129" s="53" t="s">
        <v>324</v>
      </c>
      <c r="V129" t="s">
        <v>851</v>
      </c>
    </row>
    <row r="130" spans="1:22" x14ac:dyDescent="0.25">
      <c r="A130" s="56" t="s">
        <v>325</v>
      </c>
      <c r="B130" s="38" t="s">
        <v>549</v>
      </c>
      <c r="C130" s="46" t="s">
        <v>59</v>
      </c>
      <c r="D130" s="39" t="s">
        <v>543</v>
      </c>
      <c r="E130" s="16" t="s">
        <v>58</v>
      </c>
      <c r="F130" s="12">
        <v>351</v>
      </c>
      <c r="G130" s="16">
        <v>600</v>
      </c>
      <c r="H130" s="40" t="s">
        <v>315</v>
      </c>
      <c r="I130" s="40" t="s">
        <v>544</v>
      </c>
      <c r="J130" s="41" t="s">
        <v>317</v>
      </c>
      <c r="K130" s="41" t="s">
        <v>349</v>
      </c>
      <c r="L130" s="57" t="s">
        <v>319</v>
      </c>
      <c r="M130" s="58" t="str">
        <f>Tabla16[[#This Row],[ABR_02]]</f>
        <v>CB</v>
      </c>
      <c r="N130" t="s">
        <v>320</v>
      </c>
      <c r="O130" s="59" t="s">
        <v>334</v>
      </c>
      <c r="P130" t="s">
        <v>650</v>
      </c>
      <c r="Q130" t="s">
        <v>320</v>
      </c>
      <c r="R130" s="60" t="str">
        <f>_xlfn.CONCAT(Tabla16[[#This Row],[ABR_01]],"00",Tabla16[[#This Row],[ABR_02]],Tabla16[[#This Row],[ZONA2]],,"0",Tabla16[[#This Row],[PARADA2]])</f>
        <v>AR00CB1008</v>
      </c>
      <c r="S130" s="60" t="s">
        <v>580</v>
      </c>
      <c r="T130" s="42" t="s">
        <v>324</v>
      </c>
      <c r="U130" s="53" t="s">
        <v>324</v>
      </c>
      <c r="V130" t="s">
        <v>851</v>
      </c>
    </row>
    <row r="131" spans="1:22" x14ac:dyDescent="0.25">
      <c r="A131" s="56" t="s">
        <v>325</v>
      </c>
      <c r="B131" s="38" t="s">
        <v>550</v>
      </c>
      <c r="C131" s="38" t="s">
        <v>551</v>
      </c>
      <c r="D131" s="39" t="s">
        <v>543</v>
      </c>
      <c r="E131" s="16" t="s">
        <v>58</v>
      </c>
      <c r="F131" s="12">
        <v>351</v>
      </c>
      <c r="G131" s="16">
        <v>680</v>
      </c>
      <c r="H131" s="40" t="s">
        <v>315</v>
      </c>
      <c r="I131" s="40" t="s">
        <v>544</v>
      </c>
      <c r="J131" s="41" t="s">
        <v>317</v>
      </c>
      <c r="K131" s="41" t="s">
        <v>393</v>
      </c>
      <c r="L131" s="57" t="s">
        <v>319</v>
      </c>
      <c r="M131" s="58" t="str">
        <f>Tabla16[[#This Row],[ABR_02]]</f>
        <v>CB</v>
      </c>
      <c r="N131" t="s">
        <v>320</v>
      </c>
      <c r="O131" s="59" t="s">
        <v>334</v>
      </c>
      <c r="P131" t="s">
        <v>650</v>
      </c>
      <c r="Q131" t="s">
        <v>320</v>
      </c>
      <c r="R131" s="60" t="str">
        <f>_xlfn.CONCAT(Tabla16[[#This Row],[ABR_01]],"00",Tabla16[[#This Row],[ABR_02]],Tabla16[[#This Row],[ZONA2]],,"0",Tabla16[[#This Row],[PARADA2]])</f>
        <v>AR00CB1009</v>
      </c>
      <c r="S131" s="60" t="s">
        <v>580</v>
      </c>
      <c r="T131" s="42" t="s">
        <v>324</v>
      </c>
      <c r="U131" s="53" t="s">
        <v>324</v>
      </c>
      <c r="V131" t="s">
        <v>851</v>
      </c>
    </row>
    <row r="132" spans="1:22" x14ac:dyDescent="0.25">
      <c r="A132" s="56" t="s">
        <v>325</v>
      </c>
      <c r="B132" s="38" t="s">
        <v>552</v>
      </c>
      <c r="C132" s="38" t="s">
        <v>552</v>
      </c>
      <c r="D132" s="39" t="s">
        <v>543</v>
      </c>
      <c r="E132" s="16" t="s">
        <v>58</v>
      </c>
      <c r="F132" s="12">
        <v>351</v>
      </c>
      <c r="G132" s="16">
        <v>610</v>
      </c>
      <c r="H132" s="40" t="s">
        <v>315</v>
      </c>
      <c r="I132" s="40" t="s">
        <v>544</v>
      </c>
      <c r="J132" s="41" t="s">
        <v>317</v>
      </c>
      <c r="K132" s="41" t="s">
        <v>395</v>
      </c>
      <c r="L132" s="57" t="s">
        <v>319</v>
      </c>
      <c r="M132" s="58" t="str">
        <f>Tabla16[[#This Row],[ABR_02]]</f>
        <v>CB</v>
      </c>
      <c r="N132" t="s">
        <v>320</v>
      </c>
      <c r="O132" s="59" t="s">
        <v>334</v>
      </c>
      <c r="P132" t="s">
        <v>650</v>
      </c>
      <c r="Q132" t="s">
        <v>320</v>
      </c>
      <c r="R132" s="60" t="str">
        <f>_xlfn.CONCAT(Tabla16[[#This Row],[ABR_01]],"00",Tabla16[[#This Row],[ABR_02]],Tabla16[[#This Row],[ZONA2]],,"0",Tabla16[[#This Row],[PARADA2]])</f>
        <v>AR00CB1010</v>
      </c>
      <c r="S132" s="60" t="s">
        <v>580</v>
      </c>
      <c r="T132" s="42" t="s">
        <v>324</v>
      </c>
      <c r="U132" s="53" t="s">
        <v>324</v>
      </c>
      <c r="V132" t="s">
        <v>851</v>
      </c>
    </row>
    <row r="133" spans="1:22" x14ac:dyDescent="0.25">
      <c r="A133" s="56" t="s">
        <v>325</v>
      </c>
      <c r="B133" s="38" t="s">
        <v>553</v>
      </c>
      <c r="C133" s="38" t="s">
        <v>553</v>
      </c>
      <c r="D133" s="39" t="s">
        <v>543</v>
      </c>
      <c r="E133" s="16" t="s">
        <v>58</v>
      </c>
      <c r="F133" s="12">
        <v>351</v>
      </c>
      <c r="G133" s="16">
        <v>670</v>
      </c>
      <c r="H133" s="40" t="s">
        <v>315</v>
      </c>
      <c r="I133" s="40" t="s">
        <v>544</v>
      </c>
      <c r="J133" s="41" t="s">
        <v>317</v>
      </c>
      <c r="K133" s="41" t="s">
        <v>397</v>
      </c>
      <c r="L133" s="57" t="s">
        <v>319</v>
      </c>
      <c r="M133" s="58" t="str">
        <f>Tabla16[[#This Row],[ABR_02]]</f>
        <v>CB</v>
      </c>
      <c r="N133" t="s">
        <v>320</v>
      </c>
      <c r="O133" s="59" t="s">
        <v>334</v>
      </c>
      <c r="P133" t="s">
        <v>650</v>
      </c>
      <c r="Q133" t="s">
        <v>320</v>
      </c>
      <c r="R133" s="60" t="str">
        <f>_xlfn.CONCAT(Tabla16[[#This Row],[ABR_01]],"00",Tabla16[[#This Row],[ABR_02]],Tabla16[[#This Row],[ZONA2]],,"0",Tabla16[[#This Row],[PARADA2]])</f>
        <v>AR00CB1011</v>
      </c>
      <c r="S133" s="60" t="s">
        <v>580</v>
      </c>
      <c r="T133" s="42" t="s">
        <v>324</v>
      </c>
      <c r="U133" s="53" t="s">
        <v>324</v>
      </c>
      <c r="V133" t="s">
        <v>851</v>
      </c>
    </row>
    <row r="134" spans="1:22" x14ac:dyDescent="0.25">
      <c r="A134" s="56" t="s">
        <v>325</v>
      </c>
      <c r="B134" s="38" t="s">
        <v>554</v>
      </c>
      <c r="C134" s="38" t="s">
        <v>554</v>
      </c>
      <c r="D134" s="39" t="s">
        <v>543</v>
      </c>
      <c r="E134" s="16" t="s">
        <v>58</v>
      </c>
      <c r="F134" s="12">
        <v>351</v>
      </c>
      <c r="G134" s="16">
        <v>645</v>
      </c>
      <c r="H134" s="40" t="s">
        <v>315</v>
      </c>
      <c r="I134" s="40" t="s">
        <v>544</v>
      </c>
      <c r="J134" s="41" t="s">
        <v>317</v>
      </c>
      <c r="K134" s="41" t="s">
        <v>399</v>
      </c>
      <c r="L134" s="57" t="s">
        <v>319</v>
      </c>
      <c r="M134" s="58" t="str">
        <f>Tabla16[[#This Row],[ABR_02]]</f>
        <v>CB</v>
      </c>
      <c r="N134" t="s">
        <v>320</v>
      </c>
      <c r="O134" s="59" t="s">
        <v>334</v>
      </c>
      <c r="P134" t="s">
        <v>650</v>
      </c>
      <c r="Q134" t="s">
        <v>320</v>
      </c>
      <c r="R134" s="60" t="str">
        <f>_xlfn.CONCAT(Tabla16[[#This Row],[ABR_01]],"00",Tabla16[[#This Row],[ABR_02]],Tabla16[[#This Row],[ZONA2]],,"0",Tabla16[[#This Row],[PARADA2]])</f>
        <v>AR00CB1012</v>
      </c>
      <c r="S134" s="60" t="s">
        <v>580</v>
      </c>
      <c r="T134" s="42" t="s">
        <v>324</v>
      </c>
      <c r="U134" s="53" t="s">
        <v>324</v>
      </c>
      <c r="V134" t="s">
        <v>851</v>
      </c>
    </row>
    <row r="135" spans="1:22" x14ac:dyDescent="0.25">
      <c r="A135" s="56" t="s">
        <v>325</v>
      </c>
      <c r="B135" s="38" t="s">
        <v>555</v>
      </c>
      <c r="C135" s="38" t="s">
        <v>555</v>
      </c>
      <c r="D135" s="39" t="s">
        <v>543</v>
      </c>
      <c r="E135" s="16" t="s">
        <v>58</v>
      </c>
      <c r="F135" s="12">
        <v>351</v>
      </c>
      <c r="G135" s="16">
        <v>660</v>
      </c>
      <c r="H135" s="40" t="s">
        <v>315</v>
      </c>
      <c r="I135" s="40" t="s">
        <v>544</v>
      </c>
      <c r="J135" s="41" t="s">
        <v>317</v>
      </c>
      <c r="K135" s="41" t="s">
        <v>401</v>
      </c>
      <c r="L135" s="57" t="s">
        <v>319</v>
      </c>
      <c r="M135" s="58" t="str">
        <f>Tabla16[[#This Row],[ABR_02]]</f>
        <v>CB</v>
      </c>
      <c r="N135" t="s">
        <v>320</v>
      </c>
      <c r="O135" s="59" t="s">
        <v>334</v>
      </c>
      <c r="P135" t="s">
        <v>650</v>
      </c>
      <c r="Q135" t="s">
        <v>320</v>
      </c>
      <c r="R135" s="60" t="str">
        <f>_xlfn.CONCAT(Tabla16[[#This Row],[ABR_01]],"00",Tabla16[[#This Row],[ABR_02]],Tabla16[[#This Row],[ZONA2]],,"0",Tabla16[[#This Row],[PARADA2]])</f>
        <v>AR00CB1013</v>
      </c>
      <c r="S135" s="60" t="s">
        <v>580</v>
      </c>
      <c r="T135" s="42" t="s">
        <v>324</v>
      </c>
      <c r="U135" s="53" t="s">
        <v>324</v>
      </c>
      <c r="V135" t="s">
        <v>851</v>
      </c>
    </row>
    <row r="136" spans="1:22" x14ac:dyDescent="0.25">
      <c r="A136" s="56" t="s">
        <v>325</v>
      </c>
      <c r="B136" s="38" t="s">
        <v>556</v>
      </c>
      <c r="C136" s="38" t="s">
        <v>556</v>
      </c>
      <c r="D136" s="39" t="s">
        <v>543</v>
      </c>
      <c r="E136" s="16" t="s">
        <v>58</v>
      </c>
      <c r="F136" s="12">
        <v>351</v>
      </c>
      <c r="G136" s="16">
        <v>625</v>
      </c>
      <c r="H136" s="40" t="s">
        <v>315</v>
      </c>
      <c r="I136" s="40" t="s">
        <v>544</v>
      </c>
      <c r="J136" s="41" t="s">
        <v>317</v>
      </c>
      <c r="K136" s="41" t="s">
        <v>404</v>
      </c>
      <c r="L136" s="57" t="s">
        <v>319</v>
      </c>
      <c r="M136" s="58" t="str">
        <f>Tabla16[[#This Row],[ABR_02]]</f>
        <v>CB</v>
      </c>
      <c r="N136" t="s">
        <v>320</v>
      </c>
      <c r="O136" s="59" t="s">
        <v>334</v>
      </c>
      <c r="P136" t="s">
        <v>650</v>
      </c>
      <c r="Q136" t="s">
        <v>320</v>
      </c>
      <c r="R136" s="60" t="str">
        <f>_xlfn.CONCAT(Tabla16[[#This Row],[ABR_01]],"00",Tabla16[[#This Row],[ABR_02]],Tabla16[[#This Row],[ZONA2]],,"0",Tabla16[[#This Row],[PARADA2]])</f>
        <v>AR00CB1014</v>
      </c>
      <c r="S136" s="60" t="s">
        <v>580</v>
      </c>
      <c r="T136" s="42" t="s">
        <v>324</v>
      </c>
      <c r="U136" s="53" t="s">
        <v>324</v>
      </c>
      <c r="V136" t="s">
        <v>851</v>
      </c>
    </row>
    <row r="137" spans="1:22" x14ac:dyDescent="0.25">
      <c r="A137" s="56" t="s">
        <v>325</v>
      </c>
      <c r="B137" s="38" t="s">
        <v>557</v>
      </c>
      <c r="C137" s="38" t="s">
        <v>557</v>
      </c>
      <c r="D137" s="39" t="s">
        <v>543</v>
      </c>
      <c r="E137" s="16" t="s">
        <v>58</v>
      </c>
      <c r="F137" s="12">
        <v>351</v>
      </c>
      <c r="G137" s="16">
        <v>655</v>
      </c>
      <c r="H137" s="40" t="s">
        <v>315</v>
      </c>
      <c r="I137" s="40" t="s">
        <v>544</v>
      </c>
      <c r="J137" s="41" t="s">
        <v>317</v>
      </c>
      <c r="K137" s="41" t="s">
        <v>407</v>
      </c>
      <c r="L137" s="57" t="s">
        <v>319</v>
      </c>
      <c r="M137" s="58" t="str">
        <f>Tabla16[[#This Row],[ABR_02]]</f>
        <v>CB</v>
      </c>
      <c r="N137" t="s">
        <v>320</v>
      </c>
      <c r="O137" s="59" t="s">
        <v>334</v>
      </c>
      <c r="P137" t="s">
        <v>650</v>
      </c>
      <c r="Q137" t="s">
        <v>320</v>
      </c>
      <c r="R137" s="60" t="str">
        <f>_xlfn.CONCAT(Tabla16[[#This Row],[ABR_01]],"00",Tabla16[[#This Row],[ABR_02]],Tabla16[[#This Row],[ZONA2]],,"0",Tabla16[[#This Row],[PARADA2]])</f>
        <v>AR00CB1015</v>
      </c>
      <c r="S137" s="60" t="s">
        <v>580</v>
      </c>
      <c r="T137" s="42" t="s">
        <v>324</v>
      </c>
      <c r="U137" s="53" t="s">
        <v>324</v>
      </c>
      <c r="V137" t="s">
        <v>851</v>
      </c>
    </row>
    <row r="138" spans="1:22" x14ac:dyDescent="0.25">
      <c r="A138" s="56" t="s">
        <v>325</v>
      </c>
      <c r="B138" s="38" t="s">
        <v>558</v>
      </c>
      <c r="C138" s="38" t="s">
        <v>559</v>
      </c>
      <c r="D138" s="39" t="s">
        <v>543</v>
      </c>
      <c r="E138" s="16" t="s">
        <v>58</v>
      </c>
      <c r="F138" s="12">
        <v>351</v>
      </c>
      <c r="G138" s="16">
        <v>620</v>
      </c>
      <c r="H138" s="40" t="s">
        <v>315</v>
      </c>
      <c r="I138" s="40" t="s">
        <v>544</v>
      </c>
      <c r="J138" s="41" t="s">
        <v>317</v>
      </c>
      <c r="K138" s="41" t="s">
        <v>409</v>
      </c>
      <c r="L138" s="57" t="s">
        <v>319</v>
      </c>
      <c r="M138" s="58" t="str">
        <f>Tabla16[[#This Row],[ABR_02]]</f>
        <v>CB</v>
      </c>
      <c r="N138" t="s">
        <v>320</v>
      </c>
      <c r="O138" s="59" t="s">
        <v>334</v>
      </c>
      <c r="P138" t="s">
        <v>650</v>
      </c>
      <c r="Q138" t="s">
        <v>320</v>
      </c>
      <c r="R138" s="60" t="str">
        <f>_xlfn.CONCAT(Tabla16[[#This Row],[ABR_01]],"00",Tabla16[[#This Row],[ABR_02]],Tabla16[[#This Row],[ZONA2]],,"0",Tabla16[[#This Row],[PARADA2]])</f>
        <v>AR00CB1016</v>
      </c>
      <c r="S138" s="60" t="s">
        <v>580</v>
      </c>
      <c r="T138" s="42" t="s">
        <v>324</v>
      </c>
      <c r="U138" s="53" t="s">
        <v>324</v>
      </c>
      <c r="V138" t="s">
        <v>851</v>
      </c>
    </row>
    <row r="139" spans="1:22" x14ac:dyDescent="0.25">
      <c r="A139" s="56" t="s">
        <v>325</v>
      </c>
      <c r="B139" s="38" t="s">
        <v>560</v>
      </c>
      <c r="C139" s="38" t="s">
        <v>119</v>
      </c>
      <c r="D139" s="39" t="s">
        <v>543</v>
      </c>
      <c r="E139" s="16" t="s">
        <v>58</v>
      </c>
      <c r="F139" s="12">
        <v>351</v>
      </c>
      <c r="G139" s="16">
        <v>662</v>
      </c>
      <c r="H139" s="40" t="s">
        <v>315</v>
      </c>
      <c r="I139" s="40" t="s">
        <v>544</v>
      </c>
      <c r="J139" s="41" t="s">
        <v>317</v>
      </c>
      <c r="K139" s="41" t="s">
        <v>412</v>
      </c>
      <c r="L139" s="57" t="s">
        <v>319</v>
      </c>
      <c r="M139" s="58" t="str">
        <f>Tabla16[[#This Row],[ABR_02]]</f>
        <v>CB</v>
      </c>
      <c r="N139" t="s">
        <v>320</v>
      </c>
      <c r="O139" s="59" t="s">
        <v>334</v>
      </c>
      <c r="P139" t="s">
        <v>650</v>
      </c>
      <c r="Q139" t="s">
        <v>320</v>
      </c>
      <c r="R139" s="60" t="str">
        <f>_xlfn.CONCAT(Tabla16[[#This Row],[ABR_01]],"00",Tabla16[[#This Row],[ABR_02]],Tabla16[[#This Row],[ZONA2]],,"0",Tabla16[[#This Row],[PARADA2]])</f>
        <v>AR00CB1017</v>
      </c>
      <c r="S139" s="60" t="s">
        <v>580</v>
      </c>
      <c r="T139" s="42" t="s">
        <v>324</v>
      </c>
      <c r="U139" s="53" t="s">
        <v>324</v>
      </c>
      <c r="V139" t="s">
        <v>851</v>
      </c>
    </row>
    <row r="140" spans="1:22" x14ac:dyDescent="0.25">
      <c r="A140" s="56" t="s">
        <v>325</v>
      </c>
      <c r="B140" s="38" t="s">
        <v>561</v>
      </c>
      <c r="C140" s="38" t="s">
        <v>227</v>
      </c>
      <c r="D140" s="39" t="s">
        <v>543</v>
      </c>
      <c r="E140" s="16" t="s">
        <v>58</v>
      </c>
      <c r="F140" s="12">
        <v>351</v>
      </c>
      <c r="G140" s="16">
        <v>665</v>
      </c>
      <c r="H140" s="40" t="s">
        <v>315</v>
      </c>
      <c r="I140" s="40" t="s">
        <v>544</v>
      </c>
      <c r="J140" s="41" t="s">
        <v>317</v>
      </c>
      <c r="K140" s="41" t="s">
        <v>414</v>
      </c>
      <c r="L140" s="57" t="s">
        <v>319</v>
      </c>
      <c r="M140" s="58" t="str">
        <f>Tabla16[[#This Row],[ABR_02]]</f>
        <v>CB</v>
      </c>
      <c r="N140" t="s">
        <v>320</v>
      </c>
      <c r="O140" s="59" t="s">
        <v>334</v>
      </c>
      <c r="P140" t="s">
        <v>650</v>
      </c>
      <c r="Q140" t="s">
        <v>320</v>
      </c>
      <c r="R140" s="60" t="str">
        <f>_xlfn.CONCAT(Tabla16[[#This Row],[ABR_01]],"00",Tabla16[[#This Row],[ABR_02]],Tabla16[[#This Row],[ZONA2]],,"0",Tabla16[[#This Row],[PARADA2]])</f>
        <v>AR00CB1018</v>
      </c>
      <c r="S140" s="60" t="s">
        <v>580</v>
      </c>
      <c r="T140" s="42" t="s">
        <v>324</v>
      </c>
      <c r="U140" s="53" t="s">
        <v>324</v>
      </c>
      <c r="V140" t="s">
        <v>851</v>
      </c>
    </row>
    <row r="141" spans="1:22" x14ac:dyDescent="0.25">
      <c r="A141" s="56" t="s">
        <v>325</v>
      </c>
      <c r="B141" s="38" t="s">
        <v>562</v>
      </c>
      <c r="C141" s="38" t="s">
        <v>563</v>
      </c>
      <c r="D141" s="39" t="s">
        <v>543</v>
      </c>
      <c r="E141" s="16" t="s">
        <v>58</v>
      </c>
      <c r="F141" s="12">
        <v>351</v>
      </c>
      <c r="G141" s="16">
        <v>720</v>
      </c>
      <c r="H141" s="40" t="s">
        <v>315</v>
      </c>
      <c r="I141" s="40" t="s">
        <v>544</v>
      </c>
      <c r="J141" s="41" t="s">
        <v>317</v>
      </c>
      <c r="K141" s="41" t="s">
        <v>417</v>
      </c>
      <c r="L141" s="57" t="s">
        <v>319</v>
      </c>
      <c r="M141" s="58" t="str">
        <f>Tabla16[[#This Row],[ABR_02]]</f>
        <v>CB</v>
      </c>
      <c r="N141" t="s">
        <v>320</v>
      </c>
      <c r="O141" s="59" t="s">
        <v>334</v>
      </c>
      <c r="P141" t="s">
        <v>650</v>
      </c>
      <c r="Q141" t="s">
        <v>320</v>
      </c>
      <c r="R141" s="60" t="str">
        <f>_xlfn.CONCAT(Tabla16[[#This Row],[ABR_01]],"00",Tabla16[[#This Row],[ABR_02]],Tabla16[[#This Row],[ZONA2]],,"0",Tabla16[[#This Row],[PARADA2]])</f>
        <v>AR00CB1019</v>
      </c>
      <c r="S141" s="60" t="s">
        <v>580</v>
      </c>
      <c r="T141" s="42" t="s">
        <v>324</v>
      </c>
      <c r="U141" s="53" t="s">
        <v>324</v>
      </c>
      <c r="V141" t="s">
        <v>851</v>
      </c>
    </row>
    <row r="142" spans="1:22" x14ac:dyDescent="0.25">
      <c r="A142" s="56" t="s">
        <v>325</v>
      </c>
      <c r="B142" s="38" t="s">
        <v>564</v>
      </c>
      <c r="C142" s="38" t="s">
        <v>564</v>
      </c>
      <c r="D142" s="39" t="s">
        <v>543</v>
      </c>
      <c r="E142" s="16" t="s">
        <v>58</v>
      </c>
      <c r="F142" s="12">
        <v>351</v>
      </c>
      <c r="G142" s="16">
        <v>657</v>
      </c>
      <c r="H142" s="40" t="s">
        <v>315</v>
      </c>
      <c r="I142" s="40" t="s">
        <v>544</v>
      </c>
      <c r="J142" s="41" t="s">
        <v>317</v>
      </c>
      <c r="K142" s="41" t="s">
        <v>419</v>
      </c>
      <c r="L142" s="57" t="s">
        <v>319</v>
      </c>
      <c r="M142" s="58" t="str">
        <f>Tabla16[[#This Row],[ABR_02]]</f>
        <v>CB</v>
      </c>
      <c r="N142" t="s">
        <v>320</v>
      </c>
      <c r="O142" s="59" t="s">
        <v>334</v>
      </c>
      <c r="P142" t="s">
        <v>650</v>
      </c>
      <c r="Q142" t="s">
        <v>320</v>
      </c>
      <c r="R142" s="60" t="str">
        <f>_xlfn.CONCAT(Tabla16[[#This Row],[ABR_01]],"00",Tabla16[[#This Row],[ABR_02]],Tabla16[[#This Row],[ZONA2]],,"0",Tabla16[[#This Row],[PARADA2]])</f>
        <v>AR00CB1020</v>
      </c>
      <c r="S142" s="60" t="s">
        <v>580</v>
      </c>
      <c r="T142" s="42" t="s">
        <v>324</v>
      </c>
      <c r="U142" s="53" t="s">
        <v>324</v>
      </c>
      <c r="V142" t="s">
        <v>851</v>
      </c>
    </row>
    <row r="143" spans="1:22" x14ac:dyDescent="0.25">
      <c r="A143" s="56" t="s">
        <v>325</v>
      </c>
      <c r="B143" s="38" t="s">
        <v>565</v>
      </c>
      <c r="C143" s="10" t="s">
        <v>566</v>
      </c>
      <c r="D143" s="39" t="s">
        <v>543</v>
      </c>
      <c r="E143" s="16" t="s">
        <v>58</v>
      </c>
      <c r="F143" s="12">
        <v>351</v>
      </c>
      <c r="G143" s="16">
        <v>630</v>
      </c>
      <c r="H143" s="40" t="s">
        <v>315</v>
      </c>
      <c r="I143" s="40" t="s">
        <v>544</v>
      </c>
      <c r="J143" s="41" t="s">
        <v>317</v>
      </c>
      <c r="K143" s="41" t="s">
        <v>421</v>
      </c>
      <c r="L143" s="57" t="s">
        <v>319</v>
      </c>
      <c r="M143" s="58" t="str">
        <f>Tabla16[[#This Row],[ABR_02]]</f>
        <v>CB</v>
      </c>
      <c r="N143" t="s">
        <v>320</v>
      </c>
      <c r="O143" s="59" t="s">
        <v>334</v>
      </c>
      <c r="P143" t="s">
        <v>650</v>
      </c>
      <c r="Q143" t="s">
        <v>320</v>
      </c>
      <c r="R143" s="60" t="str">
        <f>_xlfn.CONCAT(Tabla16[[#This Row],[ABR_01]],"00",Tabla16[[#This Row],[ABR_02]],Tabla16[[#This Row],[ZONA2]],,"0",Tabla16[[#This Row],[PARADA2]])</f>
        <v>AR00CB1021</v>
      </c>
      <c r="S143" s="60" t="s">
        <v>580</v>
      </c>
      <c r="T143" s="42" t="s">
        <v>324</v>
      </c>
      <c r="U143" s="53" t="s">
        <v>324</v>
      </c>
      <c r="V143" t="s">
        <v>851</v>
      </c>
    </row>
    <row r="144" spans="1:22" x14ac:dyDescent="0.25">
      <c r="A144" s="56" t="s">
        <v>325</v>
      </c>
      <c r="B144" s="38" t="s">
        <v>567</v>
      </c>
      <c r="C144" s="10" t="s">
        <v>568</v>
      </c>
      <c r="D144" s="39" t="s">
        <v>543</v>
      </c>
      <c r="E144" s="16" t="s">
        <v>58</v>
      </c>
      <c r="F144" s="12">
        <v>351</v>
      </c>
      <c r="G144" s="16">
        <v>615</v>
      </c>
      <c r="H144" s="40" t="s">
        <v>315</v>
      </c>
      <c r="I144" s="40" t="s">
        <v>544</v>
      </c>
      <c r="J144" s="41" t="s">
        <v>317</v>
      </c>
      <c r="K144" s="41" t="s">
        <v>423</v>
      </c>
      <c r="L144" s="57" t="s">
        <v>319</v>
      </c>
      <c r="M144" s="58" t="str">
        <f>Tabla16[[#This Row],[ABR_02]]</f>
        <v>CB</v>
      </c>
      <c r="N144" t="s">
        <v>320</v>
      </c>
      <c r="O144" s="59" t="s">
        <v>334</v>
      </c>
      <c r="P144" t="s">
        <v>650</v>
      </c>
      <c r="Q144" t="s">
        <v>320</v>
      </c>
      <c r="R144" s="60" t="str">
        <f>_xlfn.CONCAT(Tabla16[[#This Row],[ABR_01]],"00",Tabla16[[#This Row],[ABR_02]],Tabla16[[#This Row],[ZONA2]],,"0",Tabla16[[#This Row],[PARADA2]])</f>
        <v>AR00CB1022</v>
      </c>
      <c r="S144" s="60" t="s">
        <v>580</v>
      </c>
      <c r="T144" s="42" t="s">
        <v>324</v>
      </c>
      <c r="U144" s="53" t="s">
        <v>324</v>
      </c>
      <c r="V144" t="s">
        <v>851</v>
      </c>
    </row>
    <row r="145" spans="1:22" x14ac:dyDescent="0.25">
      <c r="A145" s="56" t="s">
        <v>325</v>
      </c>
      <c r="B145" s="38" t="s">
        <v>569</v>
      </c>
      <c r="C145" s="10" t="s">
        <v>570</v>
      </c>
      <c r="D145" s="39" t="s">
        <v>543</v>
      </c>
      <c r="E145" s="16" t="s">
        <v>58</v>
      </c>
      <c r="F145" s="12">
        <v>351</v>
      </c>
      <c r="G145" s="16">
        <v>640</v>
      </c>
      <c r="H145" s="40" t="s">
        <v>315</v>
      </c>
      <c r="I145" s="40" t="s">
        <v>544</v>
      </c>
      <c r="J145" s="41" t="s">
        <v>317</v>
      </c>
      <c r="K145" s="41" t="s">
        <v>426</v>
      </c>
      <c r="L145" s="57" t="s">
        <v>319</v>
      </c>
      <c r="M145" s="58" t="str">
        <f>Tabla16[[#This Row],[ABR_02]]</f>
        <v>CB</v>
      </c>
      <c r="N145" t="s">
        <v>320</v>
      </c>
      <c r="O145" s="59" t="s">
        <v>334</v>
      </c>
      <c r="P145" t="s">
        <v>650</v>
      </c>
      <c r="Q145" t="s">
        <v>320</v>
      </c>
      <c r="R145" s="60" t="str">
        <f>_xlfn.CONCAT(Tabla16[[#This Row],[ABR_01]],"00",Tabla16[[#This Row],[ABR_02]],Tabla16[[#This Row],[ZONA2]],,"0",Tabla16[[#This Row],[PARADA2]])</f>
        <v>AR00CB1023</v>
      </c>
      <c r="S145" s="60" t="s">
        <v>580</v>
      </c>
      <c r="T145" s="42" t="s">
        <v>324</v>
      </c>
      <c r="U145" s="53" t="s">
        <v>324</v>
      </c>
      <c r="V145" t="s">
        <v>851</v>
      </c>
    </row>
    <row r="146" spans="1:22" x14ac:dyDescent="0.25">
      <c r="A146" s="56" t="s">
        <v>325</v>
      </c>
      <c r="B146" s="38" t="s">
        <v>571</v>
      </c>
      <c r="C146" s="10" t="s">
        <v>571</v>
      </c>
      <c r="D146" s="39" t="s">
        <v>543</v>
      </c>
      <c r="E146" s="16" t="s">
        <v>58</v>
      </c>
      <c r="F146" s="12">
        <v>351</v>
      </c>
      <c r="G146" s="16">
        <v>685</v>
      </c>
      <c r="H146" s="40" t="s">
        <v>315</v>
      </c>
      <c r="I146" s="40" t="s">
        <v>544</v>
      </c>
      <c r="J146" s="41" t="s">
        <v>317</v>
      </c>
      <c r="K146" s="41" t="s">
        <v>428</v>
      </c>
      <c r="L146" s="57" t="s">
        <v>319</v>
      </c>
      <c r="M146" s="58" t="str">
        <f>Tabla16[[#This Row],[ABR_02]]</f>
        <v>CB</v>
      </c>
      <c r="N146" t="s">
        <v>320</v>
      </c>
      <c r="O146" s="59" t="s">
        <v>334</v>
      </c>
      <c r="P146" t="s">
        <v>650</v>
      </c>
      <c r="Q146" t="s">
        <v>320</v>
      </c>
      <c r="R146" s="60" t="str">
        <f>_xlfn.CONCAT(Tabla16[[#This Row],[ABR_01]],"00",Tabla16[[#This Row],[ABR_02]],Tabla16[[#This Row],[ZONA2]],,"0",Tabla16[[#This Row],[PARADA2]])</f>
        <v>AR00CB1024</v>
      </c>
      <c r="S146" s="60" t="s">
        <v>580</v>
      </c>
      <c r="T146" s="42" t="s">
        <v>324</v>
      </c>
      <c r="U146" s="53" t="s">
        <v>324</v>
      </c>
      <c r="V146" t="s">
        <v>851</v>
      </c>
    </row>
    <row r="147" spans="1:22" x14ac:dyDescent="0.25">
      <c r="A147" s="56" t="s">
        <v>325</v>
      </c>
      <c r="B147" s="38" t="s">
        <v>572</v>
      </c>
      <c r="C147" s="44" t="s">
        <v>168</v>
      </c>
      <c r="D147" s="39" t="s">
        <v>543</v>
      </c>
      <c r="E147" s="16" t="s">
        <v>58</v>
      </c>
      <c r="F147" s="12">
        <v>351</v>
      </c>
      <c r="G147" s="16">
        <v>675</v>
      </c>
      <c r="H147" s="40" t="s">
        <v>315</v>
      </c>
      <c r="I147" s="40" t="s">
        <v>544</v>
      </c>
      <c r="J147" s="41" t="s">
        <v>317</v>
      </c>
      <c r="K147" s="41" t="s">
        <v>430</v>
      </c>
      <c r="L147" s="57" t="s">
        <v>319</v>
      </c>
      <c r="M147" s="58" t="str">
        <f>Tabla16[[#This Row],[ABR_02]]</f>
        <v>CB</v>
      </c>
      <c r="N147" t="s">
        <v>320</v>
      </c>
      <c r="O147" s="59" t="s">
        <v>334</v>
      </c>
      <c r="P147" t="s">
        <v>650</v>
      </c>
      <c r="Q147" t="s">
        <v>320</v>
      </c>
      <c r="R147" s="60" t="str">
        <f>_xlfn.CONCAT(Tabla16[[#This Row],[ABR_01]],"00",Tabla16[[#This Row],[ABR_02]],Tabla16[[#This Row],[ZONA2]],,"0",Tabla16[[#This Row],[PARADA2]])</f>
        <v>AR00CB1025</v>
      </c>
      <c r="S147" s="60" t="s">
        <v>580</v>
      </c>
      <c r="T147" s="42" t="s">
        <v>324</v>
      </c>
      <c r="U147" s="53" t="s">
        <v>324</v>
      </c>
      <c r="V147" t="s">
        <v>851</v>
      </c>
    </row>
    <row r="148" spans="1:22" x14ac:dyDescent="0.25">
      <c r="A148" s="56" t="s">
        <v>325</v>
      </c>
      <c r="B148" s="38" t="s">
        <v>535</v>
      </c>
      <c r="C148" s="44" t="s">
        <v>245</v>
      </c>
      <c r="D148" s="39" t="s">
        <v>536</v>
      </c>
      <c r="E148" s="16" t="s">
        <v>70</v>
      </c>
      <c r="F148" s="12">
        <v>361</v>
      </c>
      <c r="G148" s="16">
        <v>330</v>
      </c>
      <c r="H148" s="40" t="s">
        <v>315</v>
      </c>
      <c r="I148" s="40" t="s">
        <v>537</v>
      </c>
      <c r="J148" s="41" t="s">
        <v>317</v>
      </c>
      <c r="K148" s="41" t="s">
        <v>318</v>
      </c>
      <c r="L148" s="57" t="s">
        <v>319</v>
      </c>
      <c r="M148" s="58" t="str">
        <f>Tabla16[[#This Row],[ABR_02]]</f>
        <v>CR</v>
      </c>
      <c r="N148" t="s">
        <v>320</v>
      </c>
      <c r="O148" s="59" t="s">
        <v>318</v>
      </c>
      <c r="P148" t="s">
        <v>321</v>
      </c>
      <c r="Q148" t="s">
        <v>328</v>
      </c>
      <c r="R148" s="60" t="str">
        <f>_xlfn.CONCAT(Tabla16[[#This Row],[ABR_01]],"00",Tabla16[[#This Row],[ABR_02]],Tabla16[[#This Row],[ZONA2]],,"0",Tabla16[[#This Row],[PARADA2]])</f>
        <v>AR00CR1001</v>
      </c>
      <c r="S148" s="60" t="s">
        <v>329</v>
      </c>
      <c r="T148" s="42" t="s">
        <v>324</v>
      </c>
      <c r="U148" s="42" t="s">
        <v>324</v>
      </c>
      <c r="V148" t="s">
        <v>850</v>
      </c>
    </row>
    <row r="149" spans="1:22" x14ac:dyDescent="0.25">
      <c r="A149" s="56" t="s">
        <v>325</v>
      </c>
      <c r="B149" s="38" t="s">
        <v>538</v>
      </c>
      <c r="C149" s="10" t="s">
        <v>538</v>
      </c>
      <c r="D149" s="39" t="s">
        <v>536</v>
      </c>
      <c r="E149" s="16" t="s">
        <v>70</v>
      </c>
      <c r="F149" s="12">
        <v>361</v>
      </c>
      <c r="G149" s="16">
        <v>335</v>
      </c>
      <c r="H149" s="40" t="s">
        <v>315</v>
      </c>
      <c r="I149" s="40" t="s">
        <v>537</v>
      </c>
      <c r="J149" s="41" t="s">
        <v>317</v>
      </c>
      <c r="K149" s="41" t="s">
        <v>331</v>
      </c>
      <c r="L149" s="57" t="s">
        <v>319</v>
      </c>
      <c r="M149" s="58" t="str">
        <f>Tabla16[[#This Row],[ABR_02]]</f>
        <v>CR</v>
      </c>
      <c r="N149" t="s">
        <v>320</v>
      </c>
      <c r="O149" s="59" t="s">
        <v>318</v>
      </c>
      <c r="P149" t="s">
        <v>321</v>
      </c>
      <c r="Q149" t="s">
        <v>328</v>
      </c>
      <c r="R149" s="60" t="str">
        <f>_xlfn.CONCAT(Tabla16[[#This Row],[ABR_01]],"00",Tabla16[[#This Row],[ABR_02]],Tabla16[[#This Row],[ZONA2]],,"0",Tabla16[[#This Row],[PARADA2]])</f>
        <v>AR00CR1002</v>
      </c>
      <c r="S149" s="60" t="s">
        <v>329</v>
      </c>
      <c r="T149" s="42" t="s">
        <v>324</v>
      </c>
      <c r="U149" s="42" t="s">
        <v>324</v>
      </c>
      <c r="V149" t="s">
        <v>850</v>
      </c>
    </row>
    <row r="150" spans="1:22" x14ac:dyDescent="0.25">
      <c r="A150" s="56" t="s">
        <v>325</v>
      </c>
      <c r="B150" s="38" t="s">
        <v>539</v>
      </c>
      <c r="C150" s="10" t="s">
        <v>540</v>
      </c>
      <c r="D150" s="39" t="s">
        <v>536</v>
      </c>
      <c r="E150" s="16" t="s">
        <v>70</v>
      </c>
      <c r="F150" s="12">
        <v>361</v>
      </c>
      <c r="G150" s="16">
        <v>285</v>
      </c>
      <c r="H150" s="40" t="s">
        <v>315</v>
      </c>
      <c r="I150" s="40" t="s">
        <v>537</v>
      </c>
      <c r="J150" s="41" t="s">
        <v>317</v>
      </c>
      <c r="K150" s="41" t="s">
        <v>332</v>
      </c>
      <c r="L150" s="57" t="s">
        <v>319</v>
      </c>
      <c r="M150" s="58" t="str">
        <f>Tabla16[[#This Row],[ABR_02]]</f>
        <v>CR</v>
      </c>
      <c r="N150" t="s">
        <v>320</v>
      </c>
      <c r="O150" s="59" t="s">
        <v>318</v>
      </c>
      <c r="P150" t="s">
        <v>321</v>
      </c>
      <c r="Q150" t="s">
        <v>328</v>
      </c>
      <c r="R150" s="60" t="str">
        <f>_xlfn.CONCAT(Tabla16[[#This Row],[ABR_01]],"00",Tabla16[[#This Row],[ABR_02]],Tabla16[[#This Row],[ZONA2]],,"0",Tabla16[[#This Row],[PARADA2]])</f>
        <v>AR00CR1003</v>
      </c>
      <c r="S150" s="60" t="s">
        <v>329</v>
      </c>
      <c r="T150" s="42" t="s">
        <v>324</v>
      </c>
      <c r="U150" s="42" t="s">
        <v>324</v>
      </c>
      <c r="V150" t="s">
        <v>850</v>
      </c>
    </row>
    <row r="151" spans="1:22" x14ac:dyDescent="0.25">
      <c r="A151" s="56" t="s">
        <v>325</v>
      </c>
      <c r="B151" s="38" t="s">
        <v>535</v>
      </c>
      <c r="C151" s="44" t="s">
        <v>245</v>
      </c>
      <c r="D151" s="39" t="s">
        <v>536</v>
      </c>
      <c r="E151" s="16" t="s">
        <v>70</v>
      </c>
      <c r="F151" s="12">
        <v>361</v>
      </c>
      <c r="G151" s="16">
        <v>330</v>
      </c>
      <c r="H151" s="40" t="s">
        <v>315</v>
      </c>
      <c r="I151" s="40" t="s">
        <v>537</v>
      </c>
      <c r="J151" s="41" t="s">
        <v>317</v>
      </c>
      <c r="K151" s="41" t="s">
        <v>318</v>
      </c>
      <c r="L151" s="57" t="s">
        <v>319</v>
      </c>
      <c r="M151" s="58" t="str">
        <f>Tabla16[[#This Row],[ABR_02]]</f>
        <v>CR</v>
      </c>
      <c r="N151" t="s">
        <v>320</v>
      </c>
      <c r="O151" s="59" t="s">
        <v>334</v>
      </c>
      <c r="P151" t="s">
        <v>650</v>
      </c>
      <c r="Q151" t="s">
        <v>651</v>
      </c>
      <c r="R151" s="60" t="str">
        <f>_xlfn.CONCAT(Tabla16[[#This Row],[ABR_01]],"00",Tabla16[[#This Row],[ABR_02]],Tabla16[[#This Row],[ZONA2]],,"0",Tabla16[[#This Row],[PARADA2]])</f>
        <v>AR00CR1001</v>
      </c>
      <c r="S151" s="60" t="s">
        <v>652</v>
      </c>
      <c r="T151" s="42" t="s">
        <v>324</v>
      </c>
      <c r="U151" s="53" t="s">
        <v>324</v>
      </c>
      <c r="V151" t="s">
        <v>851</v>
      </c>
    </row>
    <row r="152" spans="1:22" x14ac:dyDescent="0.25">
      <c r="A152" s="56" t="s">
        <v>325</v>
      </c>
      <c r="B152" s="38" t="s">
        <v>538</v>
      </c>
      <c r="C152" s="10" t="s">
        <v>538</v>
      </c>
      <c r="D152" s="39" t="s">
        <v>536</v>
      </c>
      <c r="E152" s="16" t="s">
        <v>70</v>
      </c>
      <c r="F152" s="12">
        <v>361</v>
      </c>
      <c r="G152" s="16">
        <v>335</v>
      </c>
      <c r="H152" s="40" t="s">
        <v>315</v>
      </c>
      <c r="I152" s="40" t="s">
        <v>537</v>
      </c>
      <c r="J152" s="41" t="s">
        <v>317</v>
      </c>
      <c r="K152" s="41" t="s">
        <v>331</v>
      </c>
      <c r="L152" s="57" t="s">
        <v>319</v>
      </c>
      <c r="M152" s="58" t="str">
        <f>Tabla16[[#This Row],[ABR_02]]</f>
        <v>CR</v>
      </c>
      <c r="N152" t="s">
        <v>320</v>
      </c>
      <c r="O152" s="59" t="s">
        <v>334</v>
      </c>
      <c r="P152" t="s">
        <v>650</v>
      </c>
      <c r="Q152" t="s">
        <v>651</v>
      </c>
      <c r="R152" s="60" t="str">
        <f>_xlfn.CONCAT(Tabla16[[#This Row],[ABR_01]],"00",Tabla16[[#This Row],[ABR_02]],Tabla16[[#This Row],[ZONA2]],,"0",Tabla16[[#This Row],[PARADA2]])</f>
        <v>AR00CR1002</v>
      </c>
      <c r="S152" s="60" t="s">
        <v>652</v>
      </c>
      <c r="T152" s="42" t="s">
        <v>324</v>
      </c>
      <c r="U152" s="53" t="s">
        <v>324</v>
      </c>
      <c r="V152" t="s">
        <v>851</v>
      </c>
    </row>
    <row r="153" spans="1:22" x14ac:dyDescent="0.25">
      <c r="A153" s="56" t="s">
        <v>325</v>
      </c>
      <c r="B153" s="38" t="s">
        <v>539</v>
      </c>
      <c r="C153" s="10" t="s">
        <v>540</v>
      </c>
      <c r="D153" s="39" t="s">
        <v>536</v>
      </c>
      <c r="E153" s="16" t="s">
        <v>70</v>
      </c>
      <c r="F153" s="12">
        <v>361</v>
      </c>
      <c r="G153" s="16">
        <v>285</v>
      </c>
      <c r="H153" s="40" t="s">
        <v>315</v>
      </c>
      <c r="I153" s="40" t="s">
        <v>537</v>
      </c>
      <c r="J153" s="41" t="s">
        <v>317</v>
      </c>
      <c r="K153" s="41" t="s">
        <v>332</v>
      </c>
      <c r="L153" s="57" t="s">
        <v>319</v>
      </c>
      <c r="M153" s="58" t="str">
        <f>Tabla16[[#This Row],[ABR_02]]</f>
        <v>CR</v>
      </c>
      <c r="N153" t="s">
        <v>320</v>
      </c>
      <c r="O153" s="59" t="s">
        <v>334</v>
      </c>
      <c r="P153" t="s">
        <v>650</v>
      </c>
      <c r="Q153" t="s">
        <v>651</v>
      </c>
      <c r="R153" s="60" t="str">
        <f>_xlfn.CONCAT(Tabla16[[#This Row],[ABR_01]],"00",Tabla16[[#This Row],[ABR_02]],Tabla16[[#This Row],[ZONA2]],,"0",Tabla16[[#This Row],[PARADA2]])</f>
        <v>AR00CR1003</v>
      </c>
      <c r="S153" s="60" t="s">
        <v>652</v>
      </c>
      <c r="T153" s="42" t="s">
        <v>324</v>
      </c>
      <c r="U153" s="53" t="s">
        <v>324</v>
      </c>
      <c r="V153" t="s">
        <v>851</v>
      </c>
    </row>
    <row r="154" spans="1:22" x14ac:dyDescent="0.25">
      <c r="A154" s="56" t="s">
        <v>325</v>
      </c>
      <c r="B154" s="38" t="s">
        <v>517</v>
      </c>
      <c r="C154" s="10" t="s">
        <v>517</v>
      </c>
      <c r="D154" s="39" t="s">
        <v>518</v>
      </c>
      <c r="E154" s="16" t="s">
        <v>54</v>
      </c>
      <c r="F154" s="12">
        <v>347</v>
      </c>
      <c r="G154" s="16">
        <v>280</v>
      </c>
      <c r="H154" s="40" t="s">
        <v>315</v>
      </c>
      <c r="I154" s="40" t="s">
        <v>519</v>
      </c>
      <c r="J154" s="41" t="s">
        <v>317</v>
      </c>
      <c r="K154" s="41" t="s">
        <v>318</v>
      </c>
      <c r="L154" s="57" t="s">
        <v>319</v>
      </c>
      <c r="M154" s="58" t="str">
        <f>Tabla16[[#This Row],[ABR_02]]</f>
        <v>ER</v>
      </c>
      <c r="N154" t="s">
        <v>320</v>
      </c>
      <c r="O154" s="59" t="s">
        <v>318</v>
      </c>
      <c r="P154" t="s">
        <v>321</v>
      </c>
      <c r="Q154" t="s">
        <v>378</v>
      </c>
      <c r="R154" s="60" t="str">
        <f>_xlfn.CONCAT(Tabla16[[#This Row],[ABR_01]],"00",Tabla16[[#This Row],[ABR_02]],Tabla16[[#This Row],[ZONA2]],,"0",Tabla16[[#This Row],[PARADA2]])</f>
        <v>AR00ER1001</v>
      </c>
      <c r="S154" s="60" t="s">
        <v>379</v>
      </c>
      <c r="T154" s="42" t="s">
        <v>324</v>
      </c>
      <c r="U154" s="42" t="s">
        <v>324</v>
      </c>
      <c r="V154" t="s">
        <v>850</v>
      </c>
    </row>
    <row r="155" spans="1:22" x14ac:dyDescent="0.25">
      <c r="A155" s="56" t="s">
        <v>325</v>
      </c>
      <c r="B155" s="38" t="s">
        <v>520</v>
      </c>
      <c r="C155" s="10" t="s">
        <v>520</v>
      </c>
      <c r="D155" s="39" t="s">
        <v>518</v>
      </c>
      <c r="E155" s="16" t="s">
        <v>54</v>
      </c>
      <c r="F155" s="12">
        <v>347</v>
      </c>
      <c r="G155" s="16">
        <v>298</v>
      </c>
      <c r="H155" s="40" t="s">
        <v>315</v>
      </c>
      <c r="I155" s="40" t="s">
        <v>519</v>
      </c>
      <c r="J155" s="41" t="s">
        <v>317</v>
      </c>
      <c r="K155" s="41" t="s">
        <v>331</v>
      </c>
      <c r="L155" s="57" t="s">
        <v>319</v>
      </c>
      <c r="M155" s="58" t="str">
        <f>Tabla16[[#This Row],[ABR_02]]</f>
        <v>ER</v>
      </c>
      <c r="N155" t="s">
        <v>320</v>
      </c>
      <c r="O155" s="59" t="s">
        <v>318</v>
      </c>
      <c r="P155" t="s">
        <v>321</v>
      </c>
      <c r="Q155" t="s">
        <v>378</v>
      </c>
      <c r="R155" s="60" t="str">
        <f>_xlfn.CONCAT(Tabla16[[#This Row],[ABR_01]],"00",Tabla16[[#This Row],[ABR_02]],Tabla16[[#This Row],[ZONA2]],,"0",Tabla16[[#This Row],[PARADA2]])</f>
        <v>AR00ER1002</v>
      </c>
      <c r="S155" s="60" t="s">
        <v>379</v>
      </c>
      <c r="T155" s="42" t="s">
        <v>324</v>
      </c>
      <c r="U155" s="42" t="s">
        <v>324</v>
      </c>
      <c r="V155" t="s">
        <v>850</v>
      </c>
    </row>
    <row r="156" spans="1:22" x14ac:dyDescent="0.25">
      <c r="A156" s="56" t="s">
        <v>325</v>
      </c>
      <c r="B156" s="38" t="s">
        <v>521</v>
      </c>
      <c r="C156" s="10" t="s">
        <v>522</v>
      </c>
      <c r="D156" s="39" t="s">
        <v>518</v>
      </c>
      <c r="E156" s="16" t="s">
        <v>54</v>
      </c>
      <c r="F156" s="12">
        <v>347</v>
      </c>
      <c r="G156" s="16">
        <v>293</v>
      </c>
      <c r="H156" s="40" t="s">
        <v>315</v>
      </c>
      <c r="I156" s="40" t="s">
        <v>519</v>
      </c>
      <c r="J156" s="41" t="s">
        <v>317</v>
      </c>
      <c r="K156" s="41" t="s">
        <v>332</v>
      </c>
      <c r="L156" s="57" t="s">
        <v>319</v>
      </c>
      <c r="M156" s="58" t="str">
        <f>Tabla16[[#This Row],[ABR_02]]</f>
        <v>ER</v>
      </c>
      <c r="N156" t="s">
        <v>320</v>
      </c>
      <c r="O156" s="59" t="s">
        <v>318</v>
      </c>
      <c r="P156" t="s">
        <v>321</v>
      </c>
      <c r="Q156" t="s">
        <v>378</v>
      </c>
      <c r="R156" s="60" t="str">
        <f>_xlfn.CONCAT(Tabla16[[#This Row],[ABR_01]],"00",Tabla16[[#This Row],[ABR_02]],Tabla16[[#This Row],[ZONA2]],,"0",Tabla16[[#This Row],[PARADA2]])</f>
        <v>AR00ER1003</v>
      </c>
      <c r="S156" s="60" t="s">
        <v>379</v>
      </c>
      <c r="T156" s="42" t="s">
        <v>324</v>
      </c>
      <c r="U156" s="42" t="s">
        <v>324</v>
      </c>
      <c r="V156" t="s">
        <v>850</v>
      </c>
    </row>
    <row r="157" spans="1:22" x14ac:dyDescent="0.25">
      <c r="A157" s="56" t="s">
        <v>325</v>
      </c>
      <c r="B157" s="38" t="s">
        <v>523</v>
      </c>
      <c r="C157" s="44" t="s">
        <v>56</v>
      </c>
      <c r="D157" s="39" t="s">
        <v>518</v>
      </c>
      <c r="E157" s="16" t="s">
        <v>54</v>
      </c>
      <c r="F157" s="12">
        <v>347</v>
      </c>
      <c r="G157" s="16">
        <v>277</v>
      </c>
      <c r="H157" s="40" t="s">
        <v>315</v>
      </c>
      <c r="I157" s="40" t="s">
        <v>519</v>
      </c>
      <c r="J157" s="41" t="s">
        <v>317</v>
      </c>
      <c r="K157" s="41" t="s">
        <v>334</v>
      </c>
      <c r="L157" s="57" t="s">
        <v>319</v>
      </c>
      <c r="M157" s="58" t="str">
        <f>Tabla16[[#This Row],[ABR_02]]</f>
        <v>ER</v>
      </c>
      <c r="N157" t="s">
        <v>320</v>
      </c>
      <c r="O157" s="59" t="s">
        <v>318</v>
      </c>
      <c r="P157" t="s">
        <v>321</v>
      </c>
      <c r="Q157" t="s">
        <v>378</v>
      </c>
      <c r="R157" s="60" t="str">
        <f>_xlfn.CONCAT(Tabla16[[#This Row],[ABR_01]],"00",Tabla16[[#This Row],[ABR_02]],Tabla16[[#This Row],[ZONA2]],,"0",Tabla16[[#This Row],[PARADA2]])</f>
        <v>AR00ER1004</v>
      </c>
      <c r="S157" s="60" t="s">
        <v>379</v>
      </c>
      <c r="T157" s="42" t="s">
        <v>324</v>
      </c>
      <c r="U157" s="42" t="s">
        <v>324</v>
      </c>
      <c r="V157" t="s">
        <v>850</v>
      </c>
    </row>
    <row r="158" spans="1:22" x14ac:dyDescent="0.25">
      <c r="A158" s="56" t="s">
        <v>325</v>
      </c>
      <c r="B158" s="38" t="s">
        <v>524</v>
      </c>
      <c r="C158" s="10" t="s">
        <v>524</v>
      </c>
      <c r="D158" s="39" t="s">
        <v>518</v>
      </c>
      <c r="E158" s="16" t="s">
        <v>54</v>
      </c>
      <c r="F158" s="12">
        <v>347</v>
      </c>
      <c r="G158" s="16">
        <v>250</v>
      </c>
      <c r="H158" s="40" t="s">
        <v>315</v>
      </c>
      <c r="I158" s="40" t="s">
        <v>519</v>
      </c>
      <c r="J158" s="41" t="s">
        <v>317</v>
      </c>
      <c r="K158" s="41" t="s">
        <v>344</v>
      </c>
      <c r="L158" s="57" t="s">
        <v>319</v>
      </c>
      <c r="M158" s="58" t="str">
        <f>Tabla16[[#This Row],[ABR_02]]</f>
        <v>ER</v>
      </c>
      <c r="N158" t="s">
        <v>320</v>
      </c>
      <c r="O158" s="59" t="s">
        <v>318</v>
      </c>
      <c r="P158" t="s">
        <v>321</v>
      </c>
      <c r="Q158" t="s">
        <v>378</v>
      </c>
      <c r="R158" s="60" t="str">
        <f>_xlfn.CONCAT(Tabla16[[#This Row],[ABR_01]],"00",Tabla16[[#This Row],[ABR_02]],Tabla16[[#This Row],[ZONA2]],,"0",Tabla16[[#This Row],[PARADA2]])</f>
        <v>AR00ER1005</v>
      </c>
      <c r="S158" s="60" t="s">
        <v>379</v>
      </c>
      <c r="T158" s="42" t="s">
        <v>324</v>
      </c>
      <c r="U158" s="42" t="s">
        <v>324</v>
      </c>
      <c r="V158" t="s">
        <v>850</v>
      </c>
    </row>
    <row r="159" spans="1:22" x14ac:dyDescent="0.25">
      <c r="A159" s="56" t="s">
        <v>325</v>
      </c>
      <c r="B159" s="38" t="s">
        <v>525</v>
      </c>
      <c r="C159" s="10" t="s">
        <v>525</v>
      </c>
      <c r="D159" s="39" t="s">
        <v>518</v>
      </c>
      <c r="E159" s="16" t="s">
        <v>54</v>
      </c>
      <c r="F159" s="12">
        <v>347</v>
      </c>
      <c r="G159" s="16">
        <v>245</v>
      </c>
      <c r="H159" s="40" t="s">
        <v>315</v>
      </c>
      <c r="I159" s="40" t="s">
        <v>519</v>
      </c>
      <c r="J159" s="41" t="s">
        <v>317</v>
      </c>
      <c r="K159" s="41" t="s">
        <v>345</v>
      </c>
      <c r="L159" s="57" t="s">
        <v>319</v>
      </c>
      <c r="M159" s="58" t="str">
        <f>Tabla16[[#This Row],[ABR_02]]</f>
        <v>ER</v>
      </c>
      <c r="N159" t="s">
        <v>320</v>
      </c>
      <c r="O159" s="59" t="s">
        <v>318</v>
      </c>
      <c r="P159" t="s">
        <v>321</v>
      </c>
      <c r="Q159" t="s">
        <v>378</v>
      </c>
      <c r="R159" s="60" t="str">
        <f>_xlfn.CONCAT(Tabla16[[#This Row],[ABR_01]],"00",Tabla16[[#This Row],[ABR_02]],Tabla16[[#This Row],[ZONA2]],,"0",Tabla16[[#This Row],[PARADA2]])</f>
        <v>AR00ER1006</v>
      </c>
      <c r="S159" s="60" t="s">
        <v>379</v>
      </c>
      <c r="T159" s="42" t="s">
        <v>324</v>
      </c>
      <c r="U159" s="42" t="s">
        <v>324</v>
      </c>
      <c r="V159" t="s">
        <v>850</v>
      </c>
    </row>
    <row r="160" spans="1:22" x14ac:dyDescent="0.25">
      <c r="A160" s="56" t="s">
        <v>325</v>
      </c>
      <c r="B160" s="38" t="s">
        <v>526</v>
      </c>
      <c r="C160" s="10" t="s">
        <v>526</v>
      </c>
      <c r="D160" s="39" t="s">
        <v>518</v>
      </c>
      <c r="E160" s="16" t="s">
        <v>54</v>
      </c>
      <c r="F160" s="12">
        <v>347</v>
      </c>
      <c r="G160" s="16">
        <v>235</v>
      </c>
      <c r="H160" s="40" t="s">
        <v>315</v>
      </c>
      <c r="I160" s="40" t="s">
        <v>519</v>
      </c>
      <c r="J160" s="41" t="s">
        <v>317</v>
      </c>
      <c r="K160" s="41" t="s">
        <v>347</v>
      </c>
      <c r="L160" s="57" t="s">
        <v>319</v>
      </c>
      <c r="M160" s="58" t="str">
        <f>Tabla16[[#This Row],[ABR_02]]</f>
        <v>ER</v>
      </c>
      <c r="N160" t="s">
        <v>320</v>
      </c>
      <c r="O160" s="59" t="s">
        <v>318</v>
      </c>
      <c r="P160" t="s">
        <v>321</v>
      </c>
      <c r="Q160" t="s">
        <v>378</v>
      </c>
      <c r="R160" s="60" t="str">
        <f>_xlfn.CONCAT(Tabla16[[#This Row],[ABR_01]],"00",Tabla16[[#This Row],[ABR_02]],Tabla16[[#This Row],[ZONA2]],,"0",Tabla16[[#This Row],[PARADA2]])</f>
        <v>AR00ER1007</v>
      </c>
      <c r="S160" s="60" t="s">
        <v>379</v>
      </c>
      <c r="T160" s="42" t="s">
        <v>324</v>
      </c>
      <c r="U160" s="42" t="s">
        <v>324</v>
      </c>
      <c r="V160" t="s">
        <v>850</v>
      </c>
    </row>
    <row r="161" spans="1:22" x14ac:dyDescent="0.25">
      <c r="A161" s="56" t="s">
        <v>325</v>
      </c>
      <c r="B161" s="38" t="s">
        <v>527</v>
      </c>
      <c r="C161" s="44" t="s">
        <v>79</v>
      </c>
      <c r="D161" s="39" t="s">
        <v>518</v>
      </c>
      <c r="E161" s="16" t="s">
        <v>54</v>
      </c>
      <c r="F161" s="12">
        <v>347</v>
      </c>
      <c r="G161" s="16">
        <v>230</v>
      </c>
      <c r="H161" s="40" t="s">
        <v>315</v>
      </c>
      <c r="I161" s="40" t="s">
        <v>519</v>
      </c>
      <c r="J161" s="41" t="s">
        <v>317</v>
      </c>
      <c r="K161" s="41" t="s">
        <v>349</v>
      </c>
      <c r="L161" s="57" t="s">
        <v>319</v>
      </c>
      <c r="M161" s="58" t="str">
        <f>Tabla16[[#This Row],[ABR_02]]</f>
        <v>ER</v>
      </c>
      <c r="N161" t="s">
        <v>320</v>
      </c>
      <c r="O161" s="59" t="s">
        <v>318</v>
      </c>
      <c r="P161" t="s">
        <v>321</v>
      </c>
      <c r="Q161" t="s">
        <v>378</v>
      </c>
      <c r="R161" s="60" t="str">
        <f>_xlfn.CONCAT(Tabla16[[#This Row],[ABR_01]],"00",Tabla16[[#This Row],[ABR_02]],Tabla16[[#This Row],[ZONA2]],,"0",Tabla16[[#This Row],[PARADA2]])</f>
        <v>AR00ER1008</v>
      </c>
      <c r="S161" s="60" t="s">
        <v>379</v>
      </c>
      <c r="T161" s="42" t="s">
        <v>324</v>
      </c>
      <c r="U161" s="42" t="s">
        <v>324</v>
      </c>
      <c r="V161" t="s">
        <v>850</v>
      </c>
    </row>
    <row r="162" spans="1:22" x14ac:dyDescent="0.25">
      <c r="A162" s="56" t="s">
        <v>325</v>
      </c>
      <c r="B162" s="38" t="s">
        <v>528</v>
      </c>
      <c r="C162" s="10" t="s">
        <v>528</v>
      </c>
      <c r="D162" s="39" t="s">
        <v>518</v>
      </c>
      <c r="E162" s="16" t="s">
        <v>54</v>
      </c>
      <c r="F162" s="12">
        <v>347</v>
      </c>
      <c r="G162" s="16">
        <v>267</v>
      </c>
      <c r="H162" s="40" t="s">
        <v>315</v>
      </c>
      <c r="I162" s="40" t="s">
        <v>519</v>
      </c>
      <c r="J162" s="41" t="s">
        <v>317</v>
      </c>
      <c r="K162" s="41" t="s">
        <v>393</v>
      </c>
      <c r="L162" s="57" t="s">
        <v>319</v>
      </c>
      <c r="M162" s="58" t="str">
        <f>Tabla16[[#This Row],[ABR_02]]</f>
        <v>ER</v>
      </c>
      <c r="N162" t="s">
        <v>320</v>
      </c>
      <c r="O162" s="59" t="s">
        <v>318</v>
      </c>
      <c r="P162" t="s">
        <v>321</v>
      </c>
      <c r="Q162" t="s">
        <v>378</v>
      </c>
      <c r="R162" s="60" t="str">
        <f>_xlfn.CONCAT(Tabla16[[#This Row],[ABR_01]],"00",Tabla16[[#This Row],[ABR_02]],Tabla16[[#This Row],[ZONA2]],,"0",Tabla16[[#This Row],[PARADA2]])</f>
        <v>AR00ER1009</v>
      </c>
      <c r="S162" s="60" t="s">
        <v>379</v>
      </c>
      <c r="T162" s="42" t="s">
        <v>324</v>
      </c>
      <c r="U162" s="42" t="s">
        <v>324</v>
      </c>
      <c r="V162" t="s">
        <v>850</v>
      </c>
    </row>
    <row r="163" spans="1:22" x14ac:dyDescent="0.25">
      <c r="A163" s="56" t="s">
        <v>325</v>
      </c>
      <c r="B163" s="38" t="s">
        <v>529</v>
      </c>
      <c r="C163" s="10" t="s">
        <v>529</v>
      </c>
      <c r="D163" s="39" t="s">
        <v>518</v>
      </c>
      <c r="E163" s="16" t="s">
        <v>54</v>
      </c>
      <c r="F163" s="12">
        <v>347</v>
      </c>
      <c r="G163" s="16">
        <v>343</v>
      </c>
      <c r="H163" s="40" t="s">
        <v>315</v>
      </c>
      <c r="I163" s="40" t="s">
        <v>519</v>
      </c>
      <c r="J163" s="41" t="s">
        <v>317</v>
      </c>
      <c r="K163" s="41" t="s">
        <v>395</v>
      </c>
      <c r="L163" s="57" t="s">
        <v>319</v>
      </c>
      <c r="M163" s="58" t="str">
        <f>Tabla16[[#This Row],[ABR_02]]</f>
        <v>ER</v>
      </c>
      <c r="N163" t="s">
        <v>320</v>
      </c>
      <c r="O163" s="59" t="s">
        <v>318</v>
      </c>
      <c r="P163" t="s">
        <v>321</v>
      </c>
      <c r="Q163" t="s">
        <v>378</v>
      </c>
      <c r="R163" s="60" t="str">
        <f>_xlfn.CONCAT(Tabla16[[#This Row],[ABR_01]],"00",Tabla16[[#This Row],[ABR_02]],Tabla16[[#This Row],[ZONA2]],,"0",Tabla16[[#This Row],[PARADA2]])</f>
        <v>AR00ER1010</v>
      </c>
      <c r="S163" s="60" t="s">
        <v>379</v>
      </c>
      <c r="T163" s="42" t="s">
        <v>324</v>
      </c>
      <c r="U163" s="42" t="s">
        <v>324</v>
      </c>
      <c r="V163" t="s">
        <v>850</v>
      </c>
    </row>
    <row r="164" spans="1:22" x14ac:dyDescent="0.25">
      <c r="A164" s="56" t="s">
        <v>325</v>
      </c>
      <c r="B164" s="38" t="s">
        <v>530</v>
      </c>
      <c r="C164" s="10" t="s">
        <v>530</v>
      </c>
      <c r="D164" s="39" t="s">
        <v>518</v>
      </c>
      <c r="E164" s="16" t="s">
        <v>54</v>
      </c>
      <c r="F164" s="12">
        <v>347</v>
      </c>
      <c r="G164" s="16">
        <v>255</v>
      </c>
      <c r="H164" s="40" t="s">
        <v>315</v>
      </c>
      <c r="I164" s="40" t="s">
        <v>519</v>
      </c>
      <c r="J164" s="41" t="s">
        <v>317</v>
      </c>
      <c r="K164" s="41" t="s">
        <v>397</v>
      </c>
      <c r="L164" s="57" t="s">
        <v>319</v>
      </c>
      <c r="M164" s="58" t="str">
        <f>Tabla16[[#This Row],[ABR_02]]</f>
        <v>ER</v>
      </c>
      <c r="N164" t="s">
        <v>320</v>
      </c>
      <c r="O164" s="59" t="s">
        <v>318</v>
      </c>
      <c r="P164" t="s">
        <v>321</v>
      </c>
      <c r="Q164" t="s">
        <v>378</v>
      </c>
      <c r="R164" s="60" t="str">
        <f>_xlfn.CONCAT(Tabla16[[#This Row],[ABR_01]],"00",Tabla16[[#This Row],[ABR_02]],Tabla16[[#This Row],[ZONA2]],,"0",Tabla16[[#This Row],[PARADA2]])</f>
        <v>AR00ER1011</v>
      </c>
      <c r="S164" s="60" t="s">
        <v>379</v>
      </c>
      <c r="T164" s="42" t="s">
        <v>324</v>
      </c>
      <c r="U164" s="42" t="s">
        <v>324</v>
      </c>
      <c r="V164" t="s">
        <v>850</v>
      </c>
    </row>
    <row r="165" spans="1:22" x14ac:dyDescent="0.25">
      <c r="A165" s="56" t="s">
        <v>325</v>
      </c>
      <c r="B165" s="38" t="s">
        <v>531</v>
      </c>
      <c r="C165" s="10" t="s">
        <v>531</v>
      </c>
      <c r="D165" s="39" t="s">
        <v>518</v>
      </c>
      <c r="E165" s="16" t="s">
        <v>54</v>
      </c>
      <c r="F165" s="12">
        <v>347</v>
      </c>
      <c r="G165" s="16">
        <v>268</v>
      </c>
      <c r="H165" s="40" t="s">
        <v>315</v>
      </c>
      <c r="I165" s="40" t="s">
        <v>519</v>
      </c>
      <c r="J165" s="41" t="s">
        <v>317</v>
      </c>
      <c r="K165" s="41" t="s">
        <v>399</v>
      </c>
      <c r="L165" s="57" t="s">
        <v>319</v>
      </c>
      <c r="M165" s="58" t="str">
        <f>Tabla16[[#This Row],[ABR_02]]</f>
        <v>ER</v>
      </c>
      <c r="N165" t="s">
        <v>320</v>
      </c>
      <c r="O165" s="59" t="s">
        <v>318</v>
      </c>
      <c r="P165" t="s">
        <v>321</v>
      </c>
      <c r="Q165" t="s">
        <v>378</v>
      </c>
      <c r="R165" s="60" t="str">
        <f>_xlfn.CONCAT(Tabla16[[#This Row],[ABR_01]],"00",Tabla16[[#This Row],[ABR_02]],Tabla16[[#This Row],[ZONA2]],,"0",Tabla16[[#This Row],[PARADA2]])</f>
        <v>AR00ER1012</v>
      </c>
      <c r="S165" s="60" t="s">
        <v>379</v>
      </c>
      <c r="T165" s="42" t="s">
        <v>324</v>
      </c>
      <c r="U165" s="42" t="s">
        <v>324</v>
      </c>
      <c r="V165" t="s">
        <v>850</v>
      </c>
    </row>
    <row r="166" spans="1:22" x14ac:dyDescent="0.25">
      <c r="A166" s="56" t="s">
        <v>325</v>
      </c>
      <c r="B166" s="38" t="s">
        <v>532</v>
      </c>
      <c r="C166" s="10" t="s">
        <v>532</v>
      </c>
      <c r="D166" s="39" t="s">
        <v>518</v>
      </c>
      <c r="E166" s="16" t="s">
        <v>54</v>
      </c>
      <c r="F166" s="12">
        <v>347</v>
      </c>
      <c r="G166" s="16">
        <v>260</v>
      </c>
      <c r="H166" s="40" t="s">
        <v>315</v>
      </c>
      <c r="I166" s="40" t="s">
        <v>519</v>
      </c>
      <c r="J166" s="41" t="s">
        <v>317</v>
      </c>
      <c r="K166" s="41" t="s">
        <v>401</v>
      </c>
      <c r="L166" s="57" t="s">
        <v>319</v>
      </c>
      <c r="M166" s="58" t="str">
        <f>Tabla16[[#This Row],[ABR_02]]</f>
        <v>ER</v>
      </c>
      <c r="N166" t="s">
        <v>320</v>
      </c>
      <c r="O166" s="59" t="s">
        <v>318</v>
      </c>
      <c r="P166" t="s">
        <v>321</v>
      </c>
      <c r="Q166" t="s">
        <v>378</v>
      </c>
      <c r="R166" s="60" t="str">
        <f>_xlfn.CONCAT(Tabla16[[#This Row],[ABR_01]],"00",Tabla16[[#This Row],[ABR_02]],Tabla16[[#This Row],[ZONA2]],,"0",Tabla16[[#This Row],[PARADA2]])</f>
        <v>AR00ER1013</v>
      </c>
      <c r="S166" s="60" t="s">
        <v>379</v>
      </c>
      <c r="T166" s="42" t="s">
        <v>324</v>
      </c>
      <c r="U166" s="42" t="s">
        <v>324</v>
      </c>
      <c r="V166" t="s">
        <v>850</v>
      </c>
    </row>
    <row r="167" spans="1:22" x14ac:dyDescent="0.25">
      <c r="A167" s="56" t="s">
        <v>325</v>
      </c>
      <c r="B167" s="38" t="s">
        <v>533</v>
      </c>
      <c r="C167" s="10" t="s">
        <v>533</v>
      </c>
      <c r="D167" s="39" t="s">
        <v>518</v>
      </c>
      <c r="E167" s="16" t="s">
        <v>54</v>
      </c>
      <c r="F167" s="12">
        <v>347</v>
      </c>
      <c r="G167" s="16">
        <v>290</v>
      </c>
      <c r="H167" s="40" t="s">
        <v>315</v>
      </c>
      <c r="I167" s="40" t="s">
        <v>519</v>
      </c>
      <c r="J167" s="41" t="s">
        <v>317</v>
      </c>
      <c r="K167" s="41" t="s">
        <v>404</v>
      </c>
      <c r="L167" s="57" t="s">
        <v>319</v>
      </c>
      <c r="M167" s="58" t="str">
        <f>Tabla16[[#This Row],[ABR_02]]</f>
        <v>ER</v>
      </c>
      <c r="N167" t="s">
        <v>320</v>
      </c>
      <c r="O167" s="59" t="s">
        <v>318</v>
      </c>
      <c r="P167" t="s">
        <v>321</v>
      </c>
      <c r="Q167" t="s">
        <v>378</v>
      </c>
      <c r="R167" s="60" t="str">
        <f>_xlfn.CONCAT(Tabla16[[#This Row],[ABR_01]],"00",Tabla16[[#This Row],[ABR_02]],Tabla16[[#This Row],[ZONA2]],,"0",Tabla16[[#This Row],[PARADA2]])</f>
        <v>AR00ER1014</v>
      </c>
      <c r="S167" s="60" t="s">
        <v>379</v>
      </c>
      <c r="T167" s="42" t="s">
        <v>324</v>
      </c>
      <c r="U167" s="42" t="s">
        <v>324</v>
      </c>
      <c r="V167" t="s">
        <v>850</v>
      </c>
    </row>
    <row r="168" spans="1:22" x14ac:dyDescent="0.25">
      <c r="A168" s="56" t="s">
        <v>325</v>
      </c>
      <c r="B168" s="38" t="s">
        <v>534</v>
      </c>
      <c r="C168" s="44" t="s">
        <v>243</v>
      </c>
      <c r="D168" s="39" t="s">
        <v>518</v>
      </c>
      <c r="E168" s="16" t="s">
        <v>38</v>
      </c>
      <c r="F168" s="12">
        <v>342</v>
      </c>
      <c r="G168" s="16">
        <v>240</v>
      </c>
      <c r="H168" s="40" t="s">
        <v>315</v>
      </c>
      <c r="I168" s="40" t="s">
        <v>519</v>
      </c>
      <c r="J168" s="41" t="s">
        <v>317</v>
      </c>
      <c r="K168" s="41" t="s">
        <v>407</v>
      </c>
      <c r="L168" s="57" t="s">
        <v>319</v>
      </c>
      <c r="M168" s="58" t="str">
        <f>Tabla16[[#This Row],[ABR_02]]</f>
        <v>ER</v>
      </c>
      <c r="N168" t="s">
        <v>320</v>
      </c>
      <c r="O168" s="59" t="s">
        <v>318</v>
      </c>
      <c r="P168" t="s">
        <v>321</v>
      </c>
      <c r="Q168" t="s">
        <v>378</v>
      </c>
      <c r="R168" s="60" t="str">
        <f>_xlfn.CONCAT(Tabla16[[#This Row],[ABR_01]],"00",Tabla16[[#This Row],[ABR_02]],Tabla16[[#This Row],[ZONA2]],,"0",Tabla16[[#This Row],[PARADA2]])</f>
        <v>AR00ER1015</v>
      </c>
      <c r="S168" s="60" t="s">
        <v>379</v>
      </c>
      <c r="T168" s="42" t="s">
        <v>324</v>
      </c>
      <c r="U168" s="42" t="s">
        <v>324</v>
      </c>
      <c r="V168" t="s">
        <v>850</v>
      </c>
    </row>
    <row r="169" spans="1:22" x14ac:dyDescent="0.25">
      <c r="A169" s="56" t="s">
        <v>325</v>
      </c>
      <c r="B169" s="38" t="s">
        <v>517</v>
      </c>
      <c r="C169" s="10" t="s">
        <v>517</v>
      </c>
      <c r="D169" s="39" t="s">
        <v>518</v>
      </c>
      <c r="E169" s="16" t="s">
        <v>54</v>
      </c>
      <c r="F169" s="12">
        <v>347</v>
      </c>
      <c r="G169" s="16">
        <v>280</v>
      </c>
      <c r="H169" s="40" t="s">
        <v>315</v>
      </c>
      <c r="I169" s="40" t="s">
        <v>519</v>
      </c>
      <c r="J169" s="41" t="s">
        <v>317</v>
      </c>
      <c r="K169" s="41" t="s">
        <v>318</v>
      </c>
      <c r="L169" s="57" t="s">
        <v>319</v>
      </c>
      <c r="M169" s="58" t="str">
        <f>Tabla16[[#This Row],[ABR_02]]</f>
        <v>ER</v>
      </c>
      <c r="N169" t="s">
        <v>320</v>
      </c>
      <c r="O169" s="59" t="s">
        <v>334</v>
      </c>
      <c r="P169" t="s">
        <v>650</v>
      </c>
      <c r="Q169" t="s">
        <v>320</v>
      </c>
      <c r="R169" s="60" t="str">
        <f>_xlfn.CONCAT(Tabla16[[#This Row],[ABR_01]],"00",Tabla16[[#This Row],[ABR_02]],Tabla16[[#This Row],[ZONA2]],,"0",Tabla16[[#This Row],[PARADA2]])</f>
        <v>AR00ER1001</v>
      </c>
      <c r="S169" s="60" t="s">
        <v>580</v>
      </c>
      <c r="T169" s="42" t="s">
        <v>324</v>
      </c>
      <c r="U169" s="53" t="s">
        <v>324</v>
      </c>
      <c r="V169" t="s">
        <v>851</v>
      </c>
    </row>
    <row r="170" spans="1:22" x14ac:dyDescent="0.25">
      <c r="A170" s="56" t="s">
        <v>325</v>
      </c>
      <c r="B170" s="38" t="s">
        <v>520</v>
      </c>
      <c r="C170" s="10" t="s">
        <v>520</v>
      </c>
      <c r="D170" s="39" t="s">
        <v>518</v>
      </c>
      <c r="E170" s="16" t="s">
        <v>54</v>
      </c>
      <c r="F170" s="12">
        <v>347</v>
      </c>
      <c r="G170" s="16">
        <v>298</v>
      </c>
      <c r="H170" s="40" t="s">
        <v>315</v>
      </c>
      <c r="I170" s="40" t="s">
        <v>519</v>
      </c>
      <c r="J170" s="41" t="s">
        <v>317</v>
      </c>
      <c r="K170" s="41" t="s">
        <v>331</v>
      </c>
      <c r="L170" s="57" t="s">
        <v>319</v>
      </c>
      <c r="M170" s="58" t="str">
        <f>Tabla16[[#This Row],[ABR_02]]</f>
        <v>ER</v>
      </c>
      <c r="N170" t="s">
        <v>320</v>
      </c>
      <c r="O170" s="59" t="s">
        <v>334</v>
      </c>
      <c r="P170" t="s">
        <v>650</v>
      </c>
      <c r="Q170" t="s">
        <v>320</v>
      </c>
      <c r="R170" s="60" t="str">
        <f>_xlfn.CONCAT(Tabla16[[#This Row],[ABR_01]],"00",Tabla16[[#This Row],[ABR_02]],Tabla16[[#This Row],[ZONA2]],,"0",Tabla16[[#This Row],[PARADA2]])</f>
        <v>AR00ER1002</v>
      </c>
      <c r="S170" s="60" t="s">
        <v>580</v>
      </c>
      <c r="T170" s="42" t="s">
        <v>324</v>
      </c>
      <c r="U170" s="53" t="s">
        <v>324</v>
      </c>
      <c r="V170" t="s">
        <v>851</v>
      </c>
    </row>
    <row r="171" spans="1:22" x14ac:dyDescent="0.25">
      <c r="A171" s="56" t="s">
        <v>325</v>
      </c>
      <c r="B171" s="38" t="s">
        <v>521</v>
      </c>
      <c r="C171" s="10" t="s">
        <v>522</v>
      </c>
      <c r="D171" s="39" t="s">
        <v>518</v>
      </c>
      <c r="E171" s="16" t="s">
        <v>54</v>
      </c>
      <c r="F171" s="12">
        <v>347</v>
      </c>
      <c r="G171" s="16">
        <v>293</v>
      </c>
      <c r="H171" s="40" t="s">
        <v>315</v>
      </c>
      <c r="I171" s="40" t="s">
        <v>519</v>
      </c>
      <c r="J171" s="41" t="s">
        <v>317</v>
      </c>
      <c r="K171" s="41" t="s">
        <v>332</v>
      </c>
      <c r="L171" s="57" t="s">
        <v>319</v>
      </c>
      <c r="M171" s="58" t="str">
        <f>Tabla16[[#This Row],[ABR_02]]</f>
        <v>ER</v>
      </c>
      <c r="N171" t="s">
        <v>320</v>
      </c>
      <c r="O171" s="59" t="s">
        <v>334</v>
      </c>
      <c r="P171" t="s">
        <v>650</v>
      </c>
      <c r="Q171" t="s">
        <v>320</v>
      </c>
      <c r="R171" s="60" t="str">
        <f>_xlfn.CONCAT(Tabla16[[#This Row],[ABR_01]],"00",Tabla16[[#This Row],[ABR_02]],Tabla16[[#This Row],[ZONA2]],,"0",Tabla16[[#This Row],[PARADA2]])</f>
        <v>AR00ER1003</v>
      </c>
      <c r="S171" s="60" t="s">
        <v>580</v>
      </c>
      <c r="T171" s="42" t="s">
        <v>324</v>
      </c>
      <c r="U171" s="53" t="s">
        <v>324</v>
      </c>
      <c r="V171" t="s">
        <v>851</v>
      </c>
    </row>
    <row r="172" spans="1:22" x14ac:dyDescent="0.25">
      <c r="A172" s="56" t="s">
        <v>325</v>
      </c>
      <c r="B172" s="38" t="s">
        <v>523</v>
      </c>
      <c r="C172" s="44" t="s">
        <v>56</v>
      </c>
      <c r="D172" s="39" t="s">
        <v>518</v>
      </c>
      <c r="E172" s="16" t="s">
        <v>54</v>
      </c>
      <c r="F172" s="12">
        <v>347</v>
      </c>
      <c r="G172" s="16">
        <v>277</v>
      </c>
      <c r="H172" s="40" t="s">
        <v>315</v>
      </c>
      <c r="I172" s="40" t="s">
        <v>519</v>
      </c>
      <c r="J172" s="41" t="s">
        <v>317</v>
      </c>
      <c r="K172" s="41" t="s">
        <v>334</v>
      </c>
      <c r="L172" s="57" t="s">
        <v>319</v>
      </c>
      <c r="M172" s="58" t="str">
        <f>Tabla16[[#This Row],[ABR_02]]</f>
        <v>ER</v>
      </c>
      <c r="N172" t="s">
        <v>320</v>
      </c>
      <c r="O172" s="59" t="s">
        <v>334</v>
      </c>
      <c r="P172" t="s">
        <v>650</v>
      </c>
      <c r="Q172" t="s">
        <v>320</v>
      </c>
      <c r="R172" s="60" t="str">
        <f>_xlfn.CONCAT(Tabla16[[#This Row],[ABR_01]],"00",Tabla16[[#This Row],[ABR_02]],Tabla16[[#This Row],[ZONA2]],,"0",Tabla16[[#This Row],[PARADA2]])</f>
        <v>AR00ER1004</v>
      </c>
      <c r="S172" s="60" t="s">
        <v>580</v>
      </c>
      <c r="T172" s="42" t="s">
        <v>324</v>
      </c>
      <c r="U172" s="53" t="s">
        <v>324</v>
      </c>
      <c r="V172" t="s">
        <v>851</v>
      </c>
    </row>
    <row r="173" spans="1:22" x14ac:dyDescent="0.25">
      <c r="A173" s="56" t="s">
        <v>325</v>
      </c>
      <c r="B173" s="38" t="s">
        <v>524</v>
      </c>
      <c r="C173" s="10" t="s">
        <v>524</v>
      </c>
      <c r="D173" s="39" t="s">
        <v>518</v>
      </c>
      <c r="E173" s="16" t="s">
        <v>54</v>
      </c>
      <c r="F173" s="12">
        <v>347</v>
      </c>
      <c r="G173" s="16">
        <v>250</v>
      </c>
      <c r="H173" s="40" t="s">
        <v>315</v>
      </c>
      <c r="I173" s="40" t="s">
        <v>519</v>
      </c>
      <c r="J173" s="41" t="s">
        <v>317</v>
      </c>
      <c r="K173" s="41" t="s">
        <v>344</v>
      </c>
      <c r="L173" s="57" t="s">
        <v>319</v>
      </c>
      <c r="M173" s="58" t="str">
        <f>Tabla16[[#This Row],[ABR_02]]</f>
        <v>ER</v>
      </c>
      <c r="N173" t="s">
        <v>320</v>
      </c>
      <c r="O173" s="59" t="s">
        <v>334</v>
      </c>
      <c r="P173" t="s">
        <v>650</v>
      </c>
      <c r="Q173" t="s">
        <v>320</v>
      </c>
      <c r="R173" s="60" t="str">
        <f>_xlfn.CONCAT(Tabla16[[#This Row],[ABR_01]],"00",Tabla16[[#This Row],[ABR_02]],Tabla16[[#This Row],[ZONA2]],,"0",Tabla16[[#This Row],[PARADA2]])</f>
        <v>AR00ER1005</v>
      </c>
      <c r="S173" s="60" t="s">
        <v>580</v>
      </c>
      <c r="T173" s="42" t="s">
        <v>324</v>
      </c>
      <c r="U173" s="53" t="s">
        <v>324</v>
      </c>
      <c r="V173" t="s">
        <v>851</v>
      </c>
    </row>
    <row r="174" spans="1:22" x14ac:dyDescent="0.25">
      <c r="A174" s="56" t="s">
        <v>325</v>
      </c>
      <c r="B174" s="38" t="s">
        <v>525</v>
      </c>
      <c r="C174" s="10" t="s">
        <v>525</v>
      </c>
      <c r="D174" s="39" t="s">
        <v>518</v>
      </c>
      <c r="E174" s="16" t="s">
        <v>54</v>
      </c>
      <c r="F174" s="12">
        <v>347</v>
      </c>
      <c r="G174" s="16">
        <v>245</v>
      </c>
      <c r="H174" s="40" t="s">
        <v>315</v>
      </c>
      <c r="I174" s="40" t="s">
        <v>519</v>
      </c>
      <c r="J174" s="41" t="s">
        <v>317</v>
      </c>
      <c r="K174" s="41" t="s">
        <v>345</v>
      </c>
      <c r="L174" s="57" t="s">
        <v>319</v>
      </c>
      <c r="M174" s="58" t="str">
        <f>Tabla16[[#This Row],[ABR_02]]</f>
        <v>ER</v>
      </c>
      <c r="N174" t="s">
        <v>320</v>
      </c>
      <c r="O174" s="59" t="s">
        <v>334</v>
      </c>
      <c r="P174" t="s">
        <v>650</v>
      </c>
      <c r="Q174" t="s">
        <v>320</v>
      </c>
      <c r="R174" s="60" t="str">
        <f>_xlfn.CONCAT(Tabla16[[#This Row],[ABR_01]],"00",Tabla16[[#This Row],[ABR_02]],Tabla16[[#This Row],[ZONA2]],,"0",Tabla16[[#This Row],[PARADA2]])</f>
        <v>AR00ER1006</v>
      </c>
      <c r="S174" s="60" t="s">
        <v>580</v>
      </c>
      <c r="T174" s="42" t="s">
        <v>324</v>
      </c>
      <c r="U174" s="53" t="s">
        <v>324</v>
      </c>
      <c r="V174" t="s">
        <v>851</v>
      </c>
    </row>
    <row r="175" spans="1:22" x14ac:dyDescent="0.25">
      <c r="A175" s="56" t="s">
        <v>325</v>
      </c>
      <c r="B175" s="38" t="s">
        <v>526</v>
      </c>
      <c r="C175" s="10" t="s">
        <v>526</v>
      </c>
      <c r="D175" s="39" t="s">
        <v>518</v>
      </c>
      <c r="E175" s="16" t="s">
        <v>54</v>
      </c>
      <c r="F175" s="12">
        <v>347</v>
      </c>
      <c r="G175" s="16">
        <v>235</v>
      </c>
      <c r="H175" s="40" t="s">
        <v>315</v>
      </c>
      <c r="I175" s="40" t="s">
        <v>519</v>
      </c>
      <c r="J175" s="41" t="s">
        <v>317</v>
      </c>
      <c r="K175" s="41" t="s">
        <v>347</v>
      </c>
      <c r="L175" s="57" t="s">
        <v>319</v>
      </c>
      <c r="M175" s="58" t="str">
        <f>Tabla16[[#This Row],[ABR_02]]</f>
        <v>ER</v>
      </c>
      <c r="N175" t="s">
        <v>320</v>
      </c>
      <c r="O175" s="59" t="s">
        <v>334</v>
      </c>
      <c r="P175" t="s">
        <v>650</v>
      </c>
      <c r="Q175" t="s">
        <v>320</v>
      </c>
      <c r="R175" s="60" t="str">
        <f>_xlfn.CONCAT(Tabla16[[#This Row],[ABR_01]],"00",Tabla16[[#This Row],[ABR_02]],Tabla16[[#This Row],[ZONA2]],,"0",Tabla16[[#This Row],[PARADA2]])</f>
        <v>AR00ER1007</v>
      </c>
      <c r="S175" s="60" t="s">
        <v>580</v>
      </c>
      <c r="T175" s="42" t="s">
        <v>324</v>
      </c>
      <c r="U175" s="53" t="s">
        <v>324</v>
      </c>
      <c r="V175" t="s">
        <v>851</v>
      </c>
    </row>
    <row r="176" spans="1:22" x14ac:dyDescent="0.25">
      <c r="A176" s="56" t="s">
        <v>325</v>
      </c>
      <c r="B176" s="38" t="s">
        <v>527</v>
      </c>
      <c r="C176" s="44" t="s">
        <v>79</v>
      </c>
      <c r="D176" s="39" t="s">
        <v>518</v>
      </c>
      <c r="E176" s="16" t="s">
        <v>54</v>
      </c>
      <c r="F176" s="12">
        <v>347</v>
      </c>
      <c r="G176" s="16">
        <v>230</v>
      </c>
      <c r="H176" s="40" t="s">
        <v>315</v>
      </c>
      <c r="I176" s="40" t="s">
        <v>519</v>
      </c>
      <c r="J176" s="41" t="s">
        <v>317</v>
      </c>
      <c r="K176" s="41" t="s">
        <v>349</v>
      </c>
      <c r="L176" s="57" t="s">
        <v>319</v>
      </c>
      <c r="M176" s="58" t="str">
        <f>Tabla16[[#This Row],[ABR_02]]</f>
        <v>ER</v>
      </c>
      <c r="N176" t="s">
        <v>320</v>
      </c>
      <c r="O176" s="59" t="s">
        <v>334</v>
      </c>
      <c r="P176" t="s">
        <v>650</v>
      </c>
      <c r="Q176" t="s">
        <v>320</v>
      </c>
      <c r="R176" s="60" t="str">
        <f>_xlfn.CONCAT(Tabla16[[#This Row],[ABR_01]],"00",Tabla16[[#This Row],[ABR_02]],Tabla16[[#This Row],[ZONA2]],,"0",Tabla16[[#This Row],[PARADA2]])</f>
        <v>AR00ER1008</v>
      </c>
      <c r="S176" s="60" t="s">
        <v>580</v>
      </c>
      <c r="T176" s="42" t="s">
        <v>324</v>
      </c>
      <c r="U176" s="53" t="s">
        <v>324</v>
      </c>
      <c r="V176" t="s">
        <v>851</v>
      </c>
    </row>
    <row r="177" spans="1:22" x14ac:dyDescent="0.25">
      <c r="A177" s="56" t="s">
        <v>325</v>
      </c>
      <c r="B177" s="38" t="s">
        <v>528</v>
      </c>
      <c r="C177" s="10" t="s">
        <v>528</v>
      </c>
      <c r="D177" s="39" t="s">
        <v>518</v>
      </c>
      <c r="E177" s="16" t="s">
        <v>54</v>
      </c>
      <c r="F177" s="12">
        <v>347</v>
      </c>
      <c r="G177" s="16">
        <v>267</v>
      </c>
      <c r="H177" s="40" t="s">
        <v>315</v>
      </c>
      <c r="I177" s="40" t="s">
        <v>519</v>
      </c>
      <c r="J177" s="41" t="s">
        <v>317</v>
      </c>
      <c r="K177" s="41" t="s">
        <v>393</v>
      </c>
      <c r="L177" s="57" t="s">
        <v>319</v>
      </c>
      <c r="M177" s="58" t="str">
        <f>Tabla16[[#This Row],[ABR_02]]</f>
        <v>ER</v>
      </c>
      <c r="N177" t="s">
        <v>320</v>
      </c>
      <c r="O177" s="59" t="s">
        <v>334</v>
      </c>
      <c r="P177" t="s">
        <v>650</v>
      </c>
      <c r="Q177" t="s">
        <v>320</v>
      </c>
      <c r="R177" s="60" t="str">
        <f>_xlfn.CONCAT(Tabla16[[#This Row],[ABR_01]],"00",Tabla16[[#This Row],[ABR_02]],Tabla16[[#This Row],[ZONA2]],,"0",Tabla16[[#This Row],[PARADA2]])</f>
        <v>AR00ER1009</v>
      </c>
      <c r="S177" s="60" t="s">
        <v>580</v>
      </c>
      <c r="T177" s="42" t="s">
        <v>324</v>
      </c>
      <c r="U177" s="53" t="s">
        <v>324</v>
      </c>
      <c r="V177" t="s">
        <v>851</v>
      </c>
    </row>
    <row r="178" spans="1:22" x14ac:dyDescent="0.25">
      <c r="A178" s="56" t="s">
        <v>325</v>
      </c>
      <c r="B178" s="38" t="s">
        <v>529</v>
      </c>
      <c r="C178" s="10" t="s">
        <v>529</v>
      </c>
      <c r="D178" s="39" t="s">
        <v>518</v>
      </c>
      <c r="E178" s="16" t="s">
        <v>54</v>
      </c>
      <c r="F178" s="12">
        <v>347</v>
      </c>
      <c r="G178" s="16">
        <v>343</v>
      </c>
      <c r="H178" s="40" t="s">
        <v>315</v>
      </c>
      <c r="I178" s="40" t="s">
        <v>519</v>
      </c>
      <c r="J178" s="41" t="s">
        <v>317</v>
      </c>
      <c r="K178" s="41" t="s">
        <v>395</v>
      </c>
      <c r="L178" s="57" t="s">
        <v>319</v>
      </c>
      <c r="M178" s="58" t="str">
        <f>Tabla16[[#This Row],[ABR_02]]</f>
        <v>ER</v>
      </c>
      <c r="N178" t="s">
        <v>320</v>
      </c>
      <c r="O178" s="59" t="s">
        <v>334</v>
      </c>
      <c r="P178" t="s">
        <v>650</v>
      </c>
      <c r="Q178" t="s">
        <v>320</v>
      </c>
      <c r="R178" s="60" t="str">
        <f>_xlfn.CONCAT(Tabla16[[#This Row],[ABR_01]],"00",Tabla16[[#This Row],[ABR_02]],Tabla16[[#This Row],[ZONA2]],,"0",Tabla16[[#This Row],[PARADA2]])</f>
        <v>AR00ER1010</v>
      </c>
      <c r="S178" s="60" t="s">
        <v>580</v>
      </c>
      <c r="T178" s="42" t="s">
        <v>324</v>
      </c>
      <c r="U178" s="53" t="s">
        <v>324</v>
      </c>
      <c r="V178" t="s">
        <v>851</v>
      </c>
    </row>
    <row r="179" spans="1:22" x14ac:dyDescent="0.25">
      <c r="A179" s="56" t="s">
        <v>325</v>
      </c>
      <c r="B179" s="38" t="s">
        <v>530</v>
      </c>
      <c r="C179" s="10" t="s">
        <v>530</v>
      </c>
      <c r="D179" s="39" t="s">
        <v>518</v>
      </c>
      <c r="E179" s="16" t="s">
        <v>54</v>
      </c>
      <c r="F179" s="12">
        <v>347</v>
      </c>
      <c r="G179" s="16">
        <v>255</v>
      </c>
      <c r="H179" s="40" t="s">
        <v>315</v>
      </c>
      <c r="I179" s="40" t="s">
        <v>519</v>
      </c>
      <c r="J179" s="41" t="s">
        <v>317</v>
      </c>
      <c r="K179" s="41" t="s">
        <v>397</v>
      </c>
      <c r="L179" s="57" t="s">
        <v>319</v>
      </c>
      <c r="M179" s="58" t="str">
        <f>Tabla16[[#This Row],[ABR_02]]</f>
        <v>ER</v>
      </c>
      <c r="N179" t="s">
        <v>320</v>
      </c>
      <c r="O179" s="59" t="s">
        <v>334</v>
      </c>
      <c r="P179" t="s">
        <v>650</v>
      </c>
      <c r="Q179" t="s">
        <v>320</v>
      </c>
      <c r="R179" s="60" t="str">
        <f>_xlfn.CONCAT(Tabla16[[#This Row],[ABR_01]],"00",Tabla16[[#This Row],[ABR_02]],Tabla16[[#This Row],[ZONA2]],,"0",Tabla16[[#This Row],[PARADA2]])</f>
        <v>AR00ER1011</v>
      </c>
      <c r="S179" s="60" t="s">
        <v>580</v>
      </c>
      <c r="T179" s="42" t="s">
        <v>324</v>
      </c>
      <c r="U179" s="53" t="s">
        <v>324</v>
      </c>
      <c r="V179" t="s">
        <v>851</v>
      </c>
    </row>
    <row r="180" spans="1:22" x14ac:dyDescent="0.25">
      <c r="A180" s="56" t="s">
        <v>325</v>
      </c>
      <c r="B180" s="38" t="s">
        <v>531</v>
      </c>
      <c r="C180" s="10" t="s">
        <v>531</v>
      </c>
      <c r="D180" s="39" t="s">
        <v>518</v>
      </c>
      <c r="E180" s="16" t="s">
        <v>54</v>
      </c>
      <c r="F180" s="12">
        <v>347</v>
      </c>
      <c r="G180" s="16">
        <v>268</v>
      </c>
      <c r="H180" s="40" t="s">
        <v>315</v>
      </c>
      <c r="I180" s="40" t="s">
        <v>519</v>
      </c>
      <c r="J180" s="41" t="s">
        <v>317</v>
      </c>
      <c r="K180" s="41" t="s">
        <v>399</v>
      </c>
      <c r="L180" s="57" t="s">
        <v>319</v>
      </c>
      <c r="M180" s="58" t="str">
        <f>Tabla16[[#This Row],[ABR_02]]</f>
        <v>ER</v>
      </c>
      <c r="N180" t="s">
        <v>320</v>
      </c>
      <c r="O180" s="59" t="s">
        <v>334</v>
      </c>
      <c r="P180" t="s">
        <v>650</v>
      </c>
      <c r="Q180" t="s">
        <v>320</v>
      </c>
      <c r="R180" s="60" t="str">
        <f>_xlfn.CONCAT(Tabla16[[#This Row],[ABR_01]],"00",Tabla16[[#This Row],[ABR_02]],Tabla16[[#This Row],[ZONA2]],,"0",Tabla16[[#This Row],[PARADA2]])</f>
        <v>AR00ER1012</v>
      </c>
      <c r="S180" s="60" t="s">
        <v>580</v>
      </c>
      <c r="T180" s="42" t="s">
        <v>324</v>
      </c>
      <c r="U180" s="53" t="s">
        <v>324</v>
      </c>
      <c r="V180" t="s">
        <v>851</v>
      </c>
    </row>
    <row r="181" spans="1:22" x14ac:dyDescent="0.25">
      <c r="A181" s="56" t="s">
        <v>325</v>
      </c>
      <c r="B181" s="38" t="s">
        <v>532</v>
      </c>
      <c r="C181" s="10" t="s">
        <v>532</v>
      </c>
      <c r="D181" s="39" t="s">
        <v>518</v>
      </c>
      <c r="E181" s="16" t="s">
        <v>54</v>
      </c>
      <c r="F181" s="12">
        <v>347</v>
      </c>
      <c r="G181" s="16">
        <v>260</v>
      </c>
      <c r="H181" s="40" t="s">
        <v>315</v>
      </c>
      <c r="I181" s="40" t="s">
        <v>519</v>
      </c>
      <c r="J181" s="41" t="s">
        <v>317</v>
      </c>
      <c r="K181" s="41" t="s">
        <v>401</v>
      </c>
      <c r="L181" s="57" t="s">
        <v>319</v>
      </c>
      <c r="M181" s="58" t="str">
        <f>Tabla16[[#This Row],[ABR_02]]</f>
        <v>ER</v>
      </c>
      <c r="N181" t="s">
        <v>320</v>
      </c>
      <c r="O181" s="59" t="s">
        <v>334</v>
      </c>
      <c r="P181" t="s">
        <v>650</v>
      </c>
      <c r="Q181" t="s">
        <v>320</v>
      </c>
      <c r="R181" s="60" t="str">
        <f>_xlfn.CONCAT(Tabla16[[#This Row],[ABR_01]],"00",Tabla16[[#This Row],[ABR_02]],Tabla16[[#This Row],[ZONA2]],,"0",Tabla16[[#This Row],[PARADA2]])</f>
        <v>AR00ER1013</v>
      </c>
      <c r="S181" s="60" t="s">
        <v>580</v>
      </c>
      <c r="T181" s="42" t="s">
        <v>324</v>
      </c>
      <c r="U181" s="53" t="s">
        <v>324</v>
      </c>
      <c r="V181" t="s">
        <v>851</v>
      </c>
    </row>
    <row r="182" spans="1:22" x14ac:dyDescent="0.25">
      <c r="A182" s="56" t="s">
        <v>325</v>
      </c>
      <c r="B182" s="38" t="s">
        <v>533</v>
      </c>
      <c r="C182" s="10" t="s">
        <v>533</v>
      </c>
      <c r="D182" s="39" t="s">
        <v>518</v>
      </c>
      <c r="E182" s="16" t="s">
        <v>54</v>
      </c>
      <c r="F182" s="12">
        <v>347</v>
      </c>
      <c r="G182" s="16">
        <v>290</v>
      </c>
      <c r="H182" s="40" t="s">
        <v>315</v>
      </c>
      <c r="I182" s="40" t="s">
        <v>519</v>
      </c>
      <c r="J182" s="41" t="s">
        <v>317</v>
      </c>
      <c r="K182" s="41" t="s">
        <v>404</v>
      </c>
      <c r="L182" s="57" t="s">
        <v>319</v>
      </c>
      <c r="M182" s="58" t="str">
        <f>Tabla16[[#This Row],[ABR_02]]</f>
        <v>ER</v>
      </c>
      <c r="N182" t="s">
        <v>320</v>
      </c>
      <c r="O182" s="59" t="s">
        <v>334</v>
      </c>
      <c r="P182" t="s">
        <v>650</v>
      </c>
      <c r="Q182" t="s">
        <v>320</v>
      </c>
      <c r="R182" s="60" t="str">
        <f>_xlfn.CONCAT(Tabla16[[#This Row],[ABR_01]],"00",Tabla16[[#This Row],[ABR_02]],Tabla16[[#This Row],[ZONA2]],,"0",Tabla16[[#This Row],[PARADA2]])</f>
        <v>AR00ER1014</v>
      </c>
      <c r="S182" s="60" t="s">
        <v>580</v>
      </c>
      <c r="T182" s="42" t="s">
        <v>324</v>
      </c>
      <c r="U182" s="53" t="s">
        <v>324</v>
      </c>
      <c r="V182" t="s">
        <v>851</v>
      </c>
    </row>
    <row r="183" spans="1:22" x14ac:dyDescent="0.25">
      <c r="A183" s="56" t="s">
        <v>325</v>
      </c>
      <c r="B183" s="38" t="s">
        <v>534</v>
      </c>
      <c r="C183" s="44" t="s">
        <v>243</v>
      </c>
      <c r="D183" s="39" t="s">
        <v>518</v>
      </c>
      <c r="E183" s="16" t="s">
        <v>38</v>
      </c>
      <c r="F183" s="12">
        <v>342</v>
      </c>
      <c r="G183" s="16">
        <v>240</v>
      </c>
      <c r="H183" s="40" t="s">
        <v>315</v>
      </c>
      <c r="I183" s="40" t="s">
        <v>519</v>
      </c>
      <c r="J183" s="41" t="s">
        <v>317</v>
      </c>
      <c r="K183" s="41" t="s">
        <v>407</v>
      </c>
      <c r="L183" s="57" t="s">
        <v>319</v>
      </c>
      <c r="M183" s="58" t="str">
        <f>Tabla16[[#This Row],[ABR_02]]</f>
        <v>ER</v>
      </c>
      <c r="N183" t="s">
        <v>320</v>
      </c>
      <c r="O183" s="59" t="s">
        <v>334</v>
      </c>
      <c r="P183" t="s">
        <v>650</v>
      </c>
      <c r="Q183" t="s">
        <v>320</v>
      </c>
      <c r="R183" s="60" t="str">
        <f>_xlfn.CONCAT(Tabla16[[#This Row],[ABR_01]],"00",Tabla16[[#This Row],[ABR_02]],Tabla16[[#This Row],[ZONA2]],,"0",Tabla16[[#This Row],[PARADA2]])</f>
        <v>AR00ER1015</v>
      </c>
      <c r="S183" s="60" t="s">
        <v>580</v>
      </c>
      <c r="T183" s="42" t="s">
        <v>324</v>
      </c>
      <c r="U183" s="53" t="s">
        <v>324</v>
      </c>
      <c r="V183" t="s">
        <v>851</v>
      </c>
    </row>
    <row r="184" spans="1:22" x14ac:dyDescent="0.25">
      <c r="A184" s="56" t="s">
        <v>325</v>
      </c>
      <c r="B184" s="38" t="s">
        <v>512</v>
      </c>
      <c r="C184" s="44" t="s">
        <v>513</v>
      </c>
      <c r="D184" s="39" t="s">
        <v>514</v>
      </c>
      <c r="E184" s="16" t="s">
        <v>70</v>
      </c>
      <c r="F184" s="12">
        <v>343</v>
      </c>
      <c r="G184" s="16">
        <v>360</v>
      </c>
      <c r="H184" s="40" t="s">
        <v>315</v>
      </c>
      <c r="I184" s="40" t="s">
        <v>515</v>
      </c>
      <c r="J184" s="41" t="s">
        <v>317</v>
      </c>
      <c r="K184" s="41" t="s">
        <v>318</v>
      </c>
      <c r="L184" s="57" t="s">
        <v>319</v>
      </c>
      <c r="M184" s="58" t="str">
        <f>Tabla16[[#This Row],[ABR_02]]</f>
        <v>FO</v>
      </c>
      <c r="N184" t="s">
        <v>320</v>
      </c>
      <c r="O184" s="59" t="s">
        <v>318</v>
      </c>
      <c r="P184" t="s">
        <v>321</v>
      </c>
      <c r="Q184" t="s">
        <v>328</v>
      </c>
      <c r="R184" s="60" t="str">
        <f>_xlfn.CONCAT(Tabla16[[#This Row],[ABR_01]],"00",Tabla16[[#This Row],[ABR_02]],Tabla16[[#This Row],[ZONA2]],,"0",Tabla16[[#This Row],[PARADA2]])</f>
        <v>AR00FO1001</v>
      </c>
      <c r="S184" s="60" t="s">
        <v>329</v>
      </c>
      <c r="T184" s="42" t="s">
        <v>324</v>
      </c>
      <c r="U184" s="42" t="s">
        <v>324</v>
      </c>
      <c r="V184" t="s">
        <v>850</v>
      </c>
    </row>
    <row r="185" spans="1:22" x14ac:dyDescent="0.25">
      <c r="A185" s="56" t="s">
        <v>325</v>
      </c>
      <c r="B185" s="38" t="s">
        <v>516</v>
      </c>
      <c r="C185" s="44" t="s">
        <v>71</v>
      </c>
      <c r="D185" s="39" t="s">
        <v>514</v>
      </c>
      <c r="E185" s="16" t="s">
        <v>70</v>
      </c>
      <c r="F185" s="12">
        <v>343</v>
      </c>
      <c r="G185" s="16">
        <v>355</v>
      </c>
      <c r="H185" s="40" t="s">
        <v>315</v>
      </c>
      <c r="I185" s="40" t="s">
        <v>515</v>
      </c>
      <c r="J185" s="41" t="s">
        <v>317</v>
      </c>
      <c r="K185" s="41" t="s">
        <v>331</v>
      </c>
      <c r="L185" s="57" t="s">
        <v>319</v>
      </c>
      <c r="M185" s="58" t="str">
        <f>Tabla16[[#This Row],[ABR_02]]</f>
        <v>FO</v>
      </c>
      <c r="N185" t="s">
        <v>320</v>
      </c>
      <c r="O185" s="59" t="s">
        <v>318</v>
      </c>
      <c r="P185" t="s">
        <v>321</v>
      </c>
      <c r="Q185" t="s">
        <v>328</v>
      </c>
      <c r="R185" s="60" t="str">
        <f>_xlfn.CONCAT(Tabla16[[#This Row],[ABR_01]],"00",Tabla16[[#This Row],[ABR_02]],Tabla16[[#This Row],[ZONA2]],,"0",Tabla16[[#This Row],[PARADA2]])</f>
        <v>AR00FO1002</v>
      </c>
      <c r="S185" s="60" t="s">
        <v>329</v>
      </c>
      <c r="T185" s="42" t="s">
        <v>324</v>
      </c>
      <c r="U185" s="42" t="s">
        <v>324</v>
      </c>
      <c r="V185" t="s">
        <v>850</v>
      </c>
    </row>
    <row r="186" spans="1:22" x14ac:dyDescent="0.25">
      <c r="A186" s="56" t="s">
        <v>325</v>
      </c>
      <c r="B186" s="38" t="s">
        <v>512</v>
      </c>
      <c r="C186" s="44" t="s">
        <v>513</v>
      </c>
      <c r="D186" s="39" t="s">
        <v>514</v>
      </c>
      <c r="E186" s="16" t="s">
        <v>70</v>
      </c>
      <c r="F186" s="12">
        <v>343</v>
      </c>
      <c r="G186" s="16">
        <v>360</v>
      </c>
      <c r="H186" s="40" t="s">
        <v>315</v>
      </c>
      <c r="I186" s="40" t="s">
        <v>515</v>
      </c>
      <c r="J186" s="41" t="s">
        <v>317</v>
      </c>
      <c r="K186" s="41" t="s">
        <v>318</v>
      </c>
      <c r="L186" s="57" t="s">
        <v>319</v>
      </c>
      <c r="M186" s="58" t="str">
        <f>Tabla16[[#This Row],[ABR_02]]</f>
        <v>FO</v>
      </c>
      <c r="N186" t="s">
        <v>320</v>
      </c>
      <c r="O186" s="59" t="s">
        <v>334</v>
      </c>
      <c r="P186" t="s">
        <v>650</v>
      </c>
      <c r="Q186" t="s">
        <v>651</v>
      </c>
      <c r="R186" s="60" t="str">
        <f>_xlfn.CONCAT(Tabla16[[#This Row],[ABR_01]],"00",Tabla16[[#This Row],[ABR_02]],Tabla16[[#This Row],[ZONA2]],,"0",Tabla16[[#This Row],[PARADA2]])</f>
        <v>AR00FO1001</v>
      </c>
      <c r="S186" s="60" t="s">
        <v>652</v>
      </c>
      <c r="T186" s="42" t="s">
        <v>324</v>
      </c>
      <c r="U186" s="53" t="s">
        <v>324</v>
      </c>
      <c r="V186" t="s">
        <v>851</v>
      </c>
    </row>
    <row r="187" spans="1:22" x14ac:dyDescent="0.25">
      <c r="A187" s="56" t="s">
        <v>325</v>
      </c>
      <c r="B187" s="38" t="s">
        <v>516</v>
      </c>
      <c r="C187" s="44" t="s">
        <v>71</v>
      </c>
      <c r="D187" s="39" t="s">
        <v>514</v>
      </c>
      <c r="E187" s="16" t="s">
        <v>70</v>
      </c>
      <c r="F187" s="12">
        <v>343</v>
      </c>
      <c r="G187" s="16">
        <v>355</v>
      </c>
      <c r="H187" s="40" t="s">
        <v>315</v>
      </c>
      <c r="I187" s="40" t="s">
        <v>515</v>
      </c>
      <c r="J187" s="41" t="s">
        <v>317</v>
      </c>
      <c r="K187" s="41" t="s">
        <v>331</v>
      </c>
      <c r="L187" s="57" t="s">
        <v>319</v>
      </c>
      <c r="M187" s="58" t="str">
        <f>Tabla16[[#This Row],[ABR_02]]</f>
        <v>FO</v>
      </c>
      <c r="N187" t="s">
        <v>320</v>
      </c>
      <c r="O187" s="59" t="s">
        <v>334</v>
      </c>
      <c r="P187" t="s">
        <v>650</v>
      </c>
      <c r="Q187" t="s">
        <v>651</v>
      </c>
      <c r="R187" s="60" t="str">
        <f>_xlfn.CONCAT(Tabla16[[#This Row],[ABR_01]],"00",Tabla16[[#This Row],[ABR_02]],Tabla16[[#This Row],[ZONA2]],,"0",Tabla16[[#This Row],[PARADA2]])</f>
        <v>AR00FO1002</v>
      </c>
      <c r="S187" s="60" t="s">
        <v>652</v>
      </c>
      <c r="T187" s="42" t="s">
        <v>324</v>
      </c>
      <c r="U187" s="53" t="s">
        <v>324</v>
      </c>
      <c r="V187" t="s">
        <v>851</v>
      </c>
    </row>
    <row r="188" spans="1:22" x14ac:dyDescent="0.25">
      <c r="A188" s="56" t="s">
        <v>325</v>
      </c>
      <c r="B188" s="38" t="s">
        <v>504</v>
      </c>
      <c r="C188" s="10" t="s">
        <v>504</v>
      </c>
      <c r="D188" s="39" t="s">
        <v>505</v>
      </c>
      <c r="E188" s="16" t="s">
        <v>42</v>
      </c>
      <c r="F188" s="12">
        <v>362</v>
      </c>
      <c r="G188" s="16">
        <v>465</v>
      </c>
      <c r="H188" s="40" t="s">
        <v>315</v>
      </c>
      <c r="I188" s="40" t="s">
        <v>506</v>
      </c>
      <c r="J188" s="41" t="s">
        <v>317</v>
      </c>
      <c r="K188" s="41" t="s">
        <v>318</v>
      </c>
      <c r="L188" s="57" t="s">
        <v>319</v>
      </c>
      <c r="M188" s="58" t="str">
        <f>Tabla16[[#This Row],[ABR_02]]</f>
        <v>JY</v>
      </c>
      <c r="N188" t="s">
        <v>320</v>
      </c>
      <c r="O188" s="59" t="s">
        <v>318</v>
      </c>
      <c r="P188" t="s">
        <v>321</v>
      </c>
      <c r="Q188" t="s">
        <v>328</v>
      </c>
      <c r="R188" s="60" t="str">
        <f>_xlfn.CONCAT(Tabla16[[#This Row],[ABR_01]],"00",Tabla16[[#This Row],[ABR_02]],Tabla16[[#This Row],[ZONA2]],,"0",Tabla16[[#This Row],[PARADA2]])</f>
        <v>AR00JY1001</v>
      </c>
      <c r="S188" s="60" t="s">
        <v>329</v>
      </c>
      <c r="T188" s="42" t="s">
        <v>324</v>
      </c>
      <c r="U188" s="42" t="s">
        <v>324</v>
      </c>
      <c r="V188" t="s">
        <v>850</v>
      </c>
    </row>
    <row r="189" spans="1:22" x14ac:dyDescent="0.25">
      <c r="A189" s="56" t="s">
        <v>325</v>
      </c>
      <c r="B189" s="38" t="s">
        <v>507</v>
      </c>
      <c r="C189" s="10" t="s">
        <v>508</v>
      </c>
      <c r="D189" s="39" t="s">
        <v>505</v>
      </c>
      <c r="E189" s="16" t="s">
        <v>42</v>
      </c>
      <c r="F189" s="12">
        <v>362</v>
      </c>
      <c r="G189" s="16">
        <v>450</v>
      </c>
      <c r="H189" s="40" t="s">
        <v>315</v>
      </c>
      <c r="I189" s="40" t="s">
        <v>506</v>
      </c>
      <c r="J189" s="41" t="s">
        <v>317</v>
      </c>
      <c r="K189" s="41" t="s">
        <v>331</v>
      </c>
      <c r="L189" s="57" t="s">
        <v>319</v>
      </c>
      <c r="M189" s="58" t="str">
        <f>Tabla16[[#This Row],[ABR_02]]</f>
        <v>JY</v>
      </c>
      <c r="N189" t="s">
        <v>320</v>
      </c>
      <c r="O189" s="59" t="s">
        <v>318</v>
      </c>
      <c r="P189" t="s">
        <v>321</v>
      </c>
      <c r="Q189" t="s">
        <v>328</v>
      </c>
      <c r="R189" s="60" t="str">
        <f>_xlfn.CONCAT(Tabla16[[#This Row],[ABR_01]],"00",Tabla16[[#This Row],[ABR_02]],Tabla16[[#This Row],[ZONA2]],,"0",Tabla16[[#This Row],[PARADA2]])</f>
        <v>AR00JY1002</v>
      </c>
      <c r="S189" s="60" t="s">
        <v>329</v>
      </c>
      <c r="T189" s="42" t="s">
        <v>324</v>
      </c>
      <c r="U189" s="42" t="s">
        <v>324</v>
      </c>
      <c r="V189" t="s">
        <v>850</v>
      </c>
    </row>
    <row r="190" spans="1:22" x14ac:dyDescent="0.25">
      <c r="A190" s="56" t="s">
        <v>325</v>
      </c>
      <c r="B190" s="38" t="s">
        <v>509</v>
      </c>
      <c r="C190" s="44" t="s">
        <v>510</v>
      </c>
      <c r="D190" s="39" t="s">
        <v>505</v>
      </c>
      <c r="E190" s="16" t="s">
        <v>42</v>
      </c>
      <c r="F190" s="12">
        <v>362</v>
      </c>
      <c r="G190" s="16">
        <v>381</v>
      </c>
      <c r="H190" s="40" t="s">
        <v>315</v>
      </c>
      <c r="I190" s="40" t="s">
        <v>506</v>
      </c>
      <c r="J190" s="41" t="s">
        <v>317</v>
      </c>
      <c r="K190" s="41" t="s">
        <v>332</v>
      </c>
      <c r="L190" s="57" t="s">
        <v>319</v>
      </c>
      <c r="M190" s="58" t="str">
        <f>Tabla16[[#This Row],[ABR_02]]</f>
        <v>JY</v>
      </c>
      <c r="N190" t="s">
        <v>320</v>
      </c>
      <c r="O190" s="59" t="s">
        <v>318</v>
      </c>
      <c r="P190" t="s">
        <v>321</v>
      </c>
      <c r="Q190" t="s">
        <v>328</v>
      </c>
      <c r="R190" s="60" t="str">
        <f>_xlfn.CONCAT(Tabla16[[#This Row],[ABR_01]],"00",Tabla16[[#This Row],[ABR_02]],Tabla16[[#This Row],[ZONA2]],,"0",Tabla16[[#This Row],[PARADA2]])</f>
        <v>AR00JY1003</v>
      </c>
      <c r="S190" s="60" t="s">
        <v>329</v>
      </c>
      <c r="T190" s="42" t="s">
        <v>324</v>
      </c>
      <c r="U190" s="42" t="s">
        <v>324</v>
      </c>
      <c r="V190" t="s">
        <v>850</v>
      </c>
    </row>
    <row r="191" spans="1:22" x14ac:dyDescent="0.25">
      <c r="A191" s="56" t="s">
        <v>325</v>
      </c>
      <c r="B191" s="38" t="s">
        <v>511</v>
      </c>
      <c r="C191" s="10" t="s">
        <v>511</v>
      </c>
      <c r="D191" s="39" t="s">
        <v>505</v>
      </c>
      <c r="E191" s="16" t="s">
        <v>42</v>
      </c>
      <c r="F191" s="12">
        <v>362</v>
      </c>
      <c r="G191" s="16">
        <v>445</v>
      </c>
      <c r="H191" s="40" t="s">
        <v>315</v>
      </c>
      <c r="I191" s="40" t="s">
        <v>506</v>
      </c>
      <c r="J191" s="41" t="s">
        <v>317</v>
      </c>
      <c r="K191" s="41" t="s">
        <v>334</v>
      </c>
      <c r="L191" s="57" t="s">
        <v>319</v>
      </c>
      <c r="M191" s="58" t="str">
        <f>Tabla16[[#This Row],[ABR_02]]</f>
        <v>JY</v>
      </c>
      <c r="N191" t="s">
        <v>320</v>
      </c>
      <c r="O191" s="59" t="s">
        <v>318</v>
      </c>
      <c r="P191" t="s">
        <v>321</v>
      </c>
      <c r="Q191" t="s">
        <v>328</v>
      </c>
      <c r="R191" s="60" t="str">
        <f>_xlfn.CONCAT(Tabla16[[#This Row],[ABR_01]],"00",Tabla16[[#This Row],[ABR_02]],Tabla16[[#This Row],[ZONA2]],,"0",Tabla16[[#This Row],[PARADA2]])</f>
        <v>AR00JY1004</v>
      </c>
      <c r="S191" s="60" t="s">
        <v>329</v>
      </c>
      <c r="T191" s="42" t="s">
        <v>324</v>
      </c>
      <c r="U191" s="42" t="s">
        <v>324</v>
      </c>
      <c r="V191" t="s">
        <v>850</v>
      </c>
    </row>
    <row r="192" spans="1:22" x14ac:dyDescent="0.25">
      <c r="A192" s="56" t="s">
        <v>325</v>
      </c>
      <c r="B192" s="38" t="s">
        <v>149</v>
      </c>
      <c r="C192" s="10" t="s">
        <v>149</v>
      </c>
      <c r="D192" s="39" t="s">
        <v>505</v>
      </c>
      <c r="E192" s="16" t="s">
        <v>42</v>
      </c>
      <c r="F192" s="12">
        <v>362</v>
      </c>
      <c r="G192" s="16">
        <v>460</v>
      </c>
      <c r="H192" s="40" t="s">
        <v>315</v>
      </c>
      <c r="I192" s="40" t="s">
        <v>506</v>
      </c>
      <c r="J192" s="41" t="s">
        <v>317</v>
      </c>
      <c r="K192" s="41" t="s">
        <v>344</v>
      </c>
      <c r="L192" s="57" t="s">
        <v>319</v>
      </c>
      <c r="M192" s="58" t="str">
        <f>Tabla16[[#This Row],[ABR_02]]</f>
        <v>JY</v>
      </c>
      <c r="N192" t="s">
        <v>320</v>
      </c>
      <c r="O192" s="59" t="s">
        <v>318</v>
      </c>
      <c r="P192" t="s">
        <v>321</v>
      </c>
      <c r="Q192" t="s">
        <v>328</v>
      </c>
      <c r="R192" s="60" t="str">
        <f>_xlfn.CONCAT(Tabla16[[#This Row],[ABR_01]],"00",Tabla16[[#This Row],[ABR_02]],Tabla16[[#This Row],[ZONA2]],,"0",Tabla16[[#This Row],[PARADA2]])</f>
        <v>AR00JY1005</v>
      </c>
      <c r="S192" s="60" t="s">
        <v>329</v>
      </c>
      <c r="T192" s="42" t="s">
        <v>324</v>
      </c>
      <c r="U192" s="42" t="s">
        <v>324</v>
      </c>
      <c r="V192" t="s">
        <v>850</v>
      </c>
    </row>
    <row r="193" spans="1:22" x14ac:dyDescent="0.25">
      <c r="A193" s="56" t="s">
        <v>325</v>
      </c>
      <c r="B193" s="38" t="s">
        <v>504</v>
      </c>
      <c r="C193" s="10" t="s">
        <v>504</v>
      </c>
      <c r="D193" s="39" t="s">
        <v>505</v>
      </c>
      <c r="E193" s="16" t="s">
        <v>42</v>
      </c>
      <c r="F193" s="12">
        <v>362</v>
      </c>
      <c r="G193" s="16">
        <v>465</v>
      </c>
      <c r="H193" s="40" t="s">
        <v>315</v>
      </c>
      <c r="I193" s="40" t="s">
        <v>506</v>
      </c>
      <c r="J193" s="41" t="s">
        <v>317</v>
      </c>
      <c r="K193" s="41" t="s">
        <v>318</v>
      </c>
      <c r="L193" s="57" t="s">
        <v>319</v>
      </c>
      <c r="M193" s="58" t="str">
        <f>Tabla16[[#This Row],[ABR_02]]</f>
        <v>JY</v>
      </c>
      <c r="N193" t="s">
        <v>320</v>
      </c>
      <c r="O193" s="59" t="s">
        <v>334</v>
      </c>
      <c r="P193" t="s">
        <v>650</v>
      </c>
      <c r="Q193" t="s">
        <v>651</v>
      </c>
      <c r="R193" s="60" t="str">
        <f>_xlfn.CONCAT(Tabla16[[#This Row],[ABR_01]],"00",Tabla16[[#This Row],[ABR_02]],Tabla16[[#This Row],[ZONA2]],,"0",Tabla16[[#This Row],[PARADA2]])</f>
        <v>AR00JY1001</v>
      </c>
      <c r="S193" s="60" t="s">
        <v>652</v>
      </c>
      <c r="T193" s="42" t="s">
        <v>324</v>
      </c>
      <c r="U193" s="53" t="s">
        <v>324</v>
      </c>
      <c r="V193" t="s">
        <v>851</v>
      </c>
    </row>
    <row r="194" spans="1:22" x14ac:dyDescent="0.25">
      <c r="A194" s="56" t="s">
        <v>325</v>
      </c>
      <c r="B194" s="38" t="s">
        <v>507</v>
      </c>
      <c r="C194" s="10" t="s">
        <v>508</v>
      </c>
      <c r="D194" s="39" t="s">
        <v>505</v>
      </c>
      <c r="E194" s="16" t="s">
        <v>42</v>
      </c>
      <c r="F194" s="12">
        <v>362</v>
      </c>
      <c r="G194" s="16">
        <v>450</v>
      </c>
      <c r="H194" s="40" t="s">
        <v>315</v>
      </c>
      <c r="I194" s="40" t="s">
        <v>506</v>
      </c>
      <c r="J194" s="41" t="s">
        <v>317</v>
      </c>
      <c r="K194" s="41" t="s">
        <v>331</v>
      </c>
      <c r="L194" s="57" t="s">
        <v>319</v>
      </c>
      <c r="M194" s="58" t="str">
        <f>Tabla16[[#This Row],[ABR_02]]</f>
        <v>JY</v>
      </c>
      <c r="N194" t="s">
        <v>320</v>
      </c>
      <c r="O194" s="59" t="s">
        <v>334</v>
      </c>
      <c r="P194" t="s">
        <v>650</v>
      </c>
      <c r="Q194" t="s">
        <v>651</v>
      </c>
      <c r="R194" s="60" t="str">
        <f>_xlfn.CONCAT(Tabla16[[#This Row],[ABR_01]],"00",Tabla16[[#This Row],[ABR_02]],Tabla16[[#This Row],[ZONA2]],,"0",Tabla16[[#This Row],[PARADA2]])</f>
        <v>AR00JY1002</v>
      </c>
      <c r="S194" s="60" t="s">
        <v>652</v>
      </c>
      <c r="T194" s="42" t="s">
        <v>324</v>
      </c>
      <c r="U194" s="53" t="s">
        <v>324</v>
      </c>
      <c r="V194" t="s">
        <v>851</v>
      </c>
    </row>
    <row r="195" spans="1:22" x14ac:dyDescent="0.25">
      <c r="A195" s="56" t="s">
        <v>325</v>
      </c>
      <c r="B195" s="38" t="s">
        <v>509</v>
      </c>
      <c r="C195" s="44" t="s">
        <v>510</v>
      </c>
      <c r="D195" s="39" t="s">
        <v>505</v>
      </c>
      <c r="E195" s="16" t="s">
        <v>42</v>
      </c>
      <c r="F195" s="12">
        <v>362</v>
      </c>
      <c r="G195" s="16">
        <v>381</v>
      </c>
      <c r="H195" s="40" t="s">
        <v>315</v>
      </c>
      <c r="I195" s="40" t="s">
        <v>506</v>
      </c>
      <c r="J195" s="41" t="s">
        <v>317</v>
      </c>
      <c r="K195" s="41" t="s">
        <v>332</v>
      </c>
      <c r="L195" s="57" t="s">
        <v>319</v>
      </c>
      <c r="M195" s="58" t="str">
        <f>Tabla16[[#This Row],[ABR_02]]</f>
        <v>JY</v>
      </c>
      <c r="N195" t="s">
        <v>320</v>
      </c>
      <c r="O195" s="59" t="s">
        <v>334</v>
      </c>
      <c r="P195" t="s">
        <v>650</v>
      </c>
      <c r="Q195" t="s">
        <v>651</v>
      </c>
      <c r="R195" s="60" t="str">
        <f>_xlfn.CONCAT(Tabla16[[#This Row],[ABR_01]],"00",Tabla16[[#This Row],[ABR_02]],Tabla16[[#This Row],[ZONA2]],,"0",Tabla16[[#This Row],[PARADA2]])</f>
        <v>AR00JY1003</v>
      </c>
      <c r="S195" s="60" t="s">
        <v>652</v>
      </c>
      <c r="T195" s="42" t="s">
        <v>324</v>
      </c>
      <c r="U195" s="53" t="s">
        <v>324</v>
      </c>
      <c r="V195" t="s">
        <v>851</v>
      </c>
    </row>
    <row r="196" spans="1:22" x14ac:dyDescent="0.25">
      <c r="A196" s="56" t="s">
        <v>325</v>
      </c>
      <c r="B196" s="38" t="s">
        <v>511</v>
      </c>
      <c r="C196" s="10" t="s">
        <v>511</v>
      </c>
      <c r="D196" s="39" t="s">
        <v>505</v>
      </c>
      <c r="E196" s="16" t="s">
        <v>42</v>
      </c>
      <c r="F196" s="12">
        <v>362</v>
      </c>
      <c r="G196" s="16">
        <v>445</v>
      </c>
      <c r="H196" s="40" t="s">
        <v>315</v>
      </c>
      <c r="I196" s="40" t="s">
        <v>506</v>
      </c>
      <c r="J196" s="41" t="s">
        <v>317</v>
      </c>
      <c r="K196" s="41" t="s">
        <v>334</v>
      </c>
      <c r="L196" s="57" t="s">
        <v>319</v>
      </c>
      <c r="M196" s="58" t="str">
        <f>Tabla16[[#This Row],[ABR_02]]</f>
        <v>JY</v>
      </c>
      <c r="N196" t="s">
        <v>320</v>
      </c>
      <c r="O196" s="59" t="s">
        <v>334</v>
      </c>
      <c r="P196" t="s">
        <v>650</v>
      </c>
      <c r="Q196" t="s">
        <v>651</v>
      </c>
      <c r="R196" s="60" t="str">
        <f>_xlfn.CONCAT(Tabla16[[#This Row],[ABR_01]],"00",Tabla16[[#This Row],[ABR_02]],Tabla16[[#This Row],[ZONA2]],,"0",Tabla16[[#This Row],[PARADA2]])</f>
        <v>AR00JY1004</v>
      </c>
      <c r="S196" s="60" t="s">
        <v>652</v>
      </c>
      <c r="T196" s="42" t="s">
        <v>324</v>
      </c>
      <c r="U196" s="53" t="s">
        <v>324</v>
      </c>
      <c r="V196" t="s">
        <v>851</v>
      </c>
    </row>
    <row r="197" spans="1:22" x14ac:dyDescent="0.25">
      <c r="A197" s="56" t="s">
        <v>325</v>
      </c>
      <c r="B197" s="38" t="s">
        <v>149</v>
      </c>
      <c r="C197" s="10" t="s">
        <v>149</v>
      </c>
      <c r="D197" s="39" t="s">
        <v>505</v>
      </c>
      <c r="E197" s="16" t="s">
        <v>42</v>
      </c>
      <c r="F197" s="12">
        <v>362</v>
      </c>
      <c r="G197" s="16">
        <v>460</v>
      </c>
      <c r="H197" s="40" t="s">
        <v>315</v>
      </c>
      <c r="I197" s="40" t="s">
        <v>506</v>
      </c>
      <c r="J197" s="41" t="s">
        <v>317</v>
      </c>
      <c r="K197" s="41" t="s">
        <v>344</v>
      </c>
      <c r="L197" s="57" t="s">
        <v>319</v>
      </c>
      <c r="M197" s="58" t="str">
        <f>Tabla16[[#This Row],[ABR_02]]</f>
        <v>JY</v>
      </c>
      <c r="N197" t="s">
        <v>320</v>
      </c>
      <c r="O197" s="59" t="s">
        <v>334</v>
      </c>
      <c r="P197" t="s">
        <v>650</v>
      </c>
      <c r="Q197" t="s">
        <v>651</v>
      </c>
      <c r="R197" s="60" t="str">
        <f>_xlfn.CONCAT(Tabla16[[#This Row],[ABR_01]],"00",Tabla16[[#This Row],[ABR_02]],Tabla16[[#This Row],[ZONA2]],,"0",Tabla16[[#This Row],[PARADA2]])</f>
        <v>AR00JY1005</v>
      </c>
      <c r="S197" s="60" t="s">
        <v>652</v>
      </c>
      <c r="T197" s="42" t="s">
        <v>324</v>
      </c>
      <c r="U197" s="53" t="s">
        <v>324</v>
      </c>
      <c r="V197" t="s">
        <v>851</v>
      </c>
    </row>
    <row r="198" spans="1:22" x14ac:dyDescent="0.25">
      <c r="A198" s="56" t="s">
        <v>325</v>
      </c>
      <c r="B198" s="38" t="s">
        <v>499</v>
      </c>
      <c r="C198" s="44" t="s">
        <v>75</v>
      </c>
      <c r="D198" s="39" t="s">
        <v>500</v>
      </c>
      <c r="E198" s="16" t="s">
        <v>73</v>
      </c>
      <c r="F198" s="12">
        <v>295</v>
      </c>
      <c r="G198" s="16">
        <v>820</v>
      </c>
      <c r="H198" s="40" t="s">
        <v>315</v>
      </c>
      <c r="I198" s="40" t="s">
        <v>501</v>
      </c>
      <c r="J198" s="41" t="s">
        <v>317</v>
      </c>
      <c r="K198" s="41" t="s">
        <v>318</v>
      </c>
      <c r="L198" s="57" t="s">
        <v>319</v>
      </c>
      <c r="M198" s="58" t="str">
        <f>Tabla16[[#This Row],[ABR_02]]</f>
        <v>LP</v>
      </c>
      <c r="N198" t="s">
        <v>320</v>
      </c>
      <c r="O198" s="59" t="s">
        <v>318</v>
      </c>
      <c r="P198" t="s">
        <v>321</v>
      </c>
      <c r="Q198" t="s">
        <v>378</v>
      </c>
      <c r="R198" s="60" t="str">
        <f>_xlfn.CONCAT(Tabla16[[#This Row],[ABR_01]],"00",Tabla16[[#This Row],[ABR_02]],Tabla16[[#This Row],[ZONA2]],,"0",Tabla16[[#This Row],[PARADA2]])</f>
        <v>AR00LP1001</v>
      </c>
      <c r="S198" s="60" t="s">
        <v>379</v>
      </c>
      <c r="T198" s="42" t="s">
        <v>324</v>
      </c>
      <c r="U198" s="42" t="s">
        <v>324</v>
      </c>
      <c r="V198" t="s">
        <v>850</v>
      </c>
    </row>
    <row r="199" spans="1:22" x14ac:dyDescent="0.25">
      <c r="A199" s="56" t="s">
        <v>325</v>
      </c>
      <c r="B199" s="38" t="s">
        <v>502</v>
      </c>
      <c r="C199" s="10" t="s">
        <v>502</v>
      </c>
      <c r="D199" s="39" t="s">
        <v>500</v>
      </c>
      <c r="E199" s="16" t="s">
        <v>73</v>
      </c>
      <c r="F199" s="12">
        <v>295</v>
      </c>
      <c r="G199" s="16">
        <v>806</v>
      </c>
      <c r="H199" s="40" t="s">
        <v>315</v>
      </c>
      <c r="I199" s="40" t="s">
        <v>501</v>
      </c>
      <c r="J199" s="41" t="s">
        <v>317</v>
      </c>
      <c r="K199" s="41" t="s">
        <v>331</v>
      </c>
      <c r="L199" s="57" t="s">
        <v>319</v>
      </c>
      <c r="M199" s="58" t="str">
        <f>Tabla16[[#This Row],[ABR_02]]</f>
        <v>LP</v>
      </c>
      <c r="N199" t="s">
        <v>320</v>
      </c>
      <c r="O199" s="59" t="s">
        <v>318</v>
      </c>
      <c r="P199" t="s">
        <v>321</v>
      </c>
      <c r="Q199" t="s">
        <v>378</v>
      </c>
      <c r="R199" s="60" t="str">
        <f>_xlfn.CONCAT(Tabla16[[#This Row],[ABR_01]],"00",Tabla16[[#This Row],[ABR_02]],Tabla16[[#This Row],[ZONA2]],,"0",Tabla16[[#This Row],[PARADA2]])</f>
        <v>AR00LP1002</v>
      </c>
      <c r="S199" s="60" t="s">
        <v>379</v>
      </c>
      <c r="T199" s="42" t="s">
        <v>324</v>
      </c>
      <c r="U199" s="42" t="s">
        <v>324</v>
      </c>
      <c r="V199" t="s">
        <v>850</v>
      </c>
    </row>
    <row r="200" spans="1:22" x14ac:dyDescent="0.25">
      <c r="A200" s="56" t="s">
        <v>325</v>
      </c>
      <c r="B200" s="38" t="s">
        <v>74</v>
      </c>
      <c r="C200" s="10" t="s">
        <v>74</v>
      </c>
      <c r="D200" s="39" t="s">
        <v>500</v>
      </c>
      <c r="E200" s="16" t="s">
        <v>73</v>
      </c>
      <c r="F200" s="12">
        <v>295</v>
      </c>
      <c r="G200" s="16">
        <v>295</v>
      </c>
      <c r="H200" s="40" t="s">
        <v>315</v>
      </c>
      <c r="I200" s="40" t="s">
        <v>501</v>
      </c>
      <c r="J200" s="41" t="s">
        <v>317</v>
      </c>
      <c r="K200" s="41" t="s">
        <v>332</v>
      </c>
      <c r="L200" s="57" t="s">
        <v>319</v>
      </c>
      <c r="M200" s="58" t="str">
        <f>Tabla16[[#This Row],[ABR_02]]</f>
        <v>LP</v>
      </c>
      <c r="N200" t="s">
        <v>320</v>
      </c>
      <c r="O200" s="59" t="s">
        <v>318</v>
      </c>
      <c r="P200" t="s">
        <v>321</v>
      </c>
      <c r="Q200" t="s">
        <v>378</v>
      </c>
      <c r="R200" s="60" t="str">
        <f>_xlfn.CONCAT(Tabla16[[#This Row],[ABR_01]],"00",Tabla16[[#This Row],[ABR_02]],Tabla16[[#This Row],[ZONA2]],,"0",Tabla16[[#This Row],[PARADA2]])</f>
        <v>AR00LP1003</v>
      </c>
      <c r="S200" s="60" t="s">
        <v>379</v>
      </c>
      <c r="T200" s="42" t="s">
        <v>324</v>
      </c>
      <c r="U200" s="42" t="s">
        <v>324</v>
      </c>
      <c r="V200" t="s">
        <v>850</v>
      </c>
    </row>
    <row r="201" spans="1:22" x14ac:dyDescent="0.25">
      <c r="A201" s="56" t="s">
        <v>325</v>
      </c>
      <c r="B201" s="38" t="s">
        <v>503</v>
      </c>
      <c r="C201" s="44" t="s">
        <v>253</v>
      </c>
      <c r="D201" s="39" t="s">
        <v>500</v>
      </c>
      <c r="E201" s="16" t="s">
        <v>73</v>
      </c>
      <c r="F201" s="12">
        <v>295</v>
      </c>
      <c r="G201" s="16">
        <v>815</v>
      </c>
      <c r="H201" s="40" t="s">
        <v>315</v>
      </c>
      <c r="I201" s="40" t="s">
        <v>501</v>
      </c>
      <c r="J201" s="41" t="s">
        <v>317</v>
      </c>
      <c r="K201" s="41" t="s">
        <v>334</v>
      </c>
      <c r="L201" s="57" t="s">
        <v>319</v>
      </c>
      <c r="M201" s="58" t="str">
        <f>Tabla16[[#This Row],[ABR_02]]</f>
        <v>LP</v>
      </c>
      <c r="N201" t="s">
        <v>320</v>
      </c>
      <c r="O201" s="59" t="s">
        <v>318</v>
      </c>
      <c r="P201" t="s">
        <v>321</v>
      </c>
      <c r="Q201" t="s">
        <v>378</v>
      </c>
      <c r="R201" s="60" t="str">
        <f>_xlfn.CONCAT(Tabla16[[#This Row],[ABR_01]],"00",Tabla16[[#This Row],[ABR_02]],Tabla16[[#This Row],[ZONA2]],,"0",Tabla16[[#This Row],[PARADA2]])</f>
        <v>AR00LP1004</v>
      </c>
      <c r="S201" s="60" t="s">
        <v>379</v>
      </c>
      <c r="T201" s="42" t="s">
        <v>324</v>
      </c>
      <c r="U201" s="42" t="s">
        <v>324</v>
      </c>
      <c r="V201" t="s">
        <v>850</v>
      </c>
    </row>
    <row r="202" spans="1:22" x14ac:dyDescent="0.25">
      <c r="A202" s="56" t="s">
        <v>325</v>
      </c>
      <c r="B202" s="38" t="s">
        <v>499</v>
      </c>
      <c r="C202" s="44" t="s">
        <v>75</v>
      </c>
      <c r="D202" s="39" t="s">
        <v>500</v>
      </c>
      <c r="E202" s="16" t="s">
        <v>73</v>
      </c>
      <c r="F202" s="12">
        <v>295</v>
      </c>
      <c r="G202" s="16">
        <v>820</v>
      </c>
      <c r="H202" s="40" t="s">
        <v>315</v>
      </c>
      <c r="I202" s="40" t="s">
        <v>501</v>
      </c>
      <c r="J202" s="41" t="s">
        <v>317</v>
      </c>
      <c r="K202" s="41" t="s">
        <v>318</v>
      </c>
      <c r="L202" s="57" t="s">
        <v>319</v>
      </c>
      <c r="M202" s="58" t="str">
        <f>Tabla16[[#This Row],[ABR_02]]</f>
        <v>LP</v>
      </c>
      <c r="N202" t="s">
        <v>320</v>
      </c>
      <c r="O202" s="59" t="s">
        <v>334</v>
      </c>
      <c r="P202" t="s">
        <v>650</v>
      </c>
      <c r="Q202" t="s">
        <v>320</v>
      </c>
      <c r="R202" s="60" t="str">
        <f>_xlfn.CONCAT(Tabla16[[#This Row],[ABR_01]],"00",Tabla16[[#This Row],[ABR_02]],Tabla16[[#This Row],[ZONA2]],,"0",Tabla16[[#This Row],[PARADA2]])</f>
        <v>AR00LP1001</v>
      </c>
      <c r="S202" s="60" t="s">
        <v>580</v>
      </c>
      <c r="T202" s="42" t="s">
        <v>324</v>
      </c>
      <c r="U202" s="53" t="s">
        <v>324</v>
      </c>
      <c r="V202" t="s">
        <v>851</v>
      </c>
    </row>
    <row r="203" spans="1:22" x14ac:dyDescent="0.25">
      <c r="A203" s="56" t="s">
        <v>325</v>
      </c>
      <c r="B203" s="38" t="s">
        <v>502</v>
      </c>
      <c r="C203" s="10" t="s">
        <v>502</v>
      </c>
      <c r="D203" s="39" t="s">
        <v>500</v>
      </c>
      <c r="E203" s="16" t="s">
        <v>73</v>
      </c>
      <c r="F203" s="12">
        <v>295</v>
      </c>
      <c r="G203" s="16">
        <v>806</v>
      </c>
      <c r="H203" s="40" t="s">
        <v>315</v>
      </c>
      <c r="I203" s="40" t="s">
        <v>501</v>
      </c>
      <c r="J203" s="41" t="s">
        <v>317</v>
      </c>
      <c r="K203" s="41" t="s">
        <v>331</v>
      </c>
      <c r="L203" s="57" t="s">
        <v>319</v>
      </c>
      <c r="M203" s="58" t="str">
        <f>Tabla16[[#This Row],[ABR_02]]</f>
        <v>LP</v>
      </c>
      <c r="N203" t="s">
        <v>320</v>
      </c>
      <c r="O203" s="59" t="s">
        <v>334</v>
      </c>
      <c r="P203" t="s">
        <v>650</v>
      </c>
      <c r="Q203" t="s">
        <v>320</v>
      </c>
      <c r="R203" s="60" t="str">
        <f>_xlfn.CONCAT(Tabla16[[#This Row],[ABR_01]],"00",Tabla16[[#This Row],[ABR_02]],Tabla16[[#This Row],[ZONA2]],,"0",Tabla16[[#This Row],[PARADA2]])</f>
        <v>AR00LP1002</v>
      </c>
      <c r="S203" s="60" t="s">
        <v>580</v>
      </c>
      <c r="T203" s="42" t="s">
        <v>324</v>
      </c>
      <c r="U203" s="53" t="s">
        <v>324</v>
      </c>
      <c r="V203" t="s">
        <v>851</v>
      </c>
    </row>
    <row r="204" spans="1:22" x14ac:dyDescent="0.25">
      <c r="A204" s="56" t="s">
        <v>325</v>
      </c>
      <c r="B204" s="38" t="s">
        <v>74</v>
      </c>
      <c r="C204" s="10" t="s">
        <v>74</v>
      </c>
      <c r="D204" s="336" t="s">
        <v>500</v>
      </c>
      <c r="E204" s="337" t="s">
        <v>73</v>
      </c>
      <c r="F204" s="338">
        <v>295</v>
      </c>
      <c r="G204" s="16">
        <v>295</v>
      </c>
      <c r="H204" s="40" t="s">
        <v>315</v>
      </c>
      <c r="I204" s="40" t="s">
        <v>501</v>
      </c>
      <c r="J204" s="41" t="s">
        <v>317</v>
      </c>
      <c r="K204" s="41" t="s">
        <v>332</v>
      </c>
      <c r="L204" s="57" t="s">
        <v>319</v>
      </c>
      <c r="M204" s="62" t="str">
        <f>Tabla16[[#This Row],[ABR_02]]</f>
        <v>LP</v>
      </c>
      <c r="N204" t="s">
        <v>320</v>
      </c>
      <c r="O204" s="59" t="s">
        <v>334</v>
      </c>
      <c r="P204" t="s">
        <v>650</v>
      </c>
      <c r="Q204" t="s">
        <v>320</v>
      </c>
      <c r="R204" s="60" t="str">
        <f>_xlfn.CONCAT(Tabla16[[#This Row],[ABR_01]],"00",Tabla16[[#This Row],[ABR_02]],Tabla16[[#This Row],[ZONA2]],,"0",Tabla16[[#This Row],[PARADA2]])</f>
        <v>AR00LP1003</v>
      </c>
      <c r="S204" s="60" t="s">
        <v>580</v>
      </c>
      <c r="T204" s="42" t="s">
        <v>324</v>
      </c>
      <c r="U204" s="53" t="s">
        <v>324</v>
      </c>
      <c r="V204" t="s">
        <v>851</v>
      </c>
    </row>
    <row r="205" spans="1:22" x14ac:dyDescent="0.25">
      <c r="A205" s="56" t="s">
        <v>325</v>
      </c>
      <c r="B205" s="38" t="s">
        <v>503</v>
      </c>
      <c r="C205" s="44" t="s">
        <v>253</v>
      </c>
      <c r="D205" s="336" t="s">
        <v>500</v>
      </c>
      <c r="E205" s="337" t="s">
        <v>73</v>
      </c>
      <c r="F205" s="338">
        <v>295</v>
      </c>
      <c r="G205" s="16">
        <v>815</v>
      </c>
      <c r="H205" s="40" t="s">
        <v>315</v>
      </c>
      <c r="I205" s="40" t="s">
        <v>501</v>
      </c>
      <c r="J205" s="41" t="s">
        <v>317</v>
      </c>
      <c r="K205" s="41" t="s">
        <v>334</v>
      </c>
      <c r="L205" s="57" t="s">
        <v>319</v>
      </c>
      <c r="M205" s="62" t="str">
        <f>Tabla16[[#This Row],[ABR_02]]</f>
        <v>LP</v>
      </c>
      <c r="N205" t="s">
        <v>320</v>
      </c>
      <c r="O205" s="59" t="s">
        <v>334</v>
      </c>
      <c r="P205" t="s">
        <v>650</v>
      </c>
      <c r="Q205" t="s">
        <v>320</v>
      </c>
      <c r="R205" s="60" t="str">
        <f>_xlfn.CONCAT(Tabla16[[#This Row],[ABR_01]],"00",Tabla16[[#This Row],[ABR_02]],Tabla16[[#This Row],[ZONA2]],,"0",Tabla16[[#This Row],[PARADA2]])</f>
        <v>AR00LP1004</v>
      </c>
      <c r="S205" s="60" t="s">
        <v>580</v>
      </c>
      <c r="T205" s="42" t="s">
        <v>324</v>
      </c>
      <c r="U205" s="53" t="s">
        <v>324</v>
      </c>
      <c r="V205" t="s">
        <v>851</v>
      </c>
    </row>
    <row r="206" spans="1:22" x14ac:dyDescent="0.25">
      <c r="A206" s="56" t="s">
        <v>325</v>
      </c>
      <c r="B206" s="38" t="s">
        <v>494</v>
      </c>
      <c r="C206" s="44" t="s">
        <v>495</v>
      </c>
      <c r="D206" s="39" t="s">
        <v>496</v>
      </c>
      <c r="E206" s="16" t="s">
        <v>58</v>
      </c>
      <c r="F206" s="12">
        <v>358</v>
      </c>
      <c r="G206" s="16">
        <v>476</v>
      </c>
      <c r="H206" s="40" t="s">
        <v>315</v>
      </c>
      <c r="I206" s="40" t="s">
        <v>497</v>
      </c>
      <c r="J206" s="41" t="s">
        <v>317</v>
      </c>
      <c r="K206" s="41" t="s">
        <v>318</v>
      </c>
      <c r="L206" s="57" t="s">
        <v>319</v>
      </c>
      <c r="M206" s="58" t="str">
        <f>Tabla16[[#This Row],[ABR_02]]</f>
        <v>LR</v>
      </c>
      <c r="N206" t="s">
        <v>320</v>
      </c>
      <c r="O206" s="59" t="s">
        <v>318</v>
      </c>
      <c r="P206" t="s">
        <v>321</v>
      </c>
      <c r="Q206" t="s">
        <v>328</v>
      </c>
      <c r="R206" s="60" t="str">
        <f>_xlfn.CONCAT(Tabla16[[#This Row],[ABR_01]],"00",Tabla16[[#This Row],[ABR_02]],Tabla16[[#This Row],[ZONA2]],,"0",Tabla16[[#This Row],[PARADA2]])</f>
        <v>AR00LR1001</v>
      </c>
      <c r="S206" s="60" t="s">
        <v>329</v>
      </c>
      <c r="T206" s="42" t="s">
        <v>324</v>
      </c>
      <c r="U206" s="42" t="s">
        <v>324</v>
      </c>
      <c r="V206" t="s">
        <v>850</v>
      </c>
    </row>
    <row r="207" spans="1:22" x14ac:dyDescent="0.25">
      <c r="A207" s="56" t="s">
        <v>325</v>
      </c>
      <c r="B207" s="38" t="s">
        <v>498</v>
      </c>
      <c r="C207" s="44" t="s">
        <v>85</v>
      </c>
      <c r="D207" s="39" t="s">
        <v>496</v>
      </c>
      <c r="E207" s="16" t="s">
        <v>58</v>
      </c>
      <c r="F207" s="12">
        <v>358</v>
      </c>
      <c r="G207" s="16">
        <v>475</v>
      </c>
      <c r="H207" s="40" t="s">
        <v>315</v>
      </c>
      <c r="I207" s="40" t="s">
        <v>497</v>
      </c>
      <c r="J207" s="41" t="s">
        <v>317</v>
      </c>
      <c r="K207" s="41" t="s">
        <v>331</v>
      </c>
      <c r="L207" s="57" t="s">
        <v>319</v>
      </c>
      <c r="M207" s="58" t="str">
        <f>Tabla16[[#This Row],[ABR_02]]</f>
        <v>LR</v>
      </c>
      <c r="N207" t="s">
        <v>320</v>
      </c>
      <c r="O207" s="59" t="s">
        <v>318</v>
      </c>
      <c r="P207" t="s">
        <v>321</v>
      </c>
      <c r="Q207" t="s">
        <v>328</v>
      </c>
      <c r="R207" s="60" t="str">
        <f>_xlfn.CONCAT(Tabla16[[#This Row],[ABR_01]],"00",Tabla16[[#This Row],[ABR_02]],Tabla16[[#This Row],[ZONA2]],,"0",Tabla16[[#This Row],[PARADA2]])</f>
        <v>AR00LR1002</v>
      </c>
      <c r="S207" s="60" t="s">
        <v>329</v>
      </c>
      <c r="T207" s="42" t="s">
        <v>324</v>
      </c>
      <c r="U207" s="42" t="s">
        <v>324</v>
      </c>
      <c r="V207" t="s">
        <v>850</v>
      </c>
    </row>
    <row r="208" spans="1:22" x14ac:dyDescent="0.25">
      <c r="A208" s="56" t="s">
        <v>325</v>
      </c>
      <c r="B208" s="38" t="s">
        <v>494</v>
      </c>
      <c r="C208" s="44" t="s">
        <v>495</v>
      </c>
      <c r="D208" s="39" t="s">
        <v>496</v>
      </c>
      <c r="E208" s="16" t="s">
        <v>58</v>
      </c>
      <c r="F208" s="12">
        <v>358</v>
      </c>
      <c r="G208" s="16">
        <v>476</v>
      </c>
      <c r="H208" s="40" t="s">
        <v>315</v>
      </c>
      <c r="I208" s="40" t="s">
        <v>497</v>
      </c>
      <c r="J208" s="41" t="s">
        <v>317</v>
      </c>
      <c r="K208" s="41" t="s">
        <v>318</v>
      </c>
      <c r="L208" s="57" t="s">
        <v>319</v>
      </c>
      <c r="M208" s="58" t="str">
        <f>Tabla16[[#This Row],[ABR_02]]</f>
        <v>LR</v>
      </c>
      <c r="N208" t="s">
        <v>320</v>
      </c>
      <c r="O208" s="59" t="s">
        <v>334</v>
      </c>
      <c r="P208" t="s">
        <v>650</v>
      </c>
      <c r="Q208" t="s">
        <v>320</v>
      </c>
      <c r="R208" s="60" t="str">
        <f>_xlfn.CONCAT(Tabla16[[#This Row],[ABR_01]],"00",Tabla16[[#This Row],[ABR_02]],Tabla16[[#This Row],[ZONA2]],,"0",Tabla16[[#This Row],[PARADA2]])</f>
        <v>AR00LR1001</v>
      </c>
      <c r="S208" s="60" t="s">
        <v>580</v>
      </c>
      <c r="T208" s="42" t="s">
        <v>324</v>
      </c>
      <c r="U208" s="53" t="s">
        <v>324</v>
      </c>
      <c r="V208" t="s">
        <v>851</v>
      </c>
    </row>
    <row r="209" spans="1:22" x14ac:dyDescent="0.25">
      <c r="A209" s="56" t="s">
        <v>325</v>
      </c>
      <c r="B209" s="38" t="s">
        <v>498</v>
      </c>
      <c r="C209" s="44" t="s">
        <v>85</v>
      </c>
      <c r="D209" s="39" t="s">
        <v>496</v>
      </c>
      <c r="E209" s="16" t="s">
        <v>58</v>
      </c>
      <c r="F209" s="12">
        <v>358</v>
      </c>
      <c r="G209" s="16">
        <v>475</v>
      </c>
      <c r="H209" s="40" t="s">
        <v>315</v>
      </c>
      <c r="I209" s="40" t="s">
        <v>497</v>
      </c>
      <c r="J209" s="41" t="s">
        <v>317</v>
      </c>
      <c r="K209" s="41" t="s">
        <v>331</v>
      </c>
      <c r="L209" s="57" t="s">
        <v>319</v>
      </c>
      <c r="M209" s="58" t="str">
        <f>Tabla16[[#This Row],[ABR_02]]</f>
        <v>LR</v>
      </c>
      <c r="N209" t="s">
        <v>320</v>
      </c>
      <c r="O209" s="59" t="s">
        <v>334</v>
      </c>
      <c r="P209" t="s">
        <v>650</v>
      </c>
      <c r="Q209" t="s">
        <v>320</v>
      </c>
      <c r="R209" s="60" t="str">
        <f>_xlfn.CONCAT(Tabla16[[#This Row],[ABR_01]],"00",Tabla16[[#This Row],[ABR_02]],Tabla16[[#This Row],[ZONA2]],,"0",Tabla16[[#This Row],[PARADA2]])</f>
        <v>AR00LR1002</v>
      </c>
      <c r="S209" s="60" t="s">
        <v>580</v>
      </c>
      <c r="T209" s="42" t="s">
        <v>324</v>
      </c>
      <c r="U209" s="53" t="s">
        <v>324</v>
      </c>
      <c r="V209" t="s">
        <v>851</v>
      </c>
    </row>
    <row r="210" spans="1:22" x14ac:dyDescent="0.25">
      <c r="A210" s="56" t="s">
        <v>325</v>
      </c>
      <c r="B210" s="38" t="s">
        <v>478</v>
      </c>
      <c r="C210" s="10" t="s">
        <v>479</v>
      </c>
      <c r="D210" s="39" t="s">
        <v>480</v>
      </c>
      <c r="E210" s="16" t="s">
        <v>90</v>
      </c>
      <c r="F210" s="12">
        <v>261</v>
      </c>
      <c r="G210" s="16">
        <v>530</v>
      </c>
      <c r="H210" s="40" t="s">
        <v>315</v>
      </c>
      <c r="I210" s="40" t="s">
        <v>481</v>
      </c>
      <c r="J210" s="41" t="s">
        <v>317</v>
      </c>
      <c r="K210" s="41" t="s">
        <v>318</v>
      </c>
      <c r="L210" s="57" t="s">
        <v>319</v>
      </c>
      <c r="M210" s="58" t="str">
        <f>Tabla16[[#This Row],[ABR_02]]</f>
        <v>MZ</v>
      </c>
      <c r="N210" t="s">
        <v>320</v>
      </c>
      <c r="O210" s="59" t="s">
        <v>318</v>
      </c>
      <c r="P210" t="s">
        <v>321</v>
      </c>
      <c r="Q210" t="s">
        <v>328</v>
      </c>
      <c r="R210" s="60" t="str">
        <f>_xlfn.CONCAT(Tabla16[[#This Row],[ABR_01]],"00",Tabla16[[#This Row],[ABR_02]],Tabla16[[#This Row],[ZONA2]],,"0",Tabla16[[#This Row],[PARADA2]])</f>
        <v>AR00MZ1001</v>
      </c>
      <c r="S210" s="60" t="s">
        <v>329</v>
      </c>
      <c r="T210" s="42" t="s">
        <v>324</v>
      </c>
      <c r="U210" s="42" t="s">
        <v>324</v>
      </c>
      <c r="V210" t="s">
        <v>850</v>
      </c>
    </row>
    <row r="211" spans="1:22" x14ac:dyDescent="0.25">
      <c r="A211" s="56" t="s">
        <v>325</v>
      </c>
      <c r="B211" s="38" t="s">
        <v>482</v>
      </c>
      <c r="C211" s="44" t="s">
        <v>231</v>
      </c>
      <c r="D211" s="39" t="s">
        <v>480</v>
      </c>
      <c r="E211" s="16" t="s">
        <v>90</v>
      </c>
      <c r="F211" s="12">
        <v>261</v>
      </c>
      <c r="G211" s="16">
        <v>520</v>
      </c>
      <c r="H211" s="40" t="s">
        <v>315</v>
      </c>
      <c r="I211" s="40" t="s">
        <v>481</v>
      </c>
      <c r="J211" s="41" t="s">
        <v>317</v>
      </c>
      <c r="K211" s="41" t="s">
        <v>331</v>
      </c>
      <c r="L211" s="57" t="s">
        <v>319</v>
      </c>
      <c r="M211" s="58" t="str">
        <f>Tabla16[[#This Row],[ABR_02]]</f>
        <v>MZ</v>
      </c>
      <c r="N211" t="s">
        <v>320</v>
      </c>
      <c r="O211" s="59" t="s">
        <v>318</v>
      </c>
      <c r="P211" t="s">
        <v>321</v>
      </c>
      <c r="Q211" t="s">
        <v>328</v>
      </c>
      <c r="R211" s="60" t="str">
        <f>_xlfn.CONCAT(Tabla16[[#This Row],[ABR_01]],"00",Tabla16[[#This Row],[ABR_02]],Tabla16[[#This Row],[ZONA2]],,"0",Tabla16[[#This Row],[PARADA2]])</f>
        <v>AR00MZ1002</v>
      </c>
      <c r="S211" s="60" t="s">
        <v>329</v>
      </c>
      <c r="T211" s="42" t="s">
        <v>324</v>
      </c>
      <c r="U211" s="42" t="s">
        <v>324</v>
      </c>
      <c r="V211" t="s">
        <v>850</v>
      </c>
    </row>
    <row r="212" spans="1:22" x14ac:dyDescent="0.25">
      <c r="A212" s="56" t="s">
        <v>325</v>
      </c>
      <c r="B212" s="38" t="s">
        <v>483</v>
      </c>
      <c r="C212" s="10" t="s">
        <v>484</v>
      </c>
      <c r="D212" s="39" t="s">
        <v>480</v>
      </c>
      <c r="E212" s="16" t="s">
        <v>90</v>
      </c>
      <c r="F212" s="12">
        <v>261</v>
      </c>
      <c r="G212" s="16">
        <v>555</v>
      </c>
      <c r="H212" s="40" t="s">
        <v>315</v>
      </c>
      <c r="I212" s="40" t="s">
        <v>481</v>
      </c>
      <c r="J212" s="41" t="s">
        <v>317</v>
      </c>
      <c r="K212" s="41" t="s">
        <v>332</v>
      </c>
      <c r="L212" s="57" t="s">
        <v>319</v>
      </c>
      <c r="M212" s="58" t="str">
        <f>Tabla16[[#This Row],[ABR_02]]</f>
        <v>MZ</v>
      </c>
      <c r="N212" t="s">
        <v>320</v>
      </c>
      <c r="O212" s="59" t="s">
        <v>318</v>
      </c>
      <c r="P212" t="s">
        <v>321</v>
      </c>
      <c r="Q212" t="s">
        <v>328</v>
      </c>
      <c r="R212" s="60" t="str">
        <f>_xlfn.CONCAT(Tabla16[[#This Row],[ABR_01]],"00",Tabla16[[#This Row],[ABR_02]],Tabla16[[#This Row],[ZONA2]],,"0",Tabla16[[#This Row],[PARADA2]])</f>
        <v>AR00MZ1003</v>
      </c>
      <c r="S212" s="60" t="s">
        <v>329</v>
      </c>
      <c r="T212" s="42" t="s">
        <v>324</v>
      </c>
      <c r="U212" s="42" t="s">
        <v>324</v>
      </c>
      <c r="V212" t="s">
        <v>850</v>
      </c>
    </row>
    <row r="213" spans="1:22" x14ac:dyDescent="0.25">
      <c r="A213" s="56" t="s">
        <v>325</v>
      </c>
      <c r="B213" s="38" t="s">
        <v>233</v>
      </c>
      <c r="C213" s="10" t="s">
        <v>233</v>
      </c>
      <c r="D213" s="39" t="s">
        <v>480</v>
      </c>
      <c r="E213" s="16" t="s">
        <v>90</v>
      </c>
      <c r="F213" s="12">
        <v>261</v>
      </c>
      <c r="G213" s="16">
        <v>522</v>
      </c>
      <c r="H213" s="40" t="s">
        <v>315</v>
      </c>
      <c r="I213" s="40" t="s">
        <v>481</v>
      </c>
      <c r="J213" s="41" t="s">
        <v>317</v>
      </c>
      <c r="K213" s="41" t="s">
        <v>334</v>
      </c>
      <c r="L213" s="57" t="s">
        <v>319</v>
      </c>
      <c r="M213" s="58" t="str">
        <f>Tabla16[[#This Row],[ABR_02]]</f>
        <v>MZ</v>
      </c>
      <c r="N213" t="s">
        <v>320</v>
      </c>
      <c r="O213" s="59" t="s">
        <v>318</v>
      </c>
      <c r="P213" t="s">
        <v>321</v>
      </c>
      <c r="Q213" t="s">
        <v>328</v>
      </c>
      <c r="R213" s="60" t="str">
        <f>_xlfn.CONCAT(Tabla16[[#This Row],[ABR_01]],"00",Tabla16[[#This Row],[ABR_02]],Tabla16[[#This Row],[ZONA2]],,"0",Tabla16[[#This Row],[PARADA2]])</f>
        <v>AR00MZ1004</v>
      </c>
      <c r="S213" s="60" t="s">
        <v>329</v>
      </c>
      <c r="T213" s="42" t="s">
        <v>324</v>
      </c>
      <c r="U213" s="42" t="s">
        <v>324</v>
      </c>
      <c r="V213" t="s">
        <v>850</v>
      </c>
    </row>
    <row r="214" spans="1:22" x14ac:dyDescent="0.25">
      <c r="A214" s="56" t="s">
        <v>325</v>
      </c>
      <c r="B214" s="38" t="s">
        <v>485</v>
      </c>
      <c r="C214" s="44" t="s">
        <v>235</v>
      </c>
      <c r="D214" s="39" t="s">
        <v>480</v>
      </c>
      <c r="E214" s="16" t="s">
        <v>90</v>
      </c>
      <c r="F214" s="12">
        <v>261</v>
      </c>
      <c r="G214" s="16">
        <v>540</v>
      </c>
      <c r="H214" s="40" t="s">
        <v>315</v>
      </c>
      <c r="I214" s="40" t="s">
        <v>481</v>
      </c>
      <c r="J214" s="41" t="s">
        <v>317</v>
      </c>
      <c r="K214" s="41" t="s">
        <v>344</v>
      </c>
      <c r="L214" s="57" t="s">
        <v>319</v>
      </c>
      <c r="M214" s="58" t="str">
        <f>Tabla16[[#This Row],[ABR_02]]</f>
        <v>MZ</v>
      </c>
      <c r="N214" t="s">
        <v>320</v>
      </c>
      <c r="O214" s="59" t="s">
        <v>318</v>
      </c>
      <c r="P214" t="s">
        <v>321</v>
      </c>
      <c r="Q214" t="s">
        <v>328</v>
      </c>
      <c r="R214" s="60" t="str">
        <f>_xlfn.CONCAT(Tabla16[[#This Row],[ABR_01]],"00",Tabla16[[#This Row],[ABR_02]],Tabla16[[#This Row],[ZONA2]],,"0",Tabla16[[#This Row],[PARADA2]])</f>
        <v>AR00MZ1005</v>
      </c>
      <c r="S214" s="60" t="s">
        <v>329</v>
      </c>
      <c r="T214" s="42" t="s">
        <v>324</v>
      </c>
      <c r="U214" s="42" t="s">
        <v>324</v>
      </c>
      <c r="V214" t="s">
        <v>850</v>
      </c>
    </row>
    <row r="215" spans="1:22" x14ac:dyDescent="0.25">
      <c r="A215" s="56" t="s">
        <v>325</v>
      </c>
      <c r="B215" s="38" t="s">
        <v>486</v>
      </c>
      <c r="C215" s="10" t="s">
        <v>237</v>
      </c>
      <c r="D215" s="39" t="s">
        <v>480</v>
      </c>
      <c r="E215" s="16" t="s">
        <v>90</v>
      </c>
      <c r="F215" s="12">
        <v>261</v>
      </c>
      <c r="G215" s="16">
        <v>525</v>
      </c>
      <c r="H215" s="40" t="s">
        <v>315</v>
      </c>
      <c r="I215" s="40" t="s">
        <v>481</v>
      </c>
      <c r="J215" s="41" t="s">
        <v>317</v>
      </c>
      <c r="K215" s="41" t="s">
        <v>345</v>
      </c>
      <c r="L215" s="57" t="s">
        <v>319</v>
      </c>
      <c r="M215" s="58" t="str">
        <f>Tabla16[[#This Row],[ABR_02]]</f>
        <v>MZ</v>
      </c>
      <c r="N215" t="s">
        <v>320</v>
      </c>
      <c r="O215" s="59" t="s">
        <v>318</v>
      </c>
      <c r="P215" t="s">
        <v>321</v>
      </c>
      <c r="Q215" t="s">
        <v>328</v>
      </c>
      <c r="R215" s="60" t="str">
        <f>_xlfn.CONCAT(Tabla16[[#This Row],[ABR_01]],"00",Tabla16[[#This Row],[ABR_02]],Tabla16[[#This Row],[ZONA2]],,"0",Tabla16[[#This Row],[PARADA2]])</f>
        <v>AR00MZ1006</v>
      </c>
      <c r="S215" s="60" t="s">
        <v>329</v>
      </c>
      <c r="T215" s="42" t="s">
        <v>324</v>
      </c>
      <c r="U215" s="42" t="s">
        <v>324</v>
      </c>
      <c r="V215" t="s">
        <v>850</v>
      </c>
    </row>
    <row r="216" spans="1:22" x14ac:dyDescent="0.25">
      <c r="A216" s="56" t="s">
        <v>325</v>
      </c>
      <c r="B216" s="38" t="s">
        <v>487</v>
      </c>
      <c r="C216" s="44" t="s">
        <v>91</v>
      </c>
      <c r="D216" s="39" t="s">
        <v>480</v>
      </c>
      <c r="E216" s="16" t="s">
        <v>90</v>
      </c>
      <c r="F216" s="12">
        <v>261</v>
      </c>
      <c r="G216" s="16">
        <v>515</v>
      </c>
      <c r="H216" s="40" t="s">
        <v>315</v>
      </c>
      <c r="I216" s="40" t="s">
        <v>481</v>
      </c>
      <c r="J216" s="41" t="s">
        <v>317</v>
      </c>
      <c r="K216" s="41" t="s">
        <v>347</v>
      </c>
      <c r="L216" s="57" t="s">
        <v>319</v>
      </c>
      <c r="M216" s="58" t="str">
        <f>Tabla16[[#This Row],[ABR_02]]</f>
        <v>MZ</v>
      </c>
      <c r="N216" t="s">
        <v>320</v>
      </c>
      <c r="O216" s="59" t="s">
        <v>318</v>
      </c>
      <c r="P216" t="s">
        <v>321</v>
      </c>
      <c r="Q216" t="s">
        <v>328</v>
      </c>
      <c r="R216" s="60" t="str">
        <f>_xlfn.CONCAT(Tabla16[[#This Row],[ABR_01]],"00",Tabla16[[#This Row],[ABR_02]],Tabla16[[#This Row],[ZONA2]],,"0",Tabla16[[#This Row],[PARADA2]])</f>
        <v>AR00MZ1007</v>
      </c>
      <c r="S216" s="60" t="s">
        <v>329</v>
      </c>
      <c r="T216" s="42" t="s">
        <v>324</v>
      </c>
      <c r="U216" s="42" t="s">
        <v>324</v>
      </c>
      <c r="V216" t="s">
        <v>850</v>
      </c>
    </row>
    <row r="217" spans="1:22" x14ac:dyDescent="0.25">
      <c r="A217" s="56" t="s">
        <v>325</v>
      </c>
      <c r="B217" s="38" t="s">
        <v>488</v>
      </c>
      <c r="C217" s="10" t="s">
        <v>489</v>
      </c>
      <c r="D217" s="39" t="s">
        <v>480</v>
      </c>
      <c r="E217" s="16" t="s">
        <v>90</v>
      </c>
      <c r="F217" s="12">
        <v>261</v>
      </c>
      <c r="G217" s="16">
        <v>501</v>
      </c>
      <c r="H217" s="40" t="s">
        <v>315</v>
      </c>
      <c r="I217" s="40" t="s">
        <v>481</v>
      </c>
      <c r="J217" s="41" t="s">
        <v>317</v>
      </c>
      <c r="K217" s="41" t="s">
        <v>349</v>
      </c>
      <c r="L217" s="57" t="s">
        <v>319</v>
      </c>
      <c r="M217" s="58" t="str">
        <f>Tabla16[[#This Row],[ABR_02]]</f>
        <v>MZ</v>
      </c>
      <c r="N217" t="s">
        <v>320</v>
      </c>
      <c r="O217" s="59" t="s">
        <v>318</v>
      </c>
      <c r="P217" t="s">
        <v>321</v>
      </c>
      <c r="Q217" t="s">
        <v>328</v>
      </c>
      <c r="R217" s="60" t="str">
        <f>_xlfn.CONCAT(Tabla16[[#This Row],[ABR_01]],"00",Tabla16[[#This Row],[ABR_02]],Tabla16[[#This Row],[ZONA2]],,"0",Tabla16[[#This Row],[PARADA2]])</f>
        <v>AR00MZ1008</v>
      </c>
      <c r="S217" s="60" t="s">
        <v>329</v>
      </c>
      <c r="T217" s="42" t="s">
        <v>324</v>
      </c>
      <c r="U217" s="42" t="s">
        <v>324</v>
      </c>
      <c r="V217" t="s">
        <v>850</v>
      </c>
    </row>
    <row r="218" spans="1:22" x14ac:dyDescent="0.25">
      <c r="A218" s="56" t="s">
        <v>325</v>
      </c>
      <c r="B218" s="38" t="s">
        <v>239</v>
      </c>
      <c r="C218" s="10" t="s">
        <v>239</v>
      </c>
      <c r="D218" s="39" t="s">
        <v>480</v>
      </c>
      <c r="E218" s="16" t="s">
        <v>90</v>
      </c>
      <c r="F218" s="12">
        <v>261</v>
      </c>
      <c r="G218" s="16">
        <v>523</v>
      </c>
      <c r="H218" s="40" t="s">
        <v>315</v>
      </c>
      <c r="I218" s="40" t="s">
        <v>481</v>
      </c>
      <c r="J218" s="41" t="s">
        <v>317</v>
      </c>
      <c r="K218" s="41" t="s">
        <v>393</v>
      </c>
      <c r="L218" s="57" t="s">
        <v>319</v>
      </c>
      <c r="M218" s="58" t="str">
        <f>Tabla16[[#This Row],[ABR_02]]</f>
        <v>MZ</v>
      </c>
      <c r="N218" t="s">
        <v>320</v>
      </c>
      <c r="O218" s="59" t="s">
        <v>318</v>
      </c>
      <c r="P218" t="s">
        <v>321</v>
      </c>
      <c r="Q218" t="s">
        <v>328</v>
      </c>
      <c r="R218" s="60" t="str">
        <f>_xlfn.CONCAT(Tabla16[[#This Row],[ABR_01]],"00",Tabla16[[#This Row],[ABR_02]],Tabla16[[#This Row],[ZONA2]],,"0",Tabla16[[#This Row],[PARADA2]])</f>
        <v>AR00MZ1009</v>
      </c>
      <c r="S218" s="60" t="s">
        <v>329</v>
      </c>
      <c r="T218" s="42" t="s">
        <v>324</v>
      </c>
      <c r="U218" s="42" t="s">
        <v>324</v>
      </c>
      <c r="V218" t="s">
        <v>850</v>
      </c>
    </row>
    <row r="219" spans="1:22" x14ac:dyDescent="0.25">
      <c r="A219" s="56" t="s">
        <v>325</v>
      </c>
      <c r="B219" s="38" t="s">
        <v>490</v>
      </c>
      <c r="C219" s="44" t="s">
        <v>491</v>
      </c>
      <c r="D219" s="39" t="s">
        <v>480</v>
      </c>
      <c r="E219" s="16" t="s">
        <v>90</v>
      </c>
      <c r="F219" s="12">
        <v>261</v>
      </c>
      <c r="G219" s="16">
        <v>261</v>
      </c>
      <c r="H219" s="40" t="s">
        <v>315</v>
      </c>
      <c r="I219" s="40" t="s">
        <v>481</v>
      </c>
      <c r="J219" s="41" t="s">
        <v>317</v>
      </c>
      <c r="K219" s="41" t="s">
        <v>395</v>
      </c>
      <c r="L219" s="57" t="s">
        <v>319</v>
      </c>
      <c r="M219" s="58" t="str">
        <f>Tabla16[[#This Row],[ABR_02]]</f>
        <v>MZ</v>
      </c>
      <c r="N219" t="s">
        <v>320</v>
      </c>
      <c r="O219" s="59" t="s">
        <v>318</v>
      </c>
      <c r="P219" t="s">
        <v>321</v>
      </c>
      <c r="Q219" t="s">
        <v>328</v>
      </c>
      <c r="R219" s="60" t="str">
        <f>_xlfn.CONCAT(Tabla16[[#This Row],[ABR_01]],"00",Tabla16[[#This Row],[ABR_02]],Tabla16[[#This Row],[ZONA2]],,"0",Tabla16[[#This Row],[PARADA2]])</f>
        <v>AR00MZ1010</v>
      </c>
      <c r="S219" s="60" t="s">
        <v>329</v>
      </c>
      <c r="T219" s="42" t="s">
        <v>324</v>
      </c>
      <c r="U219" s="42" t="s">
        <v>324</v>
      </c>
      <c r="V219" t="s">
        <v>850</v>
      </c>
    </row>
    <row r="220" spans="1:22" x14ac:dyDescent="0.25">
      <c r="A220" s="56" t="s">
        <v>325</v>
      </c>
      <c r="B220" s="38" t="s">
        <v>492</v>
      </c>
      <c r="C220" s="44" t="s">
        <v>475</v>
      </c>
      <c r="D220" s="39" t="s">
        <v>480</v>
      </c>
      <c r="E220" s="16" t="s">
        <v>90</v>
      </c>
      <c r="F220" s="12">
        <v>261</v>
      </c>
      <c r="G220" s="16">
        <v>550</v>
      </c>
      <c r="H220" s="40" t="s">
        <v>315</v>
      </c>
      <c r="I220" s="40" t="s">
        <v>481</v>
      </c>
      <c r="J220" s="41" t="s">
        <v>317</v>
      </c>
      <c r="K220" s="41" t="s">
        <v>397</v>
      </c>
      <c r="L220" s="57" t="s">
        <v>319</v>
      </c>
      <c r="M220" s="58" t="str">
        <f>Tabla16[[#This Row],[ABR_02]]</f>
        <v>MZ</v>
      </c>
      <c r="N220" t="s">
        <v>320</v>
      </c>
      <c r="O220" s="59" t="s">
        <v>318</v>
      </c>
      <c r="P220" t="s">
        <v>321</v>
      </c>
      <c r="Q220" t="s">
        <v>328</v>
      </c>
      <c r="R220" s="60" t="str">
        <f>_xlfn.CONCAT(Tabla16[[#This Row],[ABR_01]],"00",Tabla16[[#This Row],[ABR_02]],Tabla16[[#This Row],[ZONA2]],,"0",Tabla16[[#This Row],[PARADA2]])</f>
        <v>AR00MZ1011</v>
      </c>
      <c r="S220" s="60" t="s">
        <v>329</v>
      </c>
      <c r="T220" s="42" t="s">
        <v>324</v>
      </c>
      <c r="U220" s="42" t="s">
        <v>324</v>
      </c>
      <c r="V220" t="s">
        <v>850</v>
      </c>
    </row>
    <row r="221" spans="1:22" x14ac:dyDescent="0.25">
      <c r="A221" s="56" t="s">
        <v>325</v>
      </c>
      <c r="B221" s="38" t="s">
        <v>493</v>
      </c>
      <c r="C221" s="10" t="s">
        <v>493</v>
      </c>
      <c r="D221" s="39" t="s">
        <v>480</v>
      </c>
      <c r="E221" s="16" t="s">
        <v>90</v>
      </c>
      <c r="F221" s="12">
        <v>261</v>
      </c>
      <c r="G221" s="16">
        <v>535</v>
      </c>
      <c r="H221" s="40" t="s">
        <v>315</v>
      </c>
      <c r="I221" s="40" t="s">
        <v>481</v>
      </c>
      <c r="J221" s="41" t="s">
        <v>317</v>
      </c>
      <c r="K221" s="41" t="s">
        <v>399</v>
      </c>
      <c r="L221" s="57" t="s">
        <v>319</v>
      </c>
      <c r="M221" s="58" t="str">
        <f>Tabla16[[#This Row],[ABR_02]]</f>
        <v>MZ</v>
      </c>
      <c r="N221" t="s">
        <v>320</v>
      </c>
      <c r="O221" s="59" t="s">
        <v>318</v>
      </c>
      <c r="P221" t="s">
        <v>321</v>
      </c>
      <c r="Q221" t="s">
        <v>328</v>
      </c>
      <c r="R221" s="60" t="str">
        <f>_xlfn.CONCAT(Tabla16[[#This Row],[ABR_01]],"00",Tabla16[[#This Row],[ABR_02]],Tabla16[[#This Row],[ZONA2]],,"0",Tabla16[[#This Row],[PARADA2]])</f>
        <v>AR00MZ1012</v>
      </c>
      <c r="S221" s="60" t="s">
        <v>329</v>
      </c>
      <c r="T221" s="42" t="s">
        <v>324</v>
      </c>
      <c r="U221" s="42" t="s">
        <v>324</v>
      </c>
      <c r="V221" t="s">
        <v>850</v>
      </c>
    </row>
    <row r="222" spans="1:22" x14ac:dyDescent="0.25">
      <c r="A222" s="56" t="s">
        <v>325</v>
      </c>
      <c r="B222" s="38" t="s">
        <v>478</v>
      </c>
      <c r="C222" s="10" t="s">
        <v>479</v>
      </c>
      <c r="D222" s="39" t="s">
        <v>480</v>
      </c>
      <c r="E222" s="16" t="s">
        <v>90</v>
      </c>
      <c r="F222" s="12">
        <v>261</v>
      </c>
      <c r="G222" s="16">
        <v>530</v>
      </c>
      <c r="H222" s="40" t="s">
        <v>315</v>
      </c>
      <c r="I222" s="40" t="s">
        <v>481</v>
      </c>
      <c r="J222" s="41" t="s">
        <v>317</v>
      </c>
      <c r="K222" s="41" t="s">
        <v>318</v>
      </c>
      <c r="L222" s="57" t="s">
        <v>319</v>
      </c>
      <c r="M222" s="58" t="str">
        <f>Tabla16[[#This Row],[ABR_02]]</f>
        <v>MZ</v>
      </c>
      <c r="N222" t="s">
        <v>320</v>
      </c>
      <c r="O222" s="59" t="s">
        <v>334</v>
      </c>
      <c r="P222" t="s">
        <v>650</v>
      </c>
      <c r="Q222" t="s">
        <v>651</v>
      </c>
      <c r="R222" s="60" t="str">
        <f>_xlfn.CONCAT(Tabla16[[#This Row],[ABR_01]],"00",Tabla16[[#This Row],[ABR_02]],Tabla16[[#This Row],[ZONA2]],,"0",Tabla16[[#This Row],[PARADA2]])</f>
        <v>AR00MZ1001</v>
      </c>
      <c r="S222" s="60" t="s">
        <v>652</v>
      </c>
      <c r="T222" s="42" t="s">
        <v>324</v>
      </c>
      <c r="U222" s="53" t="s">
        <v>324</v>
      </c>
      <c r="V222" t="s">
        <v>851</v>
      </c>
    </row>
    <row r="223" spans="1:22" x14ac:dyDescent="0.25">
      <c r="A223" s="56" t="s">
        <v>325</v>
      </c>
      <c r="B223" s="38" t="s">
        <v>482</v>
      </c>
      <c r="C223" s="44" t="s">
        <v>231</v>
      </c>
      <c r="D223" s="39" t="s">
        <v>480</v>
      </c>
      <c r="E223" s="16" t="s">
        <v>90</v>
      </c>
      <c r="F223" s="12">
        <v>261</v>
      </c>
      <c r="G223" s="16">
        <v>520</v>
      </c>
      <c r="H223" s="40" t="s">
        <v>315</v>
      </c>
      <c r="I223" s="40" t="s">
        <v>481</v>
      </c>
      <c r="J223" s="41" t="s">
        <v>317</v>
      </c>
      <c r="K223" s="41" t="s">
        <v>331</v>
      </c>
      <c r="L223" s="57" t="s">
        <v>319</v>
      </c>
      <c r="M223" s="58" t="str">
        <f>Tabla16[[#This Row],[ABR_02]]</f>
        <v>MZ</v>
      </c>
      <c r="N223" t="s">
        <v>320</v>
      </c>
      <c r="O223" s="59" t="s">
        <v>334</v>
      </c>
      <c r="P223" t="s">
        <v>650</v>
      </c>
      <c r="Q223" t="s">
        <v>651</v>
      </c>
      <c r="R223" s="60" t="str">
        <f>_xlfn.CONCAT(Tabla16[[#This Row],[ABR_01]],"00",Tabla16[[#This Row],[ABR_02]],Tabla16[[#This Row],[ZONA2]],,"0",Tabla16[[#This Row],[PARADA2]])</f>
        <v>AR00MZ1002</v>
      </c>
      <c r="S223" s="60" t="s">
        <v>652</v>
      </c>
      <c r="T223" s="42" t="s">
        <v>324</v>
      </c>
      <c r="U223" s="53" t="s">
        <v>324</v>
      </c>
      <c r="V223" t="s">
        <v>851</v>
      </c>
    </row>
    <row r="224" spans="1:22" x14ac:dyDescent="0.25">
      <c r="A224" s="56" t="s">
        <v>325</v>
      </c>
      <c r="B224" s="38" t="s">
        <v>483</v>
      </c>
      <c r="C224" s="10" t="s">
        <v>484</v>
      </c>
      <c r="D224" s="39" t="s">
        <v>480</v>
      </c>
      <c r="E224" s="16" t="s">
        <v>90</v>
      </c>
      <c r="F224" s="12">
        <v>261</v>
      </c>
      <c r="G224" s="16">
        <v>555</v>
      </c>
      <c r="H224" s="40" t="s">
        <v>315</v>
      </c>
      <c r="I224" s="40" t="s">
        <v>481</v>
      </c>
      <c r="J224" s="41" t="s">
        <v>317</v>
      </c>
      <c r="K224" s="41" t="s">
        <v>332</v>
      </c>
      <c r="L224" s="57" t="s">
        <v>319</v>
      </c>
      <c r="M224" s="58" t="str">
        <f>Tabla16[[#This Row],[ABR_02]]</f>
        <v>MZ</v>
      </c>
      <c r="N224" t="s">
        <v>320</v>
      </c>
      <c r="O224" s="59" t="s">
        <v>334</v>
      </c>
      <c r="P224" t="s">
        <v>650</v>
      </c>
      <c r="Q224" t="s">
        <v>651</v>
      </c>
      <c r="R224" s="60" t="str">
        <f>_xlfn.CONCAT(Tabla16[[#This Row],[ABR_01]],"00",Tabla16[[#This Row],[ABR_02]],Tabla16[[#This Row],[ZONA2]],,"0",Tabla16[[#This Row],[PARADA2]])</f>
        <v>AR00MZ1003</v>
      </c>
      <c r="S224" s="60" t="s">
        <v>652</v>
      </c>
      <c r="T224" s="42" t="s">
        <v>324</v>
      </c>
      <c r="U224" s="53" t="s">
        <v>324</v>
      </c>
      <c r="V224" t="s">
        <v>851</v>
      </c>
    </row>
    <row r="225" spans="1:22" x14ac:dyDescent="0.25">
      <c r="A225" s="56" t="s">
        <v>325</v>
      </c>
      <c r="B225" s="38" t="s">
        <v>233</v>
      </c>
      <c r="C225" s="10" t="s">
        <v>233</v>
      </c>
      <c r="D225" s="39" t="s">
        <v>480</v>
      </c>
      <c r="E225" s="16" t="s">
        <v>90</v>
      </c>
      <c r="F225" s="12">
        <v>261</v>
      </c>
      <c r="G225" s="16">
        <v>522</v>
      </c>
      <c r="H225" s="40" t="s">
        <v>315</v>
      </c>
      <c r="I225" s="40" t="s">
        <v>481</v>
      </c>
      <c r="J225" s="41" t="s">
        <v>317</v>
      </c>
      <c r="K225" s="41" t="s">
        <v>334</v>
      </c>
      <c r="L225" s="57" t="s">
        <v>319</v>
      </c>
      <c r="M225" s="58" t="str">
        <f>Tabla16[[#This Row],[ABR_02]]</f>
        <v>MZ</v>
      </c>
      <c r="N225" t="s">
        <v>320</v>
      </c>
      <c r="O225" s="59" t="s">
        <v>334</v>
      </c>
      <c r="P225" t="s">
        <v>650</v>
      </c>
      <c r="Q225" t="s">
        <v>651</v>
      </c>
      <c r="R225" s="60" t="str">
        <f>_xlfn.CONCAT(Tabla16[[#This Row],[ABR_01]],"00",Tabla16[[#This Row],[ABR_02]],Tabla16[[#This Row],[ZONA2]],,"0",Tabla16[[#This Row],[PARADA2]])</f>
        <v>AR00MZ1004</v>
      </c>
      <c r="S225" s="60" t="s">
        <v>652</v>
      </c>
      <c r="T225" s="42" t="s">
        <v>324</v>
      </c>
      <c r="U225" s="53" t="s">
        <v>324</v>
      </c>
      <c r="V225" t="s">
        <v>851</v>
      </c>
    </row>
    <row r="226" spans="1:22" x14ac:dyDescent="0.25">
      <c r="A226" s="56" t="s">
        <v>325</v>
      </c>
      <c r="B226" s="38" t="s">
        <v>485</v>
      </c>
      <c r="C226" s="44" t="s">
        <v>235</v>
      </c>
      <c r="D226" s="39" t="s">
        <v>480</v>
      </c>
      <c r="E226" s="16" t="s">
        <v>90</v>
      </c>
      <c r="F226" s="12">
        <v>261</v>
      </c>
      <c r="G226" s="16">
        <v>540</v>
      </c>
      <c r="H226" s="40" t="s">
        <v>315</v>
      </c>
      <c r="I226" s="40" t="s">
        <v>481</v>
      </c>
      <c r="J226" s="41" t="s">
        <v>317</v>
      </c>
      <c r="K226" s="41" t="s">
        <v>344</v>
      </c>
      <c r="L226" s="57" t="s">
        <v>319</v>
      </c>
      <c r="M226" s="58" t="str">
        <f>Tabla16[[#This Row],[ABR_02]]</f>
        <v>MZ</v>
      </c>
      <c r="N226" t="s">
        <v>320</v>
      </c>
      <c r="O226" s="59" t="s">
        <v>334</v>
      </c>
      <c r="P226" t="s">
        <v>650</v>
      </c>
      <c r="Q226" t="s">
        <v>651</v>
      </c>
      <c r="R226" s="60" t="str">
        <f>_xlfn.CONCAT(Tabla16[[#This Row],[ABR_01]],"00",Tabla16[[#This Row],[ABR_02]],Tabla16[[#This Row],[ZONA2]],,"0",Tabla16[[#This Row],[PARADA2]])</f>
        <v>AR00MZ1005</v>
      </c>
      <c r="S226" s="60" t="s">
        <v>652</v>
      </c>
      <c r="T226" s="42" t="s">
        <v>324</v>
      </c>
      <c r="U226" s="53" t="s">
        <v>324</v>
      </c>
      <c r="V226" t="s">
        <v>851</v>
      </c>
    </row>
    <row r="227" spans="1:22" x14ac:dyDescent="0.25">
      <c r="A227" s="56" t="s">
        <v>325</v>
      </c>
      <c r="B227" s="38" t="s">
        <v>486</v>
      </c>
      <c r="C227" s="10" t="s">
        <v>237</v>
      </c>
      <c r="D227" s="39" t="s">
        <v>480</v>
      </c>
      <c r="E227" s="16" t="s">
        <v>90</v>
      </c>
      <c r="F227" s="12">
        <v>261</v>
      </c>
      <c r="G227" s="16">
        <v>525</v>
      </c>
      <c r="H227" s="40" t="s">
        <v>315</v>
      </c>
      <c r="I227" s="40" t="s">
        <v>481</v>
      </c>
      <c r="J227" s="41" t="s">
        <v>317</v>
      </c>
      <c r="K227" s="41" t="s">
        <v>345</v>
      </c>
      <c r="L227" s="57" t="s">
        <v>319</v>
      </c>
      <c r="M227" s="58" t="str">
        <f>Tabla16[[#This Row],[ABR_02]]</f>
        <v>MZ</v>
      </c>
      <c r="N227" t="s">
        <v>320</v>
      </c>
      <c r="O227" s="59" t="s">
        <v>334</v>
      </c>
      <c r="P227" t="s">
        <v>650</v>
      </c>
      <c r="Q227" t="s">
        <v>651</v>
      </c>
      <c r="R227" s="60" t="str">
        <f>_xlfn.CONCAT(Tabla16[[#This Row],[ABR_01]],"00",Tabla16[[#This Row],[ABR_02]],Tabla16[[#This Row],[ZONA2]],,"0",Tabla16[[#This Row],[PARADA2]])</f>
        <v>AR00MZ1006</v>
      </c>
      <c r="S227" s="60" t="s">
        <v>652</v>
      </c>
      <c r="T227" s="42" t="s">
        <v>324</v>
      </c>
      <c r="U227" s="53" t="s">
        <v>324</v>
      </c>
      <c r="V227" t="s">
        <v>851</v>
      </c>
    </row>
    <row r="228" spans="1:22" x14ac:dyDescent="0.25">
      <c r="A228" s="56" t="s">
        <v>325</v>
      </c>
      <c r="B228" s="38" t="s">
        <v>487</v>
      </c>
      <c r="C228" s="44" t="s">
        <v>91</v>
      </c>
      <c r="D228" s="39" t="s">
        <v>480</v>
      </c>
      <c r="E228" s="16" t="s">
        <v>90</v>
      </c>
      <c r="F228" s="12">
        <v>261</v>
      </c>
      <c r="G228" s="16">
        <v>515</v>
      </c>
      <c r="H228" s="40" t="s">
        <v>315</v>
      </c>
      <c r="I228" s="40" t="s">
        <v>481</v>
      </c>
      <c r="J228" s="41" t="s">
        <v>317</v>
      </c>
      <c r="K228" s="41" t="s">
        <v>347</v>
      </c>
      <c r="L228" s="57" t="s">
        <v>319</v>
      </c>
      <c r="M228" s="58" t="str">
        <f>Tabla16[[#This Row],[ABR_02]]</f>
        <v>MZ</v>
      </c>
      <c r="N228" t="s">
        <v>320</v>
      </c>
      <c r="O228" s="59" t="s">
        <v>334</v>
      </c>
      <c r="P228" t="s">
        <v>650</v>
      </c>
      <c r="Q228" t="s">
        <v>651</v>
      </c>
      <c r="R228" s="60" t="str">
        <f>_xlfn.CONCAT(Tabla16[[#This Row],[ABR_01]],"00",Tabla16[[#This Row],[ABR_02]],Tabla16[[#This Row],[ZONA2]],,"0",Tabla16[[#This Row],[PARADA2]])</f>
        <v>AR00MZ1007</v>
      </c>
      <c r="S228" s="60" t="s">
        <v>652</v>
      </c>
      <c r="T228" s="42" t="s">
        <v>324</v>
      </c>
      <c r="U228" s="53" t="s">
        <v>324</v>
      </c>
      <c r="V228" t="s">
        <v>851</v>
      </c>
    </row>
    <row r="229" spans="1:22" x14ac:dyDescent="0.25">
      <c r="A229" s="56" t="s">
        <v>325</v>
      </c>
      <c r="B229" s="38" t="s">
        <v>488</v>
      </c>
      <c r="C229" s="10" t="s">
        <v>489</v>
      </c>
      <c r="D229" s="39" t="s">
        <v>480</v>
      </c>
      <c r="E229" s="16" t="s">
        <v>90</v>
      </c>
      <c r="F229" s="12">
        <v>261</v>
      </c>
      <c r="G229" s="16">
        <v>501</v>
      </c>
      <c r="H229" s="40" t="s">
        <v>315</v>
      </c>
      <c r="I229" s="40" t="s">
        <v>481</v>
      </c>
      <c r="J229" s="41" t="s">
        <v>317</v>
      </c>
      <c r="K229" s="41" t="s">
        <v>349</v>
      </c>
      <c r="L229" s="57" t="s">
        <v>319</v>
      </c>
      <c r="M229" s="58" t="str">
        <f>Tabla16[[#This Row],[ABR_02]]</f>
        <v>MZ</v>
      </c>
      <c r="N229" t="s">
        <v>320</v>
      </c>
      <c r="O229" s="59" t="s">
        <v>334</v>
      </c>
      <c r="P229" t="s">
        <v>650</v>
      </c>
      <c r="Q229" t="s">
        <v>651</v>
      </c>
      <c r="R229" s="60" t="str">
        <f>_xlfn.CONCAT(Tabla16[[#This Row],[ABR_01]],"00",Tabla16[[#This Row],[ABR_02]],Tabla16[[#This Row],[ZONA2]],,"0",Tabla16[[#This Row],[PARADA2]])</f>
        <v>AR00MZ1008</v>
      </c>
      <c r="S229" s="60" t="s">
        <v>652</v>
      </c>
      <c r="T229" s="42" t="s">
        <v>324</v>
      </c>
      <c r="U229" s="53" t="s">
        <v>324</v>
      </c>
      <c r="V229" t="s">
        <v>851</v>
      </c>
    </row>
    <row r="230" spans="1:22" x14ac:dyDescent="0.25">
      <c r="A230" s="56" t="s">
        <v>325</v>
      </c>
      <c r="B230" s="38" t="s">
        <v>239</v>
      </c>
      <c r="C230" s="10" t="s">
        <v>239</v>
      </c>
      <c r="D230" s="39" t="s">
        <v>480</v>
      </c>
      <c r="E230" s="16" t="s">
        <v>90</v>
      </c>
      <c r="F230" s="12">
        <v>261</v>
      </c>
      <c r="G230" s="16">
        <v>523</v>
      </c>
      <c r="H230" s="40" t="s">
        <v>315</v>
      </c>
      <c r="I230" s="40" t="s">
        <v>481</v>
      </c>
      <c r="J230" s="41" t="s">
        <v>317</v>
      </c>
      <c r="K230" s="41" t="s">
        <v>393</v>
      </c>
      <c r="L230" s="57" t="s">
        <v>319</v>
      </c>
      <c r="M230" s="58" t="str">
        <f>Tabla16[[#This Row],[ABR_02]]</f>
        <v>MZ</v>
      </c>
      <c r="N230" t="s">
        <v>320</v>
      </c>
      <c r="O230" s="59" t="s">
        <v>334</v>
      </c>
      <c r="P230" t="s">
        <v>650</v>
      </c>
      <c r="Q230" t="s">
        <v>651</v>
      </c>
      <c r="R230" s="60" t="str">
        <f>_xlfn.CONCAT(Tabla16[[#This Row],[ABR_01]],"00",Tabla16[[#This Row],[ABR_02]],Tabla16[[#This Row],[ZONA2]],,"0",Tabla16[[#This Row],[PARADA2]])</f>
        <v>AR00MZ1009</v>
      </c>
      <c r="S230" s="60" t="s">
        <v>652</v>
      </c>
      <c r="T230" s="42" t="s">
        <v>324</v>
      </c>
      <c r="U230" s="53" t="s">
        <v>324</v>
      </c>
      <c r="V230" t="s">
        <v>851</v>
      </c>
    </row>
    <row r="231" spans="1:22" x14ac:dyDescent="0.25">
      <c r="A231" s="56" t="s">
        <v>325</v>
      </c>
      <c r="B231" s="38" t="s">
        <v>490</v>
      </c>
      <c r="C231" s="44" t="s">
        <v>491</v>
      </c>
      <c r="D231" s="39" t="s">
        <v>480</v>
      </c>
      <c r="E231" s="16" t="s">
        <v>90</v>
      </c>
      <c r="F231" s="12">
        <v>261</v>
      </c>
      <c r="G231" s="16">
        <v>261</v>
      </c>
      <c r="H231" s="40" t="s">
        <v>315</v>
      </c>
      <c r="I231" s="40" t="s">
        <v>481</v>
      </c>
      <c r="J231" s="41" t="s">
        <v>317</v>
      </c>
      <c r="K231" s="41" t="s">
        <v>395</v>
      </c>
      <c r="L231" s="57" t="s">
        <v>319</v>
      </c>
      <c r="M231" s="58" t="str">
        <f>Tabla16[[#This Row],[ABR_02]]</f>
        <v>MZ</v>
      </c>
      <c r="N231" t="s">
        <v>320</v>
      </c>
      <c r="O231" s="59" t="s">
        <v>334</v>
      </c>
      <c r="P231" t="s">
        <v>650</v>
      </c>
      <c r="Q231" t="s">
        <v>651</v>
      </c>
      <c r="R231" s="60" t="str">
        <f>_xlfn.CONCAT(Tabla16[[#This Row],[ABR_01]],"00",Tabla16[[#This Row],[ABR_02]],Tabla16[[#This Row],[ZONA2]],,"0",Tabla16[[#This Row],[PARADA2]])</f>
        <v>AR00MZ1010</v>
      </c>
      <c r="S231" s="60" t="s">
        <v>652</v>
      </c>
      <c r="T231" s="42" t="s">
        <v>324</v>
      </c>
      <c r="U231" s="53" t="s">
        <v>324</v>
      </c>
      <c r="V231" t="s">
        <v>851</v>
      </c>
    </row>
    <row r="232" spans="1:22" x14ac:dyDescent="0.25">
      <c r="A232" s="56" t="s">
        <v>325</v>
      </c>
      <c r="B232" s="38" t="s">
        <v>492</v>
      </c>
      <c r="C232" s="38" t="s">
        <v>146</v>
      </c>
      <c r="D232" s="39" t="s">
        <v>480</v>
      </c>
      <c r="E232" s="16" t="s">
        <v>90</v>
      </c>
      <c r="F232" s="12">
        <v>261</v>
      </c>
      <c r="G232" s="16">
        <v>550</v>
      </c>
      <c r="H232" s="40" t="s">
        <v>315</v>
      </c>
      <c r="I232" s="40" t="s">
        <v>481</v>
      </c>
      <c r="J232" s="41" t="s">
        <v>317</v>
      </c>
      <c r="K232" s="41" t="s">
        <v>397</v>
      </c>
      <c r="L232" s="57" t="s">
        <v>319</v>
      </c>
      <c r="M232" s="58" t="str">
        <f>Tabla16[[#This Row],[ABR_02]]</f>
        <v>MZ</v>
      </c>
      <c r="N232" t="s">
        <v>320</v>
      </c>
      <c r="O232" s="59" t="s">
        <v>334</v>
      </c>
      <c r="P232" t="s">
        <v>650</v>
      </c>
      <c r="Q232" t="s">
        <v>651</v>
      </c>
      <c r="R232" s="60" t="str">
        <f>_xlfn.CONCAT(Tabla16[[#This Row],[ABR_01]],"00",Tabla16[[#This Row],[ABR_02]],Tabla16[[#This Row],[ZONA2]],,"0",Tabla16[[#This Row],[PARADA2]])</f>
        <v>AR00MZ1011</v>
      </c>
      <c r="S232" s="60" t="s">
        <v>652</v>
      </c>
      <c r="T232" s="42" t="s">
        <v>324</v>
      </c>
      <c r="U232" s="53" t="s">
        <v>324</v>
      </c>
      <c r="V232" t="s">
        <v>851</v>
      </c>
    </row>
    <row r="233" spans="1:22" x14ac:dyDescent="0.25">
      <c r="A233" s="56" t="s">
        <v>325</v>
      </c>
      <c r="B233" s="38" t="s">
        <v>493</v>
      </c>
      <c r="C233" s="10" t="s">
        <v>493</v>
      </c>
      <c r="D233" s="39" t="s">
        <v>480</v>
      </c>
      <c r="E233" s="16" t="s">
        <v>90</v>
      </c>
      <c r="F233" s="12">
        <v>261</v>
      </c>
      <c r="G233" s="16">
        <v>535</v>
      </c>
      <c r="H233" s="40" t="s">
        <v>315</v>
      </c>
      <c r="I233" s="40" t="s">
        <v>481</v>
      </c>
      <c r="J233" s="41" t="s">
        <v>317</v>
      </c>
      <c r="K233" s="41" t="s">
        <v>399</v>
      </c>
      <c r="L233" s="57" t="s">
        <v>319</v>
      </c>
      <c r="M233" s="58" t="str">
        <f>Tabla16[[#This Row],[ABR_02]]</f>
        <v>MZ</v>
      </c>
      <c r="N233" t="s">
        <v>320</v>
      </c>
      <c r="O233" s="59" t="s">
        <v>334</v>
      </c>
      <c r="P233" t="s">
        <v>650</v>
      </c>
      <c r="Q233" t="s">
        <v>651</v>
      </c>
      <c r="R233" s="60" t="str">
        <f>_xlfn.CONCAT(Tabla16[[#This Row],[ABR_01]],"00",Tabla16[[#This Row],[ABR_02]],Tabla16[[#This Row],[ZONA2]],,"0",Tabla16[[#This Row],[PARADA2]])</f>
        <v>AR00MZ1012</v>
      </c>
      <c r="S233" s="60" t="s">
        <v>652</v>
      </c>
      <c r="T233" s="42" t="s">
        <v>324</v>
      </c>
      <c r="U233" s="53" t="s">
        <v>324</v>
      </c>
      <c r="V233" t="s">
        <v>851</v>
      </c>
    </row>
    <row r="234" spans="1:22" x14ac:dyDescent="0.25">
      <c r="A234" s="56" t="s">
        <v>325</v>
      </c>
      <c r="B234" s="38" t="s">
        <v>469</v>
      </c>
      <c r="C234" s="44" t="s">
        <v>470</v>
      </c>
      <c r="D234" s="39" t="s">
        <v>471</v>
      </c>
      <c r="E234" s="16" t="s">
        <v>70</v>
      </c>
      <c r="F234" s="12">
        <v>349</v>
      </c>
      <c r="G234" s="16">
        <v>325</v>
      </c>
      <c r="H234" s="40" t="s">
        <v>315</v>
      </c>
      <c r="I234" s="40" t="s">
        <v>472</v>
      </c>
      <c r="J234" s="41" t="s">
        <v>317</v>
      </c>
      <c r="K234" s="41" t="s">
        <v>318</v>
      </c>
      <c r="L234" s="57" t="s">
        <v>319</v>
      </c>
      <c r="M234" s="58" t="str">
        <f>Tabla16[[#This Row],[ABR_02]]</f>
        <v>MI</v>
      </c>
      <c r="N234" t="s">
        <v>320</v>
      </c>
      <c r="O234" s="59" t="s">
        <v>318</v>
      </c>
      <c r="P234" t="s">
        <v>321</v>
      </c>
      <c r="Q234" t="s">
        <v>328</v>
      </c>
      <c r="R234" s="60" t="str">
        <f>_xlfn.CONCAT(Tabla16[[#This Row],[ABR_01]],"00",Tabla16[[#This Row],[ABR_02]],Tabla16[[#This Row],[ZONA2]],,"0",Tabla16[[#This Row],[PARADA2]])</f>
        <v>AR00MI1001</v>
      </c>
      <c r="S234" s="60" t="s">
        <v>329</v>
      </c>
      <c r="T234" s="42" t="s">
        <v>324</v>
      </c>
      <c r="U234" s="42" t="s">
        <v>324</v>
      </c>
      <c r="V234" t="s">
        <v>850</v>
      </c>
    </row>
    <row r="235" spans="1:22" x14ac:dyDescent="0.25">
      <c r="A235" s="56" t="s">
        <v>325</v>
      </c>
      <c r="B235" s="38" t="s">
        <v>473</v>
      </c>
      <c r="C235" s="10" t="s">
        <v>473</v>
      </c>
      <c r="D235" s="39" t="s">
        <v>471</v>
      </c>
      <c r="E235" s="16" t="s">
        <v>70</v>
      </c>
      <c r="F235" s="12">
        <v>349</v>
      </c>
      <c r="G235" s="16">
        <v>310</v>
      </c>
      <c r="H235" s="40" t="s">
        <v>315</v>
      </c>
      <c r="I235" s="40" t="s">
        <v>472</v>
      </c>
      <c r="J235" s="41" t="s">
        <v>317</v>
      </c>
      <c r="K235" s="41" t="s">
        <v>331</v>
      </c>
      <c r="L235" s="57" t="s">
        <v>319</v>
      </c>
      <c r="M235" s="58" t="str">
        <f>Tabla16[[#This Row],[ABR_02]]</f>
        <v>MI</v>
      </c>
      <c r="N235" t="s">
        <v>320</v>
      </c>
      <c r="O235" s="59" t="s">
        <v>318</v>
      </c>
      <c r="P235" t="s">
        <v>321</v>
      </c>
      <c r="Q235" t="s">
        <v>328</v>
      </c>
      <c r="R235" s="60" t="str">
        <f>_xlfn.CONCAT(Tabla16[[#This Row],[ABR_01]],"00",Tabla16[[#This Row],[ABR_02]],Tabla16[[#This Row],[ZONA2]],,"0",Tabla16[[#This Row],[PARADA2]])</f>
        <v>AR00MI1002</v>
      </c>
      <c r="S235" s="60" t="s">
        <v>329</v>
      </c>
      <c r="T235" s="42" t="s">
        <v>324</v>
      </c>
      <c r="U235" s="42" t="s">
        <v>324</v>
      </c>
      <c r="V235" t="s">
        <v>850</v>
      </c>
    </row>
    <row r="236" spans="1:22" x14ac:dyDescent="0.25">
      <c r="A236" s="56" t="s">
        <v>325</v>
      </c>
      <c r="B236" s="38" t="s">
        <v>474</v>
      </c>
      <c r="C236" s="10" t="s">
        <v>474</v>
      </c>
      <c r="D236" s="39" t="s">
        <v>471</v>
      </c>
      <c r="E236" s="16" t="s">
        <v>70</v>
      </c>
      <c r="F236" s="12">
        <v>349</v>
      </c>
      <c r="G236" s="16">
        <v>305</v>
      </c>
      <c r="H236" s="40" t="s">
        <v>315</v>
      </c>
      <c r="I236" s="40" t="s">
        <v>472</v>
      </c>
      <c r="J236" s="41" t="s">
        <v>317</v>
      </c>
      <c r="K236" s="41" t="s">
        <v>332</v>
      </c>
      <c r="L236" s="57" t="s">
        <v>319</v>
      </c>
      <c r="M236" s="58" t="str">
        <f>Tabla16[[#This Row],[ABR_02]]</f>
        <v>MI</v>
      </c>
      <c r="N236" t="s">
        <v>320</v>
      </c>
      <c r="O236" s="59" t="s">
        <v>318</v>
      </c>
      <c r="P236" t="s">
        <v>321</v>
      </c>
      <c r="Q236" t="s">
        <v>328</v>
      </c>
      <c r="R236" s="60" t="str">
        <f>_xlfn.CONCAT(Tabla16[[#This Row],[ABR_01]],"00",Tabla16[[#This Row],[ABR_02]],Tabla16[[#This Row],[ZONA2]],,"0",Tabla16[[#This Row],[PARADA2]])</f>
        <v>AR00MI1003</v>
      </c>
      <c r="S236" s="60" t="s">
        <v>329</v>
      </c>
      <c r="T236" s="42" t="s">
        <v>324</v>
      </c>
      <c r="U236" s="42" t="s">
        <v>324</v>
      </c>
      <c r="V236" t="s">
        <v>850</v>
      </c>
    </row>
    <row r="237" spans="1:22" x14ac:dyDescent="0.25">
      <c r="A237" s="56" t="s">
        <v>325</v>
      </c>
      <c r="B237" s="38" t="s">
        <v>475</v>
      </c>
      <c r="C237" s="10" t="s">
        <v>475</v>
      </c>
      <c r="D237" s="39" t="s">
        <v>471</v>
      </c>
      <c r="E237" s="16" t="s">
        <v>70</v>
      </c>
      <c r="F237" s="12">
        <v>349</v>
      </c>
      <c r="G237" s="16">
        <v>320</v>
      </c>
      <c r="H237" s="40" t="s">
        <v>315</v>
      </c>
      <c r="I237" s="40" t="s">
        <v>472</v>
      </c>
      <c r="J237" s="41" t="s">
        <v>317</v>
      </c>
      <c r="K237" s="41" t="s">
        <v>334</v>
      </c>
      <c r="L237" s="57" t="s">
        <v>319</v>
      </c>
      <c r="M237" s="58" t="str">
        <f>Tabla16[[#This Row],[ABR_02]]</f>
        <v>MI</v>
      </c>
      <c r="N237" t="s">
        <v>320</v>
      </c>
      <c r="O237" s="59" t="s">
        <v>318</v>
      </c>
      <c r="P237" t="s">
        <v>321</v>
      </c>
      <c r="Q237" t="s">
        <v>328</v>
      </c>
      <c r="R237" s="60" t="str">
        <f>_xlfn.CONCAT(Tabla16[[#This Row],[ABR_01]],"00",Tabla16[[#This Row],[ABR_02]],Tabla16[[#This Row],[ZONA2]],,"0",Tabla16[[#This Row],[PARADA2]])</f>
        <v>AR00MI1004</v>
      </c>
      <c r="S237" s="60" t="s">
        <v>329</v>
      </c>
      <c r="T237" s="42" t="s">
        <v>324</v>
      </c>
      <c r="U237" s="42" t="s">
        <v>324</v>
      </c>
      <c r="V237" t="s">
        <v>850</v>
      </c>
    </row>
    <row r="238" spans="1:22" x14ac:dyDescent="0.25">
      <c r="A238" s="56" t="s">
        <v>325</v>
      </c>
      <c r="B238" s="38" t="s">
        <v>476</v>
      </c>
      <c r="C238" s="44" t="s">
        <v>105</v>
      </c>
      <c r="D238" s="39" t="s">
        <v>471</v>
      </c>
      <c r="E238" s="16" t="s">
        <v>70</v>
      </c>
      <c r="F238" s="12">
        <v>349</v>
      </c>
      <c r="G238" s="16">
        <v>300</v>
      </c>
      <c r="H238" s="40" t="s">
        <v>315</v>
      </c>
      <c r="I238" s="40" t="s">
        <v>472</v>
      </c>
      <c r="J238" s="41" t="s">
        <v>317</v>
      </c>
      <c r="K238" s="41" t="s">
        <v>344</v>
      </c>
      <c r="L238" s="57" t="s">
        <v>319</v>
      </c>
      <c r="M238" s="58" t="str">
        <f>Tabla16[[#This Row],[ABR_02]]</f>
        <v>MI</v>
      </c>
      <c r="N238" t="s">
        <v>320</v>
      </c>
      <c r="O238" s="59" t="s">
        <v>318</v>
      </c>
      <c r="P238" t="s">
        <v>321</v>
      </c>
      <c r="Q238" t="s">
        <v>328</v>
      </c>
      <c r="R238" s="60" t="str">
        <f>_xlfn.CONCAT(Tabla16[[#This Row],[ABR_01]],"00",Tabla16[[#This Row],[ABR_02]],Tabla16[[#This Row],[ZONA2]],,"0",Tabla16[[#This Row],[PARADA2]])</f>
        <v>AR00MI1005</v>
      </c>
      <c r="S238" s="60" t="s">
        <v>329</v>
      </c>
      <c r="T238" s="42" t="s">
        <v>324</v>
      </c>
      <c r="U238" s="42" t="s">
        <v>324</v>
      </c>
      <c r="V238" t="s">
        <v>850</v>
      </c>
    </row>
    <row r="239" spans="1:22" x14ac:dyDescent="0.25">
      <c r="A239" s="56" t="s">
        <v>325</v>
      </c>
      <c r="B239" s="38" t="s">
        <v>477</v>
      </c>
      <c r="C239" s="10" t="s">
        <v>477</v>
      </c>
      <c r="D239" s="39" t="s">
        <v>471</v>
      </c>
      <c r="E239" s="16" t="s">
        <v>70</v>
      </c>
      <c r="F239" s="12">
        <v>349</v>
      </c>
      <c r="G239" s="16">
        <v>315</v>
      </c>
      <c r="H239" s="40" t="s">
        <v>315</v>
      </c>
      <c r="I239" s="40" t="s">
        <v>472</v>
      </c>
      <c r="J239" s="41" t="s">
        <v>317</v>
      </c>
      <c r="K239" s="41" t="s">
        <v>345</v>
      </c>
      <c r="L239" s="57" t="s">
        <v>319</v>
      </c>
      <c r="M239" s="58" t="str">
        <f>Tabla16[[#This Row],[ABR_02]]</f>
        <v>MI</v>
      </c>
      <c r="N239" t="s">
        <v>320</v>
      </c>
      <c r="O239" s="59" t="s">
        <v>318</v>
      </c>
      <c r="P239" t="s">
        <v>321</v>
      </c>
      <c r="Q239" t="s">
        <v>328</v>
      </c>
      <c r="R239" s="60" t="str">
        <f>_xlfn.CONCAT(Tabla16[[#This Row],[ABR_01]],"00",Tabla16[[#This Row],[ABR_02]],Tabla16[[#This Row],[ZONA2]],,"0",Tabla16[[#This Row],[PARADA2]])</f>
        <v>AR00MI1006</v>
      </c>
      <c r="S239" s="60" t="s">
        <v>329</v>
      </c>
      <c r="T239" s="42" t="s">
        <v>324</v>
      </c>
      <c r="U239" s="42" t="s">
        <v>324</v>
      </c>
      <c r="V239" t="s">
        <v>850</v>
      </c>
    </row>
    <row r="240" spans="1:22" x14ac:dyDescent="0.25">
      <c r="A240" s="56" t="s">
        <v>325</v>
      </c>
      <c r="B240" s="38" t="s">
        <v>469</v>
      </c>
      <c r="C240" s="44" t="s">
        <v>470</v>
      </c>
      <c r="D240" s="39" t="s">
        <v>471</v>
      </c>
      <c r="E240" s="16" t="s">
        <v>70</v>
      </c>
      <c r="F240" s="12">
        <v>349</v>
      </c>
      <c r="G240" s="16">
        <v>325</v>
      </c>
      <c r="H240" s="40" t="s">
        <v>315</v>
      </c>
      <c r="I240" s="40" t="s">
        <v>472</v>
      </c>
      <c r="J240" s="41" t="s">
        <v>317</v>
      </c>
      <c r="K240" s="41" t="s">
        <v>318</v>
      </c>
      <c r="L240" s="57" t="s">
        <v>319</v>
      </c>
      <c r="M240" s="58" t="str">
        <f>Tabla16[[#This Row],[ABR_02]]</f>
        <v>MI</v>
      </c>
      <c r="N240" t="s">
        <v>320</v>
      </c>
      <c r="O240" s="59" t="s">
        <v>334</v>
      </c>
      <c r="P240" t="s">
        <v>650</v>
      </c>
      <c r="Q240" t="s">
        <v>651</v>
      </c>
      <c r="R240" s="60" t="str">
        <f>_xlfn.CONCAT(Tabla16[[#This Row],[ABR_01]],"00",Tabla16[[#This Row],[ABR_02]],Tabla16[[#This Row],[ZONA2]],,"0",Tabla16[[#This Row],[PARADA2]])</f>
        <v>AR00MI1001</v>
      </c>
      <c r="S240" s="60" t="s">
        <v>652</v>
      </c>
      <c r="T240" s="42" t="s">
        <v>324</v>
      </c>
      <c r="U240" s="53" t="s">
        <v>324</v>
      </c>
      <c r="V240" t="s">
        <v>851</v>
      </c>
    </row>
    <row r="241" spans="1:22" x14ac:dyDescent="0.25">
      <c r="A241" s="56" t="s">
        <v>325</v>
      </c>
      <c r="B241" s="38" t="s">
        <v>473</v>
      </c>
      <c r="C241" s="10" t="s">
        <v>473</v>
      </c>
      <c r="D241" s="39" t="s">
        <v>471</v>
      </c>
      <c r="E241" s="16" t="s">
        <v>70</v>
      </c>
      <c r="F241" s="12">
        <v>349</v>
      </c>
      <c r="G241" s="16">
        <v>310</v>
      </c>
      <c r="H241" s="40" t="s">
        <v>315</v>
      </c>
      <c r="I241" s="40" t="s">
        <v>472</v>
      </c>
      <c r="J241" s="41" t="s">
        <v>317</v>
      </c>
      <c r="K241" s="41" t="s">
        <v>331</v>
      </c>
      <c r="L241" s="57" t="s">
        <v>319</v>
      </c>
      <c r="M241" s="58" t="str">
        <f>Tabla16[[#This Row],[ABR_02]]</f>
        <v>MI</v>
      </c>
      <c r="N241" t="s">
        <v>320</v>
      </c>
      <c r="O241" s="59" t="s">
        <v>334</v>
      </c>
      <c r="P241" t="s">
        <v>650</v>
      </c>
      <c r="Q241" t="s">
        <v>651</v>
      </c>
      <c r="R241" s="60" t="str">
        <f>_xlfn.CONCAT(Tabla16[[#This Row],[ABR_01]],"00",Tabla16[[#This Row],[ABR_02]],Tabla16[[#This Row],[ZONA2]],,"0",Tabla16[[#This Row],[PARADA2]])</f>
        <v>AR00MI1002</v>
      </c>
      <c r="S241" s="60" t="s">
        <v>652</v>
      </c>
      <c r="T241" s="42" t="s">
        <v>324</v>
      </c>
      <c r="U241" s="53" t="s">
        <v>324</v>
      </c>
      <c r="V241" t="s">
        <v>851</v>
      </c>
    </row>
    <row r="242" spans="1:22" x14ac:dyDescent="0.25">
      <c r="A242" s="56" t="s">
        <v>325</v>
      </c>
      <c r="B242" s="38" t="s">
        <v>474</v>
      </c>
      <c r="C242" s="10" t="s">
        <v>474</v>
      </c>
      <c r="D242" s="39" t="s">
        <v>471</v>
      </c>
      <c r="E242" s="16" t="s">
        <v>70</v>
      </c>
      <c r="F242" s="12">
        <v>349</v>
      </c>
      <c r="G242" s="16">
        <v>305</v>
      </c>
      <c r="H242" s="40" t="s">
        <v>315</v>
      </c>
      <c r="I242" s="40" t="s">
        <v>472</v>
      </c>
      <c r="J242" s="41" t="s">
        <v>317</v>
      </c>
      <c r="K242" s="41" t="s">
        <v>332</v>
      </c>
      <c r="L242" s="57" t="s">
        <v>319</v>
      </c>
      <c r="M242" s="58" t="str">
        <f>Tabla16[[#This Row],[ABR_02]]</f>
        <v>MI</v>
      </c>
      <c r="N242" t="s">
        <v>320</v>
      </c>
      <c r="O242" s="59" t="s">
        <v>334</v>
      </c>
      <c r="P242" t="s">
        <v>650</v>
      </c>
      <c r="Q242" t="s">
        <v>651</v>
      </c>
      <c r="R242" s="60" t="str">
        <f>_xlfn.CONCAT(Tabla16[[#This Row],[ABR_01]],"00",Tabla16[[#This Row],[ABR_02]],Tabla16[[#This Row],[ZONA2]],,"0",Tabla16[[#This Row],[PARADA2]])</f>
        <v>AR00MI1003</v>
      </c>
      <c r="S242" s="60" t="s">
        <v>652</v>
      </c>
      <c r="T242" s="42" t="s">
        <v>324</v>
      </c>
      <c r="U242" s="53" t="s">
        <v>324</v>
      </c>
      <c r="V242" t="s">
        <v>851</v>
      </c>
    </row>
    <row r="243" spans="1:22" x14ac:dyDescent="0.25">
      <c r="A243" s="56" t="s">
        <v>325</v>
      </c>
      <c r="B243" s="38" t="s">
        <v>475</v>
      </c>
      <c r="C243" s="10" t="s">
        <v>475</v>
      </c>
      <c r="D243" s="39" t="s">
        <v>471</v>
      </c>
      <c r="E243" s="16" t="s">
        <v>70</v>
      </c>
      <c r="F243" s="12">
        <v>349</v>
      </c>
      <c r="G243" s="16">
        <v>320</v>
      </c>
      <c r="H243" s="40" t="s">
        <v>315</v>
      </c>
      <c r="I243" s="40" t="s">
        <v>472</v>
      </c>
      <c r="J243" s="41" t="s">
        <v>317</v>
      </c>
      <c r="K243" s="41" t="s">
        <v>334</v>
      </c>
      <c r="L243" s="57" t="s">
        <v>319</v>
      </c>
      <c r="M243" s="58" t="str">
        <f>Tabla16[[#This Row],[ABR_02]]</f>
        <v>MI</v>
      </c>
      <c r="N243" t="s">
        <v>320</v>
      </c>
      <c r="O243" s="59" t="s">
        <v>334</v>
      </c>
      <c r="P243" t="s">
        <v>650</v>
      </c>
      <c r="Q243" t="s">
        <v>651</v>
      </c>
      <c r="R243" s="60" t="str">
        <f>_xlfn.CONCAT(Tabla16[[#This Row],[ABR_01]],"00",Tabla16[[#This Row],[ABR_02]],Tabla16[[#This Row],[ZONA2]],,"0",Tabla16[[#This Row],[PARADA2]])</f>
        <v>AR00MI1004</v>
      </c>
      <c r="S243" s="60" t="s">
        <v>652</v>
      </c>
      <c r="T243" s="42" t="s">
        <v>324</v>
      </c>
      <c r="U243" s="53" t="s">
        <v>324</v>
      </c>
      <c r="V243" t="s">
        <v>851</v>
      </c>
    </row>
    <row r="244" spans="1:22" x14ac:dyDescent="0.25">
      <c r="A244" s="56" t="s">
        <v>325</v>
      </c>
      <c r="B244" s="38" t="s">
        <v>476</v>
      </c>
      <c r="C244" s="44" t="s">
        <v>105</v>
      </c>
      <c r="D244" s="39" t="s">
        <v>471</v>
      </c>
      <c r="E244" s="16" t="s">
        <v>70</v>
      </c>
      <c r="F244" s="12">
        <v>349</v>
      </c>
      <c r="G244" s="16">
        <v>300</v>
      </c>
      <c r="H244" s="40" t="s">
        <v>315</v>
      </c>
      <c r="I244" s="40" t="s">
        <v>472</v>
      </c>
      <c r="J244" s="41" t="s">
        <v>317</v>
      </c>
      <c r="K244" s="41" t="s">
        <v>344</v>
      </c>
      <c r="L244" s="57" t="s">
        <v>319</v>
      </c>
      <c r="M244" s="58" t="str">
        <f>Tabla16[[#This Row],[ABR_02]]</f>
        <v>MI</v>
      </c>
      <c r="N244" t="s">
        <v>320</v>
      </c>
      <c r="O244" s="59" t="s">
        <v>334</v>
      </c>
      <c r="P244" t="s">
        <v>650</v>
      </c>
      <c r="Q244" t="s">
        <v>651</v>
      </c>
      <c r="R244" s="60" t="str">
        <f>_xlfn.CONCAT(Tabla16[[#This Row],[ABR_01]],"00",Tabla16[[#This Row],[ABR_02]],Tabla16[[#This Row],[ZONA2]],,"0",Tabla16[[#This Row],[PARADA2]])</f>
        <v>AR00MI1005</v>
      </c>
      <c r="S244" s="60" t="s">
        <v>652</v>
      </c>
      <c r="T244" s="42" t="s">
        <v>324</v>
      </c>
      <c r="U244" s="53" t="s">
        <v>324</v>
      </c>
      <c r="V244" t="s">
        <v>851</v>
      </c>
    </row>
    <row r="245" spans="1:22" x14ac:dyDescent="0.25">
      <c r="A245" s="56" t="s">
        <v>325</v>
      </c>
      <c r="B245" s="38" t="s">
        <v>477</v>
      </c>
      <c r="C245" s="10" t="s">
        <v>477</v>
      </c>
      <c r="D245" s="39" t="s">
        <v>471</v>
      </c>
      <c r="E245" s="16" t="s">
        <v>70</v>
      </c>
      <c r="F245" s="12">
        <v>349</v>
      </c>
      <c r="G245" s="16">
        <v>315</v>
      </c>
      <c r="H245" s="40" t="s">
        <v>315</v>
      </c>
      <c r="I245" s="40" t="s">
        <v>472</v>
      </c>
      <c r="J245" s="41" t="s">
        <v>317</v>
      </c>
      <c r="K245" s="41" t="s">
        <v>345</v>
      </c>
      <c r="L245" s="57" t="s">
        <v>319</v>
      </c>
      <c r="M245" s="58" t="str">
        <f>Tabla16[[#This Row],[ABR_02]]</f>
        <v>MI</v>
      </c>
      <c r="N245" t="s">
        <v>320</v>
      </c>
      <c r="O245" s="59" t="s">
        <v>334</v>
      </c>
      <c r="P245" t="s">
        <v>650</v>
      </c>
      <c r="Q245" t="s">
        <v>651</v>
      </c>
      <c r="R245" s="60" t="str">
        <f>_xlfn.CONCAT(Tabla16[[#This Row],[ABR_01]],"00",Tabla16[[#This Row],[ABR_02]],Tabla16[[#This Row],[ZONA2]],,"0",Tabla16[[#This Row],[PARADA2]])</f>
        <v>AR00MI1006</v>
      </c>
      <c r="S245" s="60" t="s">
        <v>652</v>
      </c>
      <c r="T245" s="42" t="s">
        <v>324</v>
      </c>
      <c r="U245" s="53" t="s">
        <v>324</v>
      </c>
      <c r="V245" t="s">
        <v>851</v>
      </c>
    </row>
    <row r="246" spans="1:22" x14ac:dyDescent="0.25">
      <c r="A246" s="56" t="s">
        <v>325</v>
      </c>
      <c r="B246" s="38" t="s">
        <v>460</v>
      </c>
      <c r="C246" s="10" t="s">
        <v>46</v>
      </c>
      <c r="D246" s="39" t="s">
        <v>461</v>
      </c>
      <c r="E246" s="16" t="s">
        <v>30</v>
      </c>
      <c r="F246" s="45">
        <v>294</v>
      </c>
      <c r="G246" s="16">
        <v>918</v>
      </c>
      <c r="H246" s="40" t="s">
        <v>315</v>
      </c>
      <c r="I246" s="40" t="s">
        <v>462</v>
      </c>
      <c r="J246" s="41" t="s">
        <v>317</v>
      </c>
      <c r="K246" s="41" t="s">
        <v>318</v>
      </c>
      <c r="L246" s="57" t="s">
        <v>319</v>
      </c>
      <c r="M246" s="58" t="str">
        <f>Tabla16[[#This Row],[ABR_02]]</f>
        <v>RN</v>
      </c>
      <c r="N246" t="s">
        <v>320</v>
      </c>
      <c r="O246" s="59" t="s">
        <v>318</v>
      </c>
      <c r="P246" t="s">
        <v>321</v>
      </c>
      <c r="Q246" t="s">
        <v>328</v>
      </c>
      <c r="R246" s="60" t="str">
        <f>_xlfn.CONCAT(Tabla16[[#This Row],[ABR_01]],"00",Tabla16[[#This Row],[ABR_02]],Tabla16[[#This Row],[ZONA2]],,"0",Tabla16[[#This Row],[PARADA2]])</f>
        <v>AR00RN1001</v>
      </c>
      <c r="S246" s="60" t="s">
        <v>329</v>
      </c>
      <c r="T246" s="42" t="s">
        <v>324</v>
      </c>
      <c r="U246" s="42" t="s">
        <v>324</v>
      </c>
      <c r="V246" t="s">
        <v>850</v>
      </c>
    </row>
    <row r="247" spans="1:22" x14ac:dyDescent="0.25">
      <c r="A247" s="56" t="s">
        <v>325</v>
      </c>
      <c r="B247" s="38" t="s">
        <v>463</v>
      </c>
      <c r="C247" s="44" t="s">
        <v>189</v>
      </c>
      <c r="D247" s="39" t="s">
        <v>461</v>
      </c>
      <c r="E247" s="16" t="s">
        <v>30</v>
      </c>
      <c r="F247" s="45">
        <v>294</v>
      </c>
      <c r="G247" s="16">
        <v>908</v>
      </c>
      <c r="H247" s="40" t="s">
        <v>315</v>
      </c>
      <c r="I247" s="40" t="s">
        <v>462</v>
      </c>
      <c r="J247" s="41" t="s">
        <v>317</v>
      </c>
      <c r="K247" s="41" t="s">
        <v>331</v>
      </c>
      <c r="L247" s="57" t="s">
        <v>319</v>
      </c>
      <c r="M247" s="58" t="str">
        <f>Tabla16[[#This Row],[ABR_02]]</f>
        <v>RN</v>
      </c>
      <c r="N247" t="s">
        <v>320</v>
      </c>
      <c r="O247" s="59" t="s">
        <v>318</v>
      </c>
      <c r="P247" t="s">
        <v>321</v>
      </c>
      <c r="Q247" t="s">
        <v>328</v>
      </c>
      <c r="R247" s="60" t="str">
        <f>_xlfn.CONCAT(Tabla16[[#This Row],[ABR_01]],"00",Tabla16[[#This Row],[ABR_02]],Tabla16[[#This Row],[ZONA2]],,"0",Tabla16[[#This Row],[PARADA2]])</f>
        <v>AR00RN1002</v>
      </c>
      <c r="S247" s="60" t="s">
        <v>329</v>
      </c>
      <c r="T247" s="42" t="s">
        <v>324</v>
      </c>
      <c r="U247" s="42" t="s">
        <v>324</v>
      </c>
      <c r="V247" t="s">
        <v>850</v>
      </c>
    </row>
    <row r="248" spans="1:22" x14ac:dyDescent="0.25">
      <c r="A248" s="56" t="s">
        <v>325</v>
      </c>
      <c r="B248" s="38" t="s">
        <v>464</v>
      </c>
      <c r="C248" s="44" t="s">
        <v>64</v>
      </c>
      <c r="D248" s="39" t="s">
        <v>461</v>
      </c>
      <c r="E248" s="16" t="s">
        <v>30</v>
      </c>
      <c r="F248" s="45">
        <v>294</v>
      </c>
      <c r="G248" s="16">
        <v>930</v>
      </c>
      <c r="H248" s="40" t="s">
        <v>315</v>
      </c>
      <c r="I248" s="40" t="s">
        <v>462</v>
      </c>
      <c r="J248" s="41" t="s">
        <v>317</v>
      </c>
      <c r="K248" s="41" t="s">
        <v>332</v>
      </c>
      <c r="L248" s="57" t="s">
        <v>319</v>
      </c>
      <c r="M248" s="58" t="str">
        <f>Tabla16[[#This Row],[ABR_02]]</f>
        <v>RN</v>
      </c>
      <c r="N248" t="s">
        <v>320</v>
      </c>
      <c r="O248" s="59" t="s">
        <v>318</v>
      </c>
      <c r="P248" t="s">
        <v>321</v>
      </c>
      <c r="Q248" t="s">
        <v>328</v>
      </c>
      <c r="R248" s="60" t="str">
        <f>_xlfn.CONCAT(Tabla16[[#This Row],[ABR_01]],"00",Tabla16[[#This Row],[ABR_02]],Tabla16[[#This Row],[ZONA2]],,"0",Tabla16[[#This Row],[PARADA2]])</f>
        <v>AR00RN1003</v>
      </c>
      <c r="S248" s="60" t="s">
        <v>329</v>
      </c>
      <c r="T248" s="42" t="s">
        <v>324</v>
      </c>
      <c r="U248" s="42" t="s">
        <v>324</v>
      </c>
      <c r="V248" t="s">
        <v>850</v>
      </c>
    </row>
    <row r="249" spans="1:22" x14ac:dyDescent="0.25">
      <c r="A249" s="56" t="s">
        <v>325</v>
      </c>
      <c r="B249" s="38" t="s">
        <v>465</v>
      </c>
      <c r="C249" s="44" t="s">
        <v>77</v>
      </c>
      <c r="D249" s="39" t="s">
        <v>461</v>
      </c>
      <c r="E249" s="16" t="s">
        <v>30</v>
      </c>
      <c r="F249" s="45">
        <v>294</v>
      </c>
      <c r="G249" s="16">
        <v>910</v>
      </c>
      <c r="H249" s="40" t="s">
        <v>315</v>
      </c>
      <c r="I249" s="40" t="s">
        <v>462</v>
      </c>
      <c r="J249" s="41" t="s">
        <v>317</v>
      </c>
      <c r="K249" s="41" t="s">
        <v>334</v>
      </c>
      <c r="L249" s="57" t="s">
        <v>319</v>
      </c>
      <c r="M249" s="58" t="str">
        <f>Tabla16[[#This Row],[ABR_02]]</f>
        <v>RN</v>
      </c>
      <c r="N249" t="s">
        <v>320</v>
      </c>
      <c r="O249" s="59" t="s">
        <v>318</v>
      </c>
      <c r="P249" t="s">
        <v>321</v>
      </c>
      <c r="Q249" t="s">
        <v>328</v>
      </c>
      <c r="R249" s="60" t="str">
        <f>_xlfn.CONCAT(Tabla16[[#This Row],[ABR_01]],"00",Tabla16[[#This Row],[ABR_02]],Tabla16[[#This Row],[ZONA2]],,"0",Tabla16[[#This Row],[PARADA2]])</f>
        <v>AR00RN1004</v>
      </c>
      <c r="S249" s="60" t="s">
        <v>329</v>
      </c>
      <c r="T249" s="42" t="s">
        <v>324</v>
      </c>
      <c r="U249" s="42" t="s">
        <v>324</v>
      </c>
      <c r="V249" t="s">
        <v>850</v>
      </c>
    </row>
    <row r="250" spans="1:22" x14ac:dyDescent="0.25">
      <c r="A250" s="56" t="s">
        <v>325</v>
      </c>
      <c r="B250" s="38" t="s">
        <v>466</v>
      </c>
      <c r="C250" s="10" t="s">
        <v>466</v>
      </c>
      <c r="D250" s="39" t="s">
        <v>461</v>
      </c>
      <c r="E250" s="16" t="s">
        <v>30</v>
      </c>
      <c r="F250" s="45">
        <v>294</v>
      </c>
      <c r="G250" s="16">
        <v>283</v>
      </c>
      <c r="H250" s="40" t="s">
        <v>315</v>
      </c>
      <c r="I250" s="40" t="s">
        <v>462</v>
      </c>
      <c r="J250" s="41" t="s">
        <v>317</v>
      </c>
      <c r="K250" s="41" t="s">
        <v>344</v>
      </c>
      <c r="L250" s="57" t="s">
        <v>319</v>
      </c>
      <c r="M250" s="58" t="str">
        <f>Tabla16[[#This Row],[ABR_02]]</f>
        <v>RN</v>
      </c>
      <c r="N250" t="s">
        <v>320</v>
      </c>
      <c r="O250" s="59" t="s">
        <v>318</v>
      </c>
      <c r="P250" t="s">
        <v>321</v>
      </c>
      <c r="Q250" t="s">
        <v>328</v>
      </c>
      <c r="R250" s="60" t="str">
        <f>_xlfn.CONCAT(Tabla16[[#This Row],[ABR_01]],"00",Tabla16[[#This Row],[ABR_02]],Tabla16[[#This Row],[ZONA2]],,"0",Tabla16[[#This Row],[PARADA2]])</f>
        <v>AR00RN1005</v>
      </c>
      <c r="S250" s="60" t="s">
        <v>329</v>
      </c>
      <c r="T250" s="42" t="s">
        <v>324</v>
      </c>
      <c r="U250" s="42" t="s">
        <v>324</v>
      </c>
      <c r="V250" t="s">
        <v>850</v>
      </c>
    </row>
    <row r="251" spans="1:22" x14ac:dyDescent="0.25">
      <c r="A251" s="56" t="s">
        <v>325</v>
      </c>
      <c r="B251" s="38" t="s">
        <v>467</v>
      </c>
      <c r="C251" s="44" t="s">
        <v>132</v>
      </c>
      <c r="D251" s="39" t="s">
        <v>461</v>
      </c>
      <c r="E251" s="16" t="s">
        <v>30</v>
      </c>
      <c r="F251" s="45">
        <v>294</v>
      </c>
      <c r="G251" s="16">
        <v>925</v>
      </c>
      <c r="H251" s="40" t="s">
        <v>315</v>
      </c>
      <c r="I251" s="40" t="s">
        <v>462</v>
      </c>
      <c r="J251" s="41" t="s">
        <v>317</v>
      </c>
      <c r="K251" s="41" t="s">
        <v>345</v>
      </c>
      <c r="L251" s="57" t="s">
        <v>319</v>
      </c>
      <c r="M251" s="58" t="str">
        <f>Tabla16[[#This Row],[ABR_02]]</f>
        <v>RN</v>
      </c>
      <c r="N251" t="s">
        <v>320</v>
      </c>
      <c r="O251" s="59" t="s">
        <v>318</v>
      </c>
      <c r="P251" t="s">
        <v>321</v>
      </c>
      <c r="Q251" t="s">
        <v>328</v>
      </c>
      <c r="R251" s="60" t="str">
        <f>_xlfn.CONCAT(Tabla16[[#This Row],[ABR_01]],"00",Tabla16[[#This Row],[ABR_02]],Tabla16[[#This Row],[ZONA2]],,"0",Tabla16[[#This Row],[PARADA2]])</f>
        <v>AR00RN1006</v>
      </c>
      <c r="S251" s="60" t="s">
        <v>329</v>
      </c>
      <c r="T251" s="42" t="s">
        <v>324</v>
      </c>
      <c r="U251" s="42" t="s">
        <v>324</v>
      </c>
      <c r="V251" t="s">
        <v>850</v>
      </c>
    </row>
    <row r="252" spans="1:22" x14ac:dyDescent="0.25">
      <c r="A252" s="56" t="s">
        <v>325</v>
      </c>
      <c r="B252" s="38" t="s">
        <v>468</v>
      </c>
      <c r="C252" s="44" t="s">
        <v>166</v>
      </c>
      <c r="D252" s="39" t="s">
        <v>461</v>
      </c>
      <c r="E252" s="16" t="s">
        <v>30</v>
      </c>
      <c r="F252" s="45">
        <v>294</v>
      </c>
      <c r="G252" s="16">
        <v>935</v>
      </c>
      <c r="H252" s="40" t="s">
        <v>315</v>
      </c>
      <c r="I252" s="40" t="s">
        <v>462</v>
      </c>
      <c r="J252" s="41" t="s">
        <v>317</v>
      </c>
      <c r="K252" s="41" t="s">
        <v>347</v>
      </c>
      <c r="L252" s="57" t="s">
        <v>319</v>
      </c>
      <c r="M252" s="58" t="str">
        <f>Tabla16[[#This Row],[ABR_02]]</f>
        <v>RN</v>
      </c>
      <c r="N252" t="s">
        <v>320</v>
      </c>
      <c r="O252" s="59" t="s">
        <v>318</v>
      </c>
      <c r="P252" t="s">
        <v>321</v>
      </c>
      <c r="Q252" t="s">
        <v>328</v>
      </c>
      <c r="R252" s="60" t="str">
        <f>_xlfn.CONCAT(Tabla16[[#This Row],[ABR_01]],"00",Tabla16[[#This Row],[ABR_02]],Tabla16[[#This Row],[ZONA2]],,"0",Tabla16[[#This Row],[PARADA2]])</f>
        <v>AR00RN1007</v>
      </c>
      <c r="S252" s="60" t="s">
        <v>329</v>
      </c>
      <c r="T252" s="42" t="s">
        <v>324</v>
      </c>
      <c r="U252" s="42" t="s">
        <v>324</v>
      </c>
      <c r="V252" t="s">
        <v>850</v>
      </c>
    </row>
    <row r="253" spans="1:22" x14ac:dyDescent="0.25">
      <c r="A253" s="56" t="s">
        <v>325</v>
      </c>
      <c r="B253" s="38" t="s">
        <v>172</v>
      </c>
      <c r="C253" s="10" t="s">
        <v>172</v>
      </c>
      <c r="D253" s="39" t="s">
        <v>461</v>
      </c>
      <c r="E253" s="16" t="s">
        <v>30</v>
      </c>
      <c r="F253" s="45">
        <v>294</v>
      </c>
      <c r="G253" s="16">
        <v>912</v>
      </c>
      <c r="H253" s="40" t="s">
        <v>315</v>
      </c>
      <c r="I253" s="40" t="s">
        <v>462</v>
      </c>
      <c r="J253" s="41" t="s">
        <v>317</v>
      </c>
      <c r="K253" s="41" t="s">
        <v>349</v>
      </c>
      <c r="L253" s="57" t="s">
        <v>319</v>
      </c>
      <c r="M253" s="58" t="str">
        <f>Tabla16[[#This Row],[ABR_02]]</f>
        <v>RN</v>
      </c>
      <c r="N253" t="s">
        <v>320</v>
      </c>
      <c r="O253" s="59" t="s">
        <v>318</v>
      </c>
      <c r="P253" t="s">
        <v>321</v>
      </c>
      <c r="Q253" t="s">
        <v>328</v>
      </c>
      <c r="R253" s="60" t="str">
        <f>_xlfn.CONCAT(Tabla16[[#This Row],[ABR_01]],"00",Tabla16[[#This Row],[ABR_02]],Tabla16[[#This Row],[ZONA2]],,"0",Tabla16[[#This Row],[PARADA2]])</f>
        <v>AR00RN1008</v>
      </c>
      <c r="S253" s="60" t="s">
        <v>329</v>
      </c>
      <c r="T253" s="42" t="s">
        <v>324</v>
      </c>
      <c r="U253" s="42" t="s">
        <v>324</v>
      </c>
      <c r="V253" t="s">
        <v>850</v>
      </c>
    </row>
    <row r="254" spans="1:22" x14ac:dyDescent="0.25">
      <c r="A254" s="56" t="s">
        <v>325</v>
      </c>
      <c r="B254" s="38" t="s">
        <v>460</v>
      </c>
      <c r="C254" s="10" t="s">
        <v>46</v>
      </c>
      <c r="D254" s="39" t="s">
        <v>461</v>
      </c>
      <c r="E254" s="16" t="s">
        <v>30</v>
      </c>
      <c r="F254" s="12">
        <v>294</v>
      </c>
      <c r="G254" s="16">
        <v>918</v>
      </c>
      <c r="H254" s="40" t="s">
        <v>315</v>
      </c>
      <c r="I254" s="40" t="s">
        <v>462</v>
      </c>
      <c r="J254" s="41" t="s">
        <v>317</v>
      </c>
      <c r="K254" s="41" t="s">
        <v>318</v>
      </c>
      <c r="L254" s="57" t="s">
        <v>319</v>
      </c>
      <c r="M254" s="58" t="str">
        <f>Tabla16[[#This Row],[ABR_02]]</f>
        <v>RN</v>
      </c>
      <c r="N254" t="s">
        <v>320</v>
      </c>
      <c r="O254" s="59" t="s">
        <v>334</v>
      </c>
      <c r="P254" t="s">
        <v>650</v>
      </c>
      <c r="Q254" t="s">
        <v>320</v>
      </c>
      <c r="R254" s="60" t="str">
        <f>_xlfn.CONCAT(Tabla16[[#This Row],[ABR_01]],"00",Tabla16[[#This Row],[ABR_02]],Tabla16[[#This Row],[ZONA2]],,"0",Tabla16[[#This Row],[PARADA2]])</f>
        <v>AR00RN1001</v>
      </c>
      <c r="S254" s="60" t="s">
        <v>580</v>
      </c>
      <c r="T254" s="42" t="s">
        <v>324</v>
      </c>
      <c r="U254" s="53" t="s">
        <v>324</v>
      </c>
      <c r="V254" t="s">
        <v>851</v>
      </c>
    </row>
    <row r="255" spans="1:22" x14ac:dyDescent="0.25">
      <c r="A255" s="56" t="s">
        <v>325</v>
      </c>
      <c r="B255" s="38" t="s">
        <v>463</v>
      </c>
      <c r="C255" s="44" t="s">
        <v>189</v>
      </c>
      <c r="D255" s="39" t="s">
        <v>461</v>
      </c>
      <c r="E255" s="16" t="s">
        <v>30</v>
      </c>
      <c r="F255" s="12">
        <v>294</v>
      </c>
      <c r="G255" s="16">
        <v>908</v>
      </c>
      <c r="H255" s="40" t="s">
        <v>315</v>
      </c>
      <c r="I255" s="40" t="s">
        <v>462</v>
      </c>
      <c r="J255" s="41" t="s">
        <v>317</v>
      </c>
      <c r="K255" s="41" t="s">
        <v>331</v>
      </c>
      <c r="L255" s="57" t="s">
        <v>319</v>
      </c>
      <c r="M255" s="58" t="str">
        <f>Tabla16[[#This Row],[ABR_02]]</f>
        <v>RN</v>
      </c>
      <c r="N255" t="s">
        <v>320</v>
      </c>
      <c r="O255" s="59" t="s">
        <v>334</v>
      </c>
      <c r="P255" t="s">
        <v>650</v>
      </c>
      <c r="Q255" t="s">
        <v>320</v>
      </c>
      <c r="R255" s="60" t="str">
        <f>_xlfn.CONCAT(Tabla16[[#This Row],[ABR_01]],"00",Tabla16[[#This Row],[ABR_02]],Tabla16[[#This Row],[ZONA2]],,"0",Tabla16[[#This Row],[PARADA2]])</f>
        <v>AR00RN1002</v>
      </c>
      <c r="S255" s="60" t="s">
        <v>580</v>
      </c>
      <c r="T255" s="42" t="s">
        <v>324</v>
      </c>
      <c r="U255" s="53" t="s">
        <v>324</v>
      </c>
      <c r="V255" t="s">
        <v>851</v>
      </c>
    </row>
    <row r="256" spans="1:22" x14ac:dyDescent="0.25">
      <c r="A256" s="56" t="s">
        <v>325</v>
      </c>
      <c r="B256" s="38" t="s">
        <v>464</v>
      </c>
      <c r="C256" s="44" t="s">
        <v>64</v>
      </c>
      <c r="D256" s="39" t="s">
        <v>461</v>
      </c>
      <c r="E256" s="16" t="s">
        <v>30</v>
      </c>
      <c r="F256" s="12">
        <v>294</v>
      </c>
      <c r="G256" s="16">
        <v>930</v>
      </c>
      <c r="H256" s="40" t="s">
        <v>315</v>
      </c>
      <c r="I256" s="40" t="s">
        <v>462</v>
      </c>
      <c r="J256" s="41" t="s">
        <v>317</v>
      </c>
      <c r="K256" s="41" t="s">
        <v>332</v>
      </c>
      <c r="L256" s="57" t="s">
        <v>319</v>
      </c>
      <c r="M256" s="58" t="str">
        <f>Tabla16[[#This Row],[ABR_02]]</f>
        <v>RN</v>
      </c>
      <c r="N256" t="s">
        <v>320</v>
      </c>
      <c r="O256" s="59" t="s">
        <v>334</v>
      </c>
      <c r="P256" t="s">
        <v>650</v>
      </c>
      <c r="Q256" t="s">
        <v>320</v>
      </c>
      <c r="R256" s="60" t="str">
        <f>_xlfn.CONCAT(Tabla16[[#This Row],[ABR_01]],"00",Tabla16[[#This Row],[ABR_02]],Tabla16[[#This Row],[ZONA2]],,"0",Tabla16[[#This Row],[PARADA2]])</f>
        <v>AR00RN1003</v>
      </c>
      <c r="S256" s="60" t="s">
        <v>580</v>
      </c>
      <c r="T256" s="42" t="s">
        <v>324</v>
      </c>
      <c r="U256" s="53" t="s">
        <v>324</v>
      </c>
      <c r="V256" t="s">
        <v>851</v>
      </c>
    </row>
    <row r="257" spans="1:22" x14ac:dyDescent="0.25">
      <c r="A257" s="56" t="s">
        <v>325</v>
      </c>
      <c r="B257" s="38" t="s">
        <v>465</v>
      </c>
      <c r="C257" s="44" t="s">
        <v>77</v>
      </c>
      <c r="D257" s="39" t="s">
        <v>461</v>
      </c>
      <c r="E257" s="16" t="s">
        <v>30</v>
      </c>
      <c r="F257" s="12">
        <v>294</v>
      </c>
      <c r="G257" s="16">
        <v>910</v>
      </c>
      <c r="H257" s="40" t="s">
        <v>315</v>
      </c>
      <c r="I257" s="40" t="s">
        <v>462</v>
      </c>
      <c r="J257" s="41" t="s">
        <v>317</v>
      </c>
      <c r="K257" s="41" t="s">
        <v>334</v>
      </c>
      <c r="L257" s="57" t="s">
        <v>319</v>
      </c>
      <c r="M257" s="58" t="str">
        <f>Tabla16[[#This Row],[ABR_02]]</f>
        <v>RN</v>
      </c>
      <c r="N257" t="s">
        <v>320</v>
      </c>
      <c r="O257" s="59" t="s">
        <v>334</v>
      </c>
      <c r="P257" t="s">
        <v>650</v>
      </c>
      <c r="Q257" t="s">
        <v>320</v>
      </c>
      <c r="R257" s="60" t="str">
        <f>_xlfn.CONCAT(Tabla16[[#This Row],[ABR_01]],"00",Tabla16[[#This Row],[ABR_02]],Tabla16[[#This Row],[ZONA2]],,"0",Tabla16[[#This Row],[PARADA2]])</f>
        <v>AR00RN1004</v>
      </c>
      <c r="S257" s="60" t="s">
        <v>580</v>
      </c>
      <c r="T257" s="42" t="s">
        <v>324</v>
      </c>
      <c r="U257" s="53" t="s">
        <v>324</v>
      </c>
      <c r="V257" t="s">
        <v>851</v>
      </c>
    </row>
    <row r="258" spans="1:22" x14ac:dyDescent="0.25">
      <c r="A258" s="56" t="s">
        <v>325</v>
      </c>
      <c r="B258" s="38" t="s">
        <v>466</v>
      </c>
      <c r="C258" s="10" t="s">
        <v>466</v>
      </c>
      <c r="D258" s="39" t="s">
        <v>461</v>
      </c>
      <c r="E258" s="16" t="s">
        <v>30</v>
      </c>
      <c r="F258" s="12">
        <v>294</v>
      </c>
      <c r="G258" s="16">
        <v>283</v>
      </c>
      <c r="H258" s="40" t="s">
        <v>315</v>
      </c>
      <c r="I258" s="40" t="s">
        <v>462</v>
      </c>
      <c r="J258" s="41" t="s">
        <v>317</v>
      </c>
      <c r="K258" s="41" t="s">
        <v>344</v>
      </c>
      <c r="L258" s="57" t="s">
        <v>319</v>
      </c>
      <c r="M258" s="58" t="str">
        <f>Tabla16[[#This Row],[ABR_02]]</f>
        <v>RN</v>
      </c>
      <c r="N258" t="s">
        <v>320</v>
      </c>
      <c r="O258" s="59" t="s">
        <v>334</v>
      </c>
      <c r="P258" t="s">
        <v>650</v>
      </c>
      <c r="Q258" t="s">
        <v>320</v>
      </c>
      <c r="R258" s="60" t="str">
        <f>_xlfn.CONCAT(Tabla16[[#This Row],[ABR_01]],"00",Tabla16[[#This Row],[ABR_02]],Tabla16[[#This Row],[ZONA2]],,"0",Tabla16[[#This Row],[PARADA2]])</f>
        <v>AR00RN1005</v>
      </c>
      <c r="S258" s="60" t="s">
        <v>580</v>
      </c>
      <c r="T258" s="42" t="s">
        <v>324</v>
      </c>
      <c r="U258" s="53" t="s">
        <v>324</v>
      </c>
      <c r="V258" t="s">
        <v>851</v>
      </c>
    </row>
    <row r="259" spans="1:22" x14ac:dyDescent="0.25">
      <c r="A259" s="56" t="s">
        <v>325</v>
      </c>
      <c r="B259" s="38" t="s">
        <v>467</v>
      </c>
      <c r="C259" s="44" t="s">
        <v>132</v>
      </c>
      <c r="D259" s="39" t="s">
        <v>461</v>
      </c>
      <c r="E259" s="16" t="s">
        <v>30</v>
      </c>
      <c r="F259" s="12">
        <v>294</v>
      </c>
      <c r="G259" s="16">
        <v>925</v>
      </c>
      <c r="H259" s="40" t="s">
        <v>315</v>
      </c>
      <c r="I259" s="40" t="s">
        <v>462</v>
      </c>
      <c r="J259" s="41" t="s">
        <v>317</v>
      </c>
      <c r="K259" s="41" t="s">
        <v>345</v>
      </c>
      <c r="L259" s="57" t="s">
        <v>319</v>
      </c>
      <c r="M259" s="58" t="str">
        <f>Tabla16[[#This Row],[ABR_02]]</f>
        <v>RN</v>
      </c>
      <c r="N259" t="s">
        <v>320</v>
      </c>
      <c r="O259" s="59" t="s">
        <v>334</v>
      </c>
      <c r="P259" t="s">
        <v>650</v>
      </c>
      <c r="Q259" t="s">
        <v>320</v>
      </c>
      <c r="R259" s="60" t="str">
        <f>_xlfn.CONCAT(Tabla16[[#This Row],[ABR_01]],"00",Tabla16[[#This Row],[ABR_02]],Tabla16[[#This Row],[ZONA2]],,"0",Tabla16[[#This Row],[PARADA2]])</f>
        <v>AR00RN1006</v>
      </c>
      <c r="S259" s="60" t="s">
        <v>580</v>
      </c>
      <c r="T259" s="42" t="s">
        <v>324</v>
      </c>
      <c r="U259" s="53" t="s">
        <v>324</v>
      </c>
      <c r="V259" t="s">
        <v>851</v>
      </c>
    </row>
    <row r="260" spans="1:22" x14ac:dyDescent="0.25">
      <c r="A260" s="56" t="s">
        <v>325</v>
      </c>
      <c r="B260" s="38" t="s">
        <v>468</v>
      </c>
      <c r="C260" s="44" t="s">
        <v>166</v>
      </c>
      <c r="D260" s="39" t="s">
        <v>461</v>
      </c>
      <c r="E260" s="16" t="s">
        <v>30</v>
      </c>
      <c r="F260" s="12">
        <v>294</v>
      </c>
      <c r="G260" s="16">
        <v>935</v>
      </c>
      <c r="H260" s="40" t="s">
        <v>315</v>
      </c>
      <c r="I260" s="40" t="s">
        <v>462</v>
      </c>
      <c r="J260" s="41" t="s">
        <v>317</v>
      </c>
      <c r="K260" s="41" t="s">
        <v>347</v>
      </c>
      <c r="L260" s="57" t="s">
        <v>319</v>
      </c>
      <c r="M260" s="58" t="str">
        <f>Tabla16[[#This Row],[ABR_02]]</f>
        <v>RN</v>
      </c>
      <c r="N260" t="s">
        <v>320</v>
      </c>
      <c r="O260" s="59" t="s">
        <v>334</v>
      </c>
      <c r="P260" t="s">
        <v>650</v>
      </c>
      <c r="Q260" t="s">
        <v>320</v>
      </c>
      <c r="R260" s="60" t="str">
        <f>_xlfn.CONCAT(Tabla16[[#This Row],[ABR_01]],"00",Tabla16[[#This Row],[ABR_02]],Tabla16[[#This Row],[ZONA2]],,"0",Tabla16[[#This Row],[PARADA2]])</f>
        <v>AR00RN1007</v>
      </c>
      <c r="S260" s="60" t="s">
        <v>580</v>
      </c>
      <c r="T260" s="42" t="s">
        <v>324</v>
      </c>
      <c r="U260" s="53" t="s">
        <v>324</v>
      </c>
      <c r="V260" t="s">
        <v>851</v>
      </c>
    </row>
    <row r="261" spans="1:22" x14ac:dyDescent="0.25">
      <c r="A261" s="56" t="s">
        <v>325</v>
      </c>
      <c r="B261" s="38" t="s">
        <v>172</v>
      </c>
      <c r="C261" s="10" t="s">
        <v>172</v>
      </c>
      <c r="D261" s="39" t="s">
        <v>461</v>
      </c>
      <c r="E261" s="16" t="s">
        <v>30</v>
      </c>
      <c r="F261" s="12">
        <v>294</v>
      </c>
      <c r="G261" s="16">
        <v>912</v>
      </c>
      <c r="H261" s="40" t="s">
        <v>315</v>
      </c>
      <c r="I261" s="40" t="s">
        <v>462</v>
      </c>
      <c r="J261" s="41" t="s">
        <v>317</v>
      </c>
      <c r="K261" s="41" t="s">
        <v>349</v>
      </c>
      <c r="L261" s="57" t="s">
        <v>319</v>
      </c>
      <c r="M261" s="58" t="str">
        <f>Tabla16[[#This Row],[ABR_02]]</f>
        <v>RN</v>
      </c>
      <c r="N261" t="s">
        <v>320</v>
      </c>
      <c r="O261" s="59" t="s">
        <v>334</v>
      </c>
      <c r="P261" t="s">
        <v>650</v>
      </c>
      <c r="Q261" t="s">
        <v>320</v>
      </c>
      <c r="R261" s="60" t="str">
        <f>_xlfn.CONCAT(Tabla16[[#This Row],[ABR_01]],"00",Tabla16[[#This Row],[ABR_02]],Tabla16[[#This Row],[ZONA2]],,"0",Tabla16[[#This Row],[PARADA2]])</f>
        <v>AR00RN1008</v>
      </c>
      <c r="S261" s="60" t="s">
        <v>580</v>
      </c>
      <c r="T261" s="42" t="s">
        <v>324</v>
      </c>
      <c r="U261" s="53" t="s">
        <v>324</v>
      </c>
      <c r="V261" t="s">
        <v>851</v>
      </c>
    </row>
    <row r="262" spans="1:22" x14ac:dyDescent="0.25">
      <c r="A262" s="56" t="s">
        <v>325</v>
      </c>
      <c r="B262" s="38" t="s">
        <v>454</v>
      </c>
      <c r="C262" s="44" t="s">
        <v>455</v>
      </c>
      <c r="D262" s="39" t="s">
        <v>456</v>
      </c>
      <c r="E262" s="16" t="s">
        <v>42</v>
      </c>
      <c r="F262" s="12">
        <v>352</v>
      </c>
      <c r="G262" s="16">
        <v>411</v>
      </c>
      <c r="H262" s="40" t="s">
        <v>315</v>
      </c>
      <c r="I262" s="40" t="s">
        <v>457</v>
      </c>
      <c r="J262" s="41" t="s">
        <v>317</v>
      </c>
      <c r="K262" s="41" t="s">
        <v>318</v>
      </c>
      <c r="L262" s="57" t="s">
        <v>319</v>
      </c>
      <c r="M262" s="58" t="str">
        <f>Tabla16[[#This Row],[ABR_02]]</f>
        <v>SA</v>
      </c>
      <c r="N262" t="s">
        <v>320</v>
      </c>
      <c r="O262" s="59" t="s">
        <v>318</v>
      </c>
      <c r="P262" t="s">
        <v>321</v>
      </c>
      <c r="Q262" t="s">
        <v>328</v>
      </c>
      <c r="R262" s="60" t="str">
        <f>_xlfn.CONCAT(Tabla16[[#This Row],[ABR_01]],"00",Tabla16[[#This Row],[ABR_02]],Tabla16[[#This Row],[ZONA2]],,"0",Tabla16[[#This Row],[PARADA2]])</f>
        <v>AR00SA1001</v>
      </c>
      <c r="S262" s="60" t="s">
        <v>329</v>
      </c>
      <c r="T262" s="42" t="s">
        <v>324</v>
      </c>
      <c r="U262" s="42" t="s">
        <v>324</v>
      </c>
      <c r="V262" t="s">
        <v>850</v>
      </c>
    </row>
    <row r="263" spans="1:22" x14ac:dyDescent="0.25">
      <c r="A263" s="56" t="s">
        <v>325</v>
      </c>
      <c r="B263" s="38" t="s">
        <v>458</v>
      </c>
      <c r="C263" s="10" t="s">
        <v>458</v>
      </c>
      <c r="D263" s="39" t="s">
        <v>456</v>
      </c>
      <c r="E263" s="16" t="s">
        <v>42</v>
      </c>
      <c r="F263" s="12">
        <v>352</v>
      </c>
      <c r="G263" s="16">
        <v>455</v>
      </c>
      <c r="H263" s="40" t="s">
        <v>315</v>
      </c>
      <c r="I263" s="40" t="s">
        <v>457</v>
      </c>
      <c r="J263" s="41" t="s">
        <v>317</v>
      </c>
      <c r="K263" s="41" t="s">
        <v>331</v>
      </c>
      <c r="L263" s="57" t="s">
        <v>319</v>
      </c>
      <c r="M263" s="58" t="str">
        <f>Tabla16[[#This Row],[ABR_02]]</f>
        <v>SA</v>
      </c>
      <c r="N263" t="s">
        <v>320</v>
      </c>
      <c r="O263" s="59" t="s">
        <v>318</v>
      </c>
      <c r="P263" t="s">
        <v>321</v>
      </c>
      <c r="Q263" t="s">
        <v>328</v>
      </c>
      <c r="R263" s="60" t="str">
        <f>_xlfn.CONCAT(Tabla16[[#This Row],[ABR_01]],"00",Tabla16[[#This Row],[ABR_02]],Tabla16[[#This Row],[ZONA2]],,"0",Tabla16[[#This Row],[PARADA2]])</f>
        <v>AR00SA1002</v>
      </c>
      <c r="S263" s="60" t="s">
        <v>329</v>
      </c>
      <c r="T263" s="42" t="s">
        <v>324</v>
      </c>
      <c r="U263" s="42" t="s">
        <v>324</v>
      </c>
      <c r="V263" t="s">
        <v>850</v>
      </c>
    </row>
    <row r="264" spans="1:22" x14ac:dyDescent="0.25">
      <c r="A264" s="56" t="s">
        <v>325</v>
      </c>
      <c r="B264" s="38" t="s">
        <v>459</v>
      </c>
      <c r="C264" s="44" t="s">
        <v>130</v>
      </c>
      <c r="D264" s="39" t="s">
        <v>456</v>
      </c>
      <c r="E264" s="16" t="s">
        <v>42</v>
      </c>
      <c r="F264" s="12">
        <v>352</v>
      </c>
      <c r="G264" s="16">
        <v>440</v>
      </c>
      <c r="H264" s="40" t="s">
        <v>315</v>
      </c>
      <c r="I264" s="40" t="s">
        <v>457</v>
      </c>
      <c r="J264" s="41" t="s">
        <v>317</v>
      </c>
      <c r="K264" s="41" t="s">
        <v>332</v>
      </c>
      <c r="L264" s="57" t="s">
        <v>319</v>
      </c>
      <c r="M264" s="58" t="str">
        <f>Tabla16[[#This Row],[ABR_02]]</f>
        <v>SA</v>
      </c>
      <c r="N264" t="s">
        <v>320</v>
      </c>
      <c r="O264" s="59" t="s">
        <v>318</v>
      </c>
      <c r="P264" t="s">
        <v>321</v>
      </c>
      <c r="Q264" t="s">
        <v>328</v>
      </c>
      <c r="R264" s="60" t="str">
        <f>_xlfn.CONCAT(Tabla16[[#This Row],[ABR_01]],"00",Tabla16[[#This Row],[ABR_02]],Tabla16[[#This Row],[ZONA2]],,"0",Tabla16[[#This Row],[PARADA2]])</f>
        <v>AR00SA1003</v>
      </c>
      <c r="S264" s="60" t="s">
        <v>329</v>
      </c>
      <c r="T264" s="42" t="s">
        <v>324</v>
      </c>
      <c r="U264" s="42" t="s">
        <v>324</v>
      </c>
      <c r="V264" t="s">
        <v>850</v>
      </c>
    </row>
    <row r="265" spans="1:22" x14ac:dyDescent="0.25">
      <c r="A265" s="56" t="s">
        <v>325</v>
      </c>
      <c r="B265" s="38" t="s">
        <v>454</v>
      </c>
      <c r="C265" s="44" t="s">
        <v>455</v>
      </c>
      <c r="D265" s="39" t="s">
        <v>456</v>
      </c>
      <c r="E265" s="16" t="s">
        <v>42</v>
      </c>
      <c r="F265" s="12">
        <v>352</v>
      </c>
      <c r="G265" s="16">
        <v>411</v>
      </c>
      <c r="H265" s="40" t="s">
        <v>315</v>
      </c>
      <c r="I265" s="40" t="s">
        <v>457</v>
      </c>
      <c r="J265" s="41" t="s">
        <v>317</v>
      </c>
      <c r="K265" s="41" t="s">
        <v>318</v>
      </c>
      <c r="L265" s="57" t="s">
        <v>319</v>
      </c>
      <c r="M265" s="58" t="str">
        <f>Tabla16[[#This Row],[ABR_02]]</f>
        <v>SA</v>
      </c>
      <c r="N265" t="s">
        <v>320</v>
      </c>
      <c r="O265" s="59" t="s">
        <v>334</v>
      </c>
      <c r="P265" t="s">
        <v>650</v>
      </c>
      <c r="Q265" t="s">
        <v>651</v>
      </c>
      <c r="R265" s="60" t="str">
        <f>_xlfn.CONCAT(Tabla16[[#This Row],[ABR_01]],"00",Tabla16[[#This Row],[ABR_02]],Tabla16[[#This Row],[ZONA2]],,"0",Tabla16[[#This Row],[PARADA2]])</f>
        <v>AR00SA1001</v>
      </c>
      <c r="S265" s="60" t="s">
        <v>652</v>
      </c>
      <c r="T265" s="42" t="s">
        <v>324</v>
      </c>
      <c r="U265" s="53" t="s">
        <v>324</v>
      </c>
      <c r="V265" t="s">
        <v>851</v>
      </c>
    </row>
    <row r="266" spans="1:22" x14ac:dyDescent="0.25">
      <c r="A266" s="56" t="s">
        <v>325</v>
      </c>
      <c r="B266" s="38" t="s">
        <v>458</v>
      </c>
      <c r="C266" s="10" t="s">
        <v>458</v>
      </c>
      <c r="D266" s="39" t="s">
        <v>456</v>
      </c>
      <c r="E266" s="16" t="s">
        <v>42</v>
      </c>
      <c r="F266" s="12">
        <v>352</v>
      </c>
      <c r="G266" s="16">
        <v>455</v>
      </c>
      <c r="H266" s="40" t="s">
        <v>315</v>
      </c>
      <c r="I266" s="40" t="s">
        <v>457</v>
      </c>
      <c r="J266" s="41" t="s">
        <v>317</v>
      </c>
      <c r="K266" s="41" t="s">
        <v>331</v>
      </c>
      <c r="L266" s="57" t="s">
        <v>319</v>
      </c>
      <c r="M266" s="58" t="str">
        <f>Tabla16[[#This Row],[ABR_02]]</f>
        <v>SA</v>
      </c>
      <c r="N266" t="s">
        <v>320</v>
      </c>
      <c r="O266" s="59" t="s">
        <v>334</v>
      </c>
      <c r="P266" t="s">
        <v>650</v>
      </c>
      <c r="Q266" t="s">
        <v>651</v>
      </c>
      <c r="R266" s="60" t="str">
        <f>_xlfn.CONCAT(Tabla16[[#This Row],[ABR_01]],"00",Tabla16[[#This Row],[ABR_02]],Tabla16[[#This Row],[ZONA2]],,"0",Tabla16[[#This Row],[PARADA2]])</f>
        <v>AR00SA1002</v>
      </c>
      <c r="S266" s="60" t="s">
        <v>652</v>
      </c>
      <c r="T266" s="42" t="s">
        <v>324</v>
      </c>
      <c r="U266" s="53" t="s">
        <v>324</v>
      </c>
      <c r="V266" t="s">
        <v>851</v>
      </c>
    </row>
    <row r="267" spans="1:22" x14ac:dyDescent="0.25">
      <c r="A267" s="56" t="s">
        <v>325</v>
      </c>
      <c r="B267" s="38" t="s">
        <v>459</v>
      </c>
      <c r="C267" s="44" t="s">
        <v>130</v>
      </c>
      <c r="D267" s="39" t="s">
        <v>456</v>
      </c>
      <c r="E267" s="16" t="s">
        <v>42</v>
      </c>
      <c r="F267" s="12">
        <v>352</v>
      </c>
      <c r="G267" s="16">
        <v>440</v>
      </c>
      <c r="H267" s="40" t="s">
        <v>315</v>
      </c>
      <c r="I267" s="40" t="s">
        <v>457</v>
      </c>
      <c r="J267" s="41" t="s">
        <v>317</v>
      </c>
      <c r="K267" s="41" t="s">
        <v>332</v>
      </c>
      <c r="L267" s="57" t="s">
        <v>319</v>
      </c>
      <c r="M267" s="58" t="str">
        <f>Tabla16[[#This Row],[ABR_02]]</f>
        <v>SA</v>
      </c>
      <c r="N267" t="s">
        <v>320</v>
      </c>
      <c r="O267" s="59" t="s">
        <v>334</v>
      </c>
      <c r="P267" t="s">
        <v>650</v>
      </c>
      <c r="Q267" t="s">
        <v>651</v>
      </c>
      <c r="R267" s="60" t="str">
        <f>_xlfn.CONCAT(Tabla16[[#This Row],[ABR_01]],"00",Tabla16[[#This Row],[ABR_02]],Tabla16[[#This Row],[ZONA2]],,"0",Tabla16[[#This Row],[PARADA2]])</f>
        <v>AR00SA1003</v>
      </c>
      <c r="S267" s="60" t="s">
        <v>652</v>
      </c>
      <c r="T267" s="42" t="s">
        <v>324</v>
      </c>
      <c r="U267" s="53" t="s">
        <v>324</v>
      </c>
      <c r="V267" t="s">
        <v>851</v>
      </c>
    </row>
    <row r="268" spans="1:22" x14ac:dyDescent="0.25">
      <c r="A268" s="56" t="s">
        <v>325</v>
      </c>
      <c r="B268" s="38" t="s">
        <v>449</v>
      </c>
      <c r="C268" s="44" t="s">
        <v>136</v>
      </c>
      <c r="D268" s="39" t="s">
        <v>450</v>
      </c>
      <c r="E268" s="16" t="s">
        <v>90</v>
      </c>
      <c r="F268" s="12">
        <v>264</v>
      </c>
      <c r="G268" s="16">
        <v>500</v>
      </c>
      <c r="H268" s="40" t="s">
        <v>315</v>
      </c>
      <c r="I268" s="40" t="s">
        <v>451</v>
      </c>
      <c r="J268" s="41" t="s">
        <v>317</v>
      </c>
      <c r="K268" s="41" t="s">
        <v>318</v>
      </c>
      <c r="L268" s="57" t="s">
        <v>319</v>
      </c>
      <c r="M268" s="58" t="str">
        <f>Tabla16[[#This Row],[ABR_02]]</f>
        <v>SJ</v>
      </c>
      <c r="N268" t="s">
        <v>320</v>
      </c>
      <c r="O268" s="59" t="s">
        <v>318</v>
      </c>
      <c r="P268" t="s">
        <v>321</v>
      </c>
      <c r="Q268" t="s">
        <v>328</v>
      </c>
      <c r="R268" s="60" t="str">
        <f>_xlfn.CONCAT(Tabla16[[#This Row],[ABR_01]],"00",Tabla16[[#This Row],[ABR_02]],Tabla16[[#This Row],[ZONA2]],,"0",Tabla16[[#This Row],[PARADA2]])</f>
        <v>AR00SJ1001</v>
      </c>
      <c r="S268" s="60" t="s">
        <v>329</v>
      </c>
      <c r="T268" s="42" t="s">
        <v>324</v>
      </c>
      <c r="U268" s="42" t="s">
        <v>324</v>
      </c>
      <c r="V268" t="s">
        <v>850</v>
      </c>
    </row>
    <row r="269" spans="1:22" x14ac:dyDescent="0.25">
      <c r="A269" s="56" t="s">
        <v>325</v>
      </c>
      <c r="B269" s="38" t="s">
        <v>452</v>
      </c>
      <c r="C269" s="44" t="s">
        <v>241</v>
      </c>
      <c r="D269" s="39" t="s">
        <v>450</v>
      </c>
      <c r="E269" s="16" t="s">
        <v>90</v>
      </c>
      <c r="F269" s="12">
        <v>264</v>
      </c>
      <c r="G269" s="16">
        <v>505</v>
      </c>
      <c r="H269" s="40" t="s">
        <v>315</v>
      </c>
      <c r="I269" s="40" t="s">
        <v>451</v>
      </c>
      <c r="J269" s="41" t="s">
        <v>317</v>
      </c>
      <c r="K269" s="41" t="s">
        <v>331</v>
      </c>
      <c r="L269" s="57" t="s">
        <v>319</v>
      </c>
      <c r="M269" s="58" t="str">
        <f>Tabla16[[#This Row],[ABR_02]]</f>
        <v>SJ</v>
      </c>
      <c r="N269" t="s">
        <v>320</v>
      </c>
      <c r="O269" s="59" t="s">
        <v>318</v>
      </c>
      <c r="P269" t="s">
        <v>321</v>
      </c>
      <c r="Q269" t="s">
        <v>328</v>
      </c>
      <c r="R269" s="60" t="str">
        <f>_xlfn.CONCAT(Tabla16[[#This Row],[ABR_01]],"00",Tabla16[[#This Row],[ABR_02]],Tabla16[[#This Row],[ZONA2]],,"0",Tabla16[[#This Row],[PARADA2]])</f>
        <v>AR00SJ1002</v>
      </c>
      <c r="S269" s="60" t="s">
        <v>329</v>
      </c>
      <c r="T269" s="42" t="s">
        <v>324</v>
      </c>
      <c r="U269" s="42" t="s">
        <v>324</v>
      </c>
      <c r="V269" t="s">
        <v>850</v>
      </c>
    </row>
    <row r="270" spans="1:22" x14ac:dyDescent="0.25">
      <c r="A270" s="56" t="s">
        <v>325</v>
      </c>
      <c r="B270" s="38" t="s">
        <v>453</v>
      </c>
      <c r="C270" s="10" t="s">
        <v>453</v>
      </c>
      <c r="D270" s="39" t="s">
        <v>450</v>
      </c>
      <c r="E270" s="16" t="s">
        <v>90</v>
      </c>
      <c r="F270" s="12">
        <v>264</v>
      </c>
      <c r="G270" s="16">
        <v>510</v>
      </c>
      <c r="H270" s="40" t="s">
        <v>315</v>
      </c>
      <c r="I270" s="40" t="s">
        <v>451</v>
      </c>
      <c r="J270" s="41" t="s">
        <v>317</v>
      </c>
      <c r="K270" s="41" t="s">
        <v>332</v>
      </c>
      <c r="L270" s="57" t="s">
        <v>319</v>
      </c>
      <c r="M270" s="58" t="str">
        <f>Tabla16[[#This Row],[ABR_02]]</f>
        <v>SJ</v>
      </c>
      <c r="N270" t="s">
        <v>320</v>
      </c>
      <c r="O270" s="59" t="s">
        <v>318</v>
      </c>
      <c r="P270" t="s">
        <v>321</v>
      </c>
      <c r="Q270" t="s">
        <v>328</v>
      </c>
      <c r="R270" s="60" t="str">
        <f>_xlfn.CONCAT(Tabla16[[#This Row],[ABR_01]],"00",Tabla16[[#This Row],[ABR_02]],Tabla16[[#This Row],[ZONA2]],,"0",Tabla16[[#This Row],[PARADA2]])</f>
        <v>AR00SJ1003</v>
      </c>
      <c r="S270" s="60" t="s">
        <v>329</v>
      </c>
      <c r="T270" s="42" t="s">
        <v>324</v>
      </c>
      <c r="U270" s="42" t="s">
        <v>324</v>
      </c>
      <c r="V270" t="s">
        <v>850</v>
      </c>
    </row>
    <row r="271" spans="1:22" x14ac:dyDescent="0.25">
      <c r="A271" s="56" t="s">
        <v>325</v>
      </c>
      <c r="B271" s="38" t="s">
        <v>449</v>
      </c>
      <c r="C271" s="44" t="s">
        <v>136</v>
      </c>
      <c r="D271" s="39" t="s">
        <v>450</v>
      </c>
      <c r="E271" s="16" t="s">
        <v>90</v>
      </c>
      <c r="F271" s="12">
        <v>264</v>
      </c>
      <c r="G271" s="16">
        <v>500</v>
      </c>
      <c r="H271" s="40" t="s">
        <v>315</v>
      </c>
      <c r="I271" s="40" t="s">
        <v>451</v>
      </c>
      <c r="J271" s="41" t="s">
        <v>317</v>
      </c>
      <c r="K271" s="41" t="s">
        <v>318</v>
      </c>
      <c r="L271" s="57" t="s">
        <v>319</v>
      </c>
      <c r="M271" s="58" t="str">
        <f>Tabla16[[#This Row],[ABR_02]]</f>
        <v>SJ</v>
      </c>
      <c r="N271" t="s">
        <v>320</v>
      </c>
      <c r="O271" s="59" t="s">
        <v>334</v>
      </c>
      <c r="P271" t="s">
        <v>650</v>
      </c>
      <c r="Q271" t="s">
        <v>651</v>
      </c>
      <c r="R271" s="60" t="str">
        <f>_xlfn.CONCAT(Tabla16[[#This Row],[ABR_01]],"00",Tabla16[[#This Row],[ABR_02]],Tabla16[[#This Row],[ZONA2]],,"0",Tabla16[[#This Row],[PARADA2]])</f>
        <v>AR00SJ1001</v>
      </c>
      <c r="S271" s="60" t="s">
        <v>652</v>
      </c>
      <c r="T271" s="42" t="s">
        <v>324</v>
      </c>
      <c r="U271" s="53" t="s">
        <v>324</v>
      </c>
      <c r="V271" t="s">
        <v>851</v>
      </c>
    </row>
    <row r="272" spans="1:22" x14ac:dyDescent="0.25">
      <c r="A272" s="56" t="s">
        <v>325</v>
      </c>
      <c r="B272" s="38" t="s">
        <v>452</v>
      </c>
      <c r="C272" s="44" t="s">
        <v>241</v>
      </c>
      <c r="D272" s="39" t="s">
        <v>450</v>
      </c>
      <c r="E272" s="16" t="s">
        <v>90</v>
      </c>
      <c r="F272" s="12">
        <v>264</v>
      </c>
      <c r="G272" s="16">
        <v>505</v>
      </c>
      <c r="H272" s="40" t="s">
        <v>315</v>
      </c>
      <c r="I272" s="40" t="s">
        <v>451</v>
      </c>
      <c r="J272" s="41" t="s">
        <v>317</v>
      </c>
      <c r="K272" s="41" t="s">
        <v>331</v>
      </c>
      <c r="L272" s="57" t="s">
        <v>319</v>
      </c>
      <c r="M272" s="58" t="str">
        <f>Tabla16[[#This Row],[ABR_02]]</f>
        <v>SJ</v>
      </c>
      <c r="N272" t="s">
        <v>320</v>
      </c>
      <c r="O272" s="59" t="s">
        <v>334</v>
      </c>
      <c r="P272" t="s">
        <v>650</v>
      </c>
      <c r="Q272" t="s">
        <v>651</v>
      </c>
      <c r="R272" s="60" t="str">
        <f>_xlfn.CONCAT(Tabla16[[#This Row],[ABR_01]],"00",Tabla16[[#This Row],[ABR_02]],Tabla16[[#This Row],[ZONA2]],,"0",Tabla16[[#This Row],[PARADA2]])</f>
        <v>AR00SJ1002</v>
      </c>
      <c r="S272" s="60" t="s">
        <v>652</v>
      </c>
      <c r="T272" s="42" t="s">
        <v>324</v>
      </c>
      <c r="U272" s="53" t="s">
        <v>324</v>
      </c>
      <c r="V272" t="s">
        <v>851</v>
      </c>
    </row>
    <row r="273" spans="1:22" x14ac:dyDescent="0.25">
      <c r="A273" s="56" t="s">
        <v>325</v>
      </c>
      <c r="B273" s="38" t="s">
        <v>453</v>
      </c>
      <c r="C273" s="10" t="s">
        <v>453</v>
      </c>
      <c r="D273" s="39" t="s">
        <v>450</v>
      </c>
      <c r="E273" s="16" t="s">
        <v>90</v>
      </c>
      <c r="F273" s="12">
        <v>264</v>
      </c>
      <c r="G273" s="16">
        <v>510</v>
      </c>
      <c r="H273" s="40" t="s">
        <v>315</v>
      </c>
      <c r="I273" s="40" t="s">
        <v>451</v>
      </c>
      <c r="J273" s="41" t="s">
        <v>317</v>
      </c>
      <c r="K273" s="41" t="s">
        <v>332</v>
      </c>
      <c r="L273" s="57" t="s">
        <v>319</v>
      </c>
      <c r="M273" s="58" t="str">
        <f>Tabla16[[#This Row],[ABR_02]]</f>
        <v>SJ</v>
      </c>
      <c r="N273" t="s">
        <v>320</v>
      </c>
      <c r="O273" s="59" t="s">
        <v>334</v>
      </c>
      <c r="P273" t="s">
        <v>650</v>
      </c>
      <c r="Q273" t="s">
        <v>651</v>
      </c>
      <c r="R273" s="60" t="str">
        <f>_xlfn.CONCAT(Tabla16[[#This Row],[ABR_01]],"00",Tabla16[[#This Row],[ABR_02]],Tabla16[[#This Row],[ZONA2]],,"0",Tabla16[[#This Row],[PARADA2]])</f>
        <v>AR00SJ1003</v>
      </c>
      <c r="S273" s="60" t="s">
        <v>652</v>
      </c>
      <c r="T273" s="42" t="s">
        <v>324</v>
      </c>
      <c r="U273" s="53" t="s">
        <v>324</v>
      </c>
      <c r="V273" t="s">
        <v>851</v>
      </c>
    </row>
    <row r="274" spans="1:22" x14ac:dyDescent="0.25">
      <c r="A274" s="56" t="s">
        <v>325</v>
      </c>
      <c r="B274" s="38" t="s">
        <v>445</v>
      </c>
      <c r="C274" s="44" t="s">
        <v>138</v>
      </c>
      <c r="D274" s="39" t="s">
        <v>446</v>
      </c>
      <c r="E274" s="16" t="s">
        <v>90</v>
      </c>
      <c r="F274" s="12">
        <v>265</v>
      </c>
      <c r="G274" s="16">
        <v>565</v>
      </c>
      <c r="H274" s="40" t="s">
        <v>315</v>
      </c>
      <c r="I274" s="40" t="s">
        <v>447</v>
      </c>
      <c r="J274" s="41" t="s">
        <v>317</v>
      </c>
      <c r="K274" s="41" t="s">
        <v>318</v>
      </c>
      <c r="L274" s="57" t="s">
        <v>319</v>
      </c>
      <c r="M274" s="58" t="str">
        <f>Tabla16[[#This Row],[ABR_02]]</f>
        <v>SL</v>
      </c>
      <c r="N274" t="s">
        <v>320</v>
      </c>
      <c r="O274" s="59" t="s">
        <v>318</v>
      </c>
      <c r="P274" t="s">
        <v>321</v>
      </c>
      <c r="Q274" t="s">
        <v>328</v>
      </c>
      <c r="R274" s="60" t="str">
        <f>_xlfn.CONCAT(Tabla16[[#This Row],[ABR_01]],"00",Tabla16[[#This Row],[ABR_02]],Tabla16[[#This Row],[ZONA2]],,"0",Tabla16[[#This Row],[PARADA2]])</f>
        <v>AR00SL1001</v>
      </c>
      <c r="S274" s="60" t="s">
        <v>329</v>
      </c>
      <c r="T274" s="42" t="s">
        <v>324</v>
      </c>
      <c r="U274" s="42" t="s">
        <v>324</v>
      </c>
      <c r="V274" t="s">
        <v>850</v>
      </c>
    </row>
    <row r="275" spans="1:22" x14ac:dyDescent="0.25">
      <c r="A275" s="56" t="s">
        <v>325</v>
      </c>
      <c r="B275" s="38" t="s">
        <v>448</v>
      </c>
      <c r="C275" s="44" t="s">
        <v>170</v>
      </c>
      <c r="D275" s="39" t="s">
        <v>446</v>
      </c>
      <c r="E275" s="16" t="s">
        <v>90</v>
      </c>
      <c r="F275" s="12">
        <v>265</v>
      </c>
      <c r="G275" s="16">
        <v>570</v>
      </c>
      <c r="H275" s="40" t="s">
        <v>315</v>
      </c>
      <c r="I275" s="40" t="s">
        <v>447</v>
      </c>
      <c r="J275" s="41" t="s">
        <v>317</v>
      </c>
      <c r="K275" s="41" t="s">
        <v>331</v>
      </c>
      <c r="L275" s="57" t="s">
        <v>319</v>
      </c>
      <c r="M275" s="58" t="str">
        <f>Tabla16[[#This Row],[ABR_02]]</f>
        <v>SL</v>
      </c>
      <c r="N275" t="s">
        <v>320</v>
      </c>
      <c r="O275" s="59" t="s">
        <v>318</v>
      </c>
      <c r="P275" t="s">
        <v>321</v>
      </c>
      <c r="Q275" t="s">
        <v>328</v>
      </c>
      <c r="R275" s="60" t="str">
        <f>_xlfn.CONCAT(Tabla16[[#This Row],[ABR_01]],"00",Tabla16[[#This Row],[ABR_02]],Tabla16[[#This Row],[ZONA2]],,"0",Tabla16[[#This Row],[PARADA2]])</f>
        <v>AR00SL1002</v>
      </c>
      <c r="S275" s="60" t="s">
        <v>329</v>
      </c>
      <c r="T275" s="42" t="s">
        <v>324</v>
      </c>
      <c r="U275" s="42" t="s">
        <v>324</v>
      </c>
      <c r="V275" t="s">
        <v>850</v>
      </c>
    </row>
    <row r="276" spans="1:22" x14ac:dyDescent="0.25">
      <c r="A276" s="56" t="s">
        <v>325</v>
      </c>
      <c r="B276" s="38" t="s">
        <v>445</v>
      </c>
      <c r="C276" s="44" t="s">
        <v>138</v>
      </c>
      <c r="D276" s="39" t="s">
        <v>446</v>
      </c>
      <c r="E276" s="16" t="s">
        <v>90</v>
      </c>
      <c r="F276" s="12">
        <v>265</v>
      </c>
      <c r="G276" s="16">
        <v>565</v>
      </c>
      <c r="H276" s="40" t="s">
        <v>315</v>
      </c>
      <c r="I276" s="40" t="s">
        <v>447</v>
      </c>
      <c r="J276" s="41" t="s">
        <v>317</v>
      </c>
      <c r="K276" s="41" t="s">
        <v>318</v>
      </c>
      <c r="L276" s="57" t="s">
        <v>319</v>
      </c>
      <c r="M276" s="58" t="str">
        <f>Tabla16[[#This Row],[ABR_02]]</f>
        <v>SL</v>
      </c>
      <c r="N276" t="s">
        <v>320</v>
      </c>
      <c r="O276" s="59" t="s">
        <v>334</v>
      </c>
      <c r="P276" t="s">
        <v>650</v>
      </c>
      <c r="Q276" t="s">
        <v>651</v>
      </c>
      <c r="R276" s="60" t="str">
        <f>_xlfn.CONCAT(Tabla16[[#This Row],[ABR_01]],"00",Tabla16[[#This Row],[ABR_02]],Tabla16[[#This Row],[ZONA2]],,"0",Tabla16[[#This Row],[PARADA2]])</f>
        <v>AR00SL1001</v>
      </c>
      <c r="S276" s="60" t="s">
        <v>652</v>
      </c>
      <c r="T276" s="42" t="s">
        <v>324</v>
      </c>
      <c r="U276" s="53" t="s">
        <v>324</v>
      </c>
      <c r="V276" t="s">
        <v>851</v>
      </c>
    </row>
    <row r="277" spans="1:22" x14ac:dyDescent="0.25">
      <c r="A277" s="56" t="s">
        <v>325</v>
      </c>
      <c r="B277" s="38" t="s">
        <v>448</v>
      </c>
      <c r="C277" s="44" t="s">
        <v>170</v>
      </c>
      <c r="D277" s="39" t="s">
        <v>446</v>
      </c>
      <c r="E277" s="16" t="s">
        <v>90</v>
      </c>
      <c r="F277" s="12">
        <v>265</v>
      </c>
      <c r="G277" s="16">
        <v>570</v>
      </c>
      <c r="H277" s="40" t="s">
        <v>315</v>
      </c>
      <c r="I277" s="40" t="s">
        <v>447</v>
      </c>
      <c r="J277" s="41" t="s">
        <v>317</v>
      </c>
      <c r="K277" s="41" t="s">
        <v>331</v>
      </c>
      <c r="L277" s="57" t="s">
        <v>319</v>
      </c>
      <c r="M277" s="58" t="str">
        <f>Tabla16[[#This Row],[ABR_02]]</f>
        <v>SL</v>
      </c>
      <c r="N277" t="s">
        <v>320</v>
      </c>
      <c r="O277" s="59" t="s">
        <v>334</v>
      </c>
      <c r="P277" t="s">
        <v>650</v>
      </c>
      <c r="Q277" t="s">
        <v>651</v>
      </c>
      <c r="R277" s="60" t="str">
        <f>_xlfn.CONCAT(Tabla16[[#This Row],[ABR_01]],"00",Tabla16[[#This Row],[ABR_02]],Tabla16[[#This Row],[ZONA2]],,"0",Tabla16[[#This Row],[PARADA2]])</f>
        <v>AR00SL1002</v>
      </c>
      <c r="S277" s="60" t="s">
        <v>652</v>
      </c>
      <c r="T277" s="42" t="s">
        <v>324</v>
      </c>
      <c r="U277" s="53" t="s">
        <v>324</v>
      </c>
      <c r="V277" t="s">
        <v>851</v>
      </c>
    </row>
    <row r="278" spans="1:22" x14ac:dyDescent="0.25">
      <c r="A278" s="56" t="s">
        <v>325</v>
      </c>
      <c r="B278" s="38" t="s">
        <v>431</v>
      </c>
      <c r="C278" s="44" t="s">
        <v>36</v>
      </c>
      <c r="D278" s="39" t="s">
        <v>432</v>
      </c>
      <c r="E278" s="16" t="s">
        <v>34</v>
      </c>
      <c r="F278" s="12">
        <v>270</v>
      </c>
      <c r="G278" s="16">
        <v>959</v>
      </c>
      <c r="H278" s="40" t="s">
        <v>315</v>
      </c>
      <c r="I278" s="40" t="s">
        <v>433</v>
      </c>
      <c r="J278" s="41" t="s">
        <v>317</v>
      </c>
      <c r="K278" s="41" t="s">
        <v>318</v>
      </c>
      <c r="L278" s="57" t="s">
        <v>319</v>
      </c>
      <c r="M278" s="58" t="str">
        <f>Tabla16[[#This Row],[ABR_02]]</f>
        <v>SC</v>
      </c>
      <c r="N278" t="s">
        <v>320</v>
      </c>
      <c r="O278" s="59" t="s">
        <v>318</v>
      </c>
      <c r="P278" t="s">
        <v>321</v>
      </c>
      <c r="Q278" t="s">
        <v>338</v>
      </c>
      <c r="R278" s="60" t="str">
        <f>_xlfn.CONCAT(Tabla16[[#This Row],[ABR_01]],"00",Tabla16[[#This Row],[ABR_02]],Tabla16[[#This Row],[ZONA2]],,"0",Tabla16[[#This Row],[PARADA2]])</f>
        <v>AR00SC1001</v>
      </c>
      <c r="S278" s="60" t="s">
        <v>339</v>
      </c>
      <c r="T278" s="42" t="s">
        <v>324</v>
      </c>
      <c r="U278" s="42" t="s">
        <v>324</v>
      </c>
      <c r="V278" t="s">
        <v>850</v>
      </c>
    </row>
    <row r="279" spans="1:22" x14ac:dyDescent="0.25">
      <c r="A279" s="56" t="s">
        <v>325</v>
      </c>
      <c r="B279" s="38" t="s">
        <v>434</v>
      </c>
      <c r="C279" s="44" t="s">
        <v>61</v>
      </c>
      <c r="D279" s="39" t="s">
        <v>432</v>
      </c>
      <c r="E279" s="16" t="s">
        <v>34</v>
      </c>
      <c r="F279" s="12">
        <v>270</v>
      </c>
      <c r="G279" s="16">
        <v>970</v>
      </c>
      <c r="H279" s="40" t="s">
        <v>315</v>
      </c>
      <c r="I279" s="40" t="s">
        <v>433</v>
      </c>
      <c r="J279" s="41" t="s">
        <v>317</v>
      </c>
      <c r="K279" s="41" t="s">
        <v>331</v>
      </c>
      <c r="L279" s="57" t="s">
        <v>319</v>
      </c>
      <c r="M279" s="58" t="str">
        <f>Tabla16[[#This Row],[ABR_02]]</f>
        <v>SC</v>
      </c>
      <c r="N279" t="s">
        <v>320</v>
      </c>
      <c r="O279" s="59" t="s">
        <v>318</v>
      </c>
      <c r="P279" t="s">
        <v>321</v>
      </c>
      <c r="Q279" t="s">
        <v>338</v>
      </c>
      <c r="R279" s="60" t="str">
        <f>_xlfn.CONCAT(Tabla16[[#This Row],[ABR_01]],"00",Tabla16[[#This Row],[ABR_02]],Tabla16[[#This Row],[ZONA2]],,"0",Tabla16[[#This Row],[PARADA2]])</f>
        <v>AR00SC1002</v>
      </c>
      <c r="S279" s="60" t="s">
        <v>339</v>
      </c>
      <c r="T279" s="42" t="s">
        <v>324</v>
      </c>
      <c r="U279" s="42" t="s">
        <v>324</v>
      </c>
      <c r="V279" t="s">
        <v>850</v>
      </c>
    </row>
    <row r="280" spans="1:22" x14ac:dyDescent="0.25">
      <c r="A280" s="56" t="s">
        <v>325</v>
      </c>
      <c r="B280" s="38" t="s">
        <v>435</v>
      </c>
      <c r="C280" s="44" t="s">
        <v>66</v>
      </c>
      <c r="D280" s="39" t="s">
        <v>432</v>
      </c>
      <c r="E280" s="16" t="s">
        <v>34</v>
      </c>
      <c r="F280" s="12">
        <v>270</v>
      </c>
      <c r="G280" s="16">
        <v>980</v>
      </c>
      <c r="H280" s="40" t="s">
        <v>315</v>
      </c>
      <c r="I280" s="40" t="s">
        <v>433</v>
      </c>
      <c r="J280" s="41" t="s">
        <v>317</v>
      </c>
      <c r="K280" s="41" t="s">
        <v>332</v>
      </c>
      <c r="L280" s="57" t="s">
        <v>319</v>
      </c>
      <c r="M280" s="58" t="str">
        <f>Tabla16[[#This Row],[ABR_02]]</f>
        <v>SC</v>
      </c>
      <c r="N280" t="s">
        <v>320</v>
      </c>
      <c r="O280" s="59" t="s">
        <v>318</v>
      </c>
      <c r="P280" t="s">
        <v>321</v>
      </c>
      <c r="Q280" t="s">
        <v>338</v>
      </c>
      <c r="R280" s="60" t="str">
        <f>_xlfn.CONCAT(Tabla16[[#This Row],[ABR_01]],"00",Tabla16[[#This Row],[ABR_02]],Tabla16[[#This Row],[ZONA2]],,"0",Tabla16[[#This Row],[PARADA2]])</f>
        <v>AR00SC1003</v>
      </c>
      <c r="S280" s="60" t="s">
        <v>339</v>
      </c>
      <c r="T280" s="42" t="s">
        <v>324</v>
      </c>
      <c r="U280" s="42" t="s">
        <v>324</v>
      </c>
      <c r="V280" t="s">
        <v>850</v>
      </c>
    </row>
    <row r="281" spans="1:22" x14ac:dyDescent="0.25">
      <c r="A281" s="56" t="s">
        <v>325</v>
      </c>
      <c r="B281" s="38" t="s">
        <v>436</v>
      </c>
      <c r="C281" s="44" t="s">
        <v>193</v>
      </c>
      <c r="D281" s="39" t="s">
        <v>432</v>
      </c>
      <c r="E281" s="16" t="s">
        <v>34</v>
      </c>
      <c r="F281" s="12">
        <v>270</v>
      </c>
      <c r="G281" s="16">
        <v>974</v>
      </c>
      <c r="H281" s="40" t="s">
        <v>315</v>
      </c>
      <c r="I281" s="40" t="s">
        <v>433</v>
      </c>
      <c r="J281" s="41" t="s">
        <v>317</v>
      </c>
      <c r="K281" s="41" t="s">
        <v>334</v>
      </c>
      <c r="L281" s="57" t="s">
        <v>319</v>
      </c>
      <c r="M281" s="58" t="str">
        <f>Tabla16[[#This Row],[ABR_02]]</f>
        <v>SC</v>
      </c>
      <c r="N281" t="s">
        <v>320</v>
      </c>
      <c r="O281" s="59" t="s">
        <v>318</v>
      </c>
      <c r="P281" t="s">
        <v>321</v>
      </c>
      <c r="Q281" t="s">
        <v>338</v>
      </c>
      <c r="R281" s="60" t="str">
        <f>_xlfn.CONCAT(Tabla16[[#This Row],[ABR_01]],"00",Tabla16[[#This Row],[ABR_02]],Tabla16[[#This Row],[ZONA2]],,"0",Tabla16[[#This Row],[PARADA2]])</f>
        <v>AR00SC1004</v>
      </c>
      <c r="S281" s="60" t="s">
        <v>339</v>
      </c>
      <c r="T281" s="42" t="s">
        <v>324</v>
      </c>
      <c r="U281" s="42" t="s">
        <v>324</v>
      </c>
      <c r="V281" t="s">
        <v>850</v>
      </c>
    </row>
    <row r="282" spans="1:22" x14ac:dyDescent="0.25">
      <c r="A282" s="56" t="s">
        <v>325</v>
      </c>
      <c r="B282" s="38" t="s">
        <v>437</v>
      </c>
      <c r="C282" s="10" t="s">
        <v>195</v>
      </c>
      <c r="D282" s="39" t="s">
        <v>432</v>
      </c>
      <c r="E282" s="16" t="s">
        <v>34</v>
      </c>
      <c r="F282" s="12">
        <v>270</v>
      </c>
      <c r="G282" s="16">
        <v>958</v>
      </c>
      <c r="H282" s="40" t="s">
        <v>315</v>
      </c>
      <c r="I282" s="40" t="s">
        <v>433</v>
      </c>
      <c r="J282" s="41" t="s">
        <v>317</v>
      </c>
      <c r="K282" s="41" t="s">
        <v>344</v>
      </c>
      <c r="L282" s="57" t="s">
        <v>319</v>
      </c>
      <c r="M282" s="58" t="str">
        <f>Tabla16[[#This Row],[ABR_02]]</f>
        <v>SC</v>
      </c>
      <c r="N282" t="s">
        <v>320</v>
      </c>
      <c r="O282" s="59" t="s">
        <v>318</v>
      </c>
      <c r="P282" t="s">
        <v>321</v>
      </c>
      <c r="Q282" t="s">
        <v>338</v>
      </c>
      <c r="R282" s="60" t="str">
        <f>_xlfn.CONCAT(Tabla16[[#This Row],[ABR_01]],"00",Tabla16[[#This Row],[ABR_02]],Tabla16[[#This Row],[ZONA2]],,"0",Tabla16[[#This Row],[PARADA2]])</f>
        <v>AR00SC1005</v>
      </c>
      <c r="S282" s="60" t="s">
        <v>339</v>
      </c>
      <c r="T282" s="42" t="s">
        <v>324</v>
      </c>
      <c r="U282" s="42" t="s">
        <v>324</v>
      </c>
      <c r="V282" t="s">
        <v>850</v>
      </c>
    </row>
    <row r="283" spans="1:22" x14ac:dyDescent="0.25">
      <c r="A283" s="56" t="s">
        <v>325</v>
      </c>
      <c r="B283" s="38" t="s">
        <v>438</v>
      </c>
      <c r="C283" s="10" t="s">
        <v>438</v>
      </c>
      <c r="D283" s="39" t="s">
        <v>432</v>
      </c>
      <c r="E283" s="16" t="s">
        <v>34</v>
      </c>
      <c r="F283" s="12">
        <v>270</v>
      </c>
      <c r="G283" s="16">
        <v>296</v>
      </c>
      <c r="H283" s="40" t="s">
        <v>315</v>
      </c>
      <c r="I283" s="40" t="s">
        <v>433</v>
      </c>
      <c r="J283" s="41" t="s">
        <v>317</v>
      </c>
      <c r="K283" s="41" t="s">
        <v>345</v>
      </c>
      <c r="L283" s="57" t="s">
        <v>319</v>
      </c>
      <c r="M283" s="58" t="str">
        <f>Tabla16[[#This Row],[ABR_02]]</f>
        <v>SC</v>
      </c>
      <c r="N283" t="s">
        <v>320</v>
      </c>
      <c r="O283" s="59" t="s">
        <v>318</v>
      </c>
      <c r="P283" t="s">
        <v>321</v>
      </c>
      <c r="Q283" t="s">
        <v>338</v>
      </c>
      <c r="R283" s="60" t="str">
        <f>_xlfn.CONCAT(Tabla16[[#This Row],[ABR_01]],"00",Tabla16[[#This Row],[ABR_02]],Tabla16[[#This Row],[ZONA2]],,"0",Tabla16[[#This Row],[PARADA2]])</f>
        <v>AR00SC1006</v>
      </c>
      <c r="S283" s="60" t="s">
        <v>339</v>
      </c>
      <c r="T283" s="42" t="s">
        <v>324</v>
      </c>
      <c r="U283" s="42" t="s">
        <v>324</v>
      </c>
      <c r="V283" t="s">
        <v>850</v>
      </c>
    </row>
    <row r="284" spans="1:22" x14ac:dyDescent="0.25">
      <c r="A284" s="56" t="s">
        <v>325</v>
      </c>
      <c r="B284" s="38" t="s">
        <v>439</v>
      </c>
      <c r="C284" s="10" t="s">
        <v>100</v>
      </c>
      <c r="D284" s="39" t="s">
        <v>432</v>
      </c>
      <c r="E284" s="16" t="s">
        <v>34</v>
      </c>
      <c r="F284" s="12">
        <v>270</v>
      </c>
      <c r="G284" s="16">
        <v>956</v>
      </c>
      <c r="H284" s="40" t="s">
        <v>315</v>
      </c>
      <c r="I284" s="40" t="s">
        <v>433</v>
      </c>
      <c r="J284" s="41" t="s">
        <v>317</v>
      </c>
      <c r="K284" s="41" t="s">
        <v>347</v>
      </c>
      <c r="L284" s="57" t="s">
        <v>319</v>
      </c>
      <c r="M284" s="58" t="str">
        <f>Tabla16[[#This Row],[ABR_02]]</f>
        <v>SC</v>
      </c>
      <c r="N284" t="s">
        <v>320</v>
      </c>
      <c r="O284" s="59" t="s">
        <v>318</v>
      </c>
      <c r="P284" t="s">
        <v>321</v>
      </c>
      <c r="Q284" t="s">
        <v>338</v>
      </c>
      <c r="R284" s="60" t="str">
        <f>_xlfn.CONCAT(Tabla16[[#This Row],[ABR_01]],"00",Tabla16[[#This Row],[ABR_02]],Tabla16[[#This Row],[ZONA2]],,"0",Tabla16[[#This Row],[PARADA2]])</f>
        <v>AR00SC1007</v>
      </c>
      <c r="S284" s="60" t="s">
        <v>339</v>
      </c>
      <c r="T284" s="42" t="s">
        <v>324</v>
      </c>
      <c r="U284" s="42" t="s">
        <v>324</v>
      </c>
      <c r="V284" t="s">
        <v>850</v>
      </c>
    </row>
    <row r="285" spans="1:22" x14ac:dyDescent="0.25">
      <c r="A285" s="56" t="s">
        <v>325</v>
      </c>
      <c r="B285" s="38" t="s">
        <v>440</v>
      </c>
      <c r="C285" s="44" t="s">
        <v>102</v>
      </c>
      <c r="D285" s="39" t="s">
        <v>432</v>
      </c>
      <c r="E285" s="16" t="s">
        <v>34</v>
      </c>
      <c r="F285" s="12">
        <v>270</v>
      </c>
      <c r="G285" s="16">
        <v>957</v>
      </c>
      <c r="H285" s="40" t="s">
        <v>315</v>
      </c>
      <c r="I285" s="40" t="s">
        <v>433</v>
      </c>
      <c r="J285" s="41" t="s">
        <v>317</v>
      </c>
      <c r="K285" s="41" t="s">
        <v>349</v>
      </c>
      <c r="L285" s="57" t="s">
        <v>319</v>
      </c>
      <c r="M285" s="58" t="str">
        <f>Tabla16[[#This Row],[ABR_02]]</f>
        <v>SC</v>
      </c>
      <c r="N285" t="s">
        <v>320</v>
      </c>
      <c r="O285" s="59" t="s">
        <v>318</v>
      </c>
      <c r="P285" t="s">
        <v>321</v>
      </c>
      <c r="Q285" t="s">
        <v>338</v>
      </c>
      <c r="R285" s="60" t="str">
        <f>_xlfn.CONCAT(Tabla16[[#This Row],[ABR_01]],"00",Tabla16[[#This Row],[ABR_02]],Tabla16[[#This Row],[ZONA2]],,"0",Tabla16[[#This Row],[PARADA2]])</f>
        <v>AR00SC1008</v>
      </c>
      <c r="S285" s="60" t="s">
        <v>339</v>
      </c>
      <c r="T285" s="42" t="s">
        <v>324</v>
      </c>
      <c r="U285" s="42" t="s">
        <v>324</v>
      </c>
      <c r="V285" t="s">
        <v>850</v>
      </c>
    </row>
    <row r="286" spans="1:22" x14ac:dyDescent="0.25">
      <c r="A286" s="56" t="s">
        <v>325</v>
      </c>
      <c r="B286" s="38" t="s">
        <v>107</v>
      </c>
      <c r="C286" s="10" t="s">
        <v>107</v>
      </c>
      <c r="D286" s="39" t="s">
        <v>432</v>
      </c>
      <c r="E286" s="16" t="s">
        <v>34</v>
      </c>
      <c r="F286" s="12">
        <v>270</v>
      </c>
      <c r="G286" s="16">
        <v>978</v>
      </c>
      <c r="H286" s="40" t="s">
        <v>315</v>
      </c>
      <c r="I286" s="40" t="s">
        <v>433</v>
      </c>
      <c r="J286" s="41" t="s">
        <v>317</v>
      </c>
      <c r="K286" s="41" t="s">
        <v>393</v>
      </c>
      <c r="L286" s="57" t="s">
        <v>319</v>
      </c>
      <c r="M286" s="58" t="str">
        <f>Tabla16[[#This Row],[ABR_02]]</f>
        <v>SC</v>
      </c>
      <c r="N286" t="s">
        <v>320</v>
      </c>
      <c r="O286" s="59" t="s">
        <v>318</v>
      </c>
      <c r="P286" t="s">
        <v>321</v>
      </c>
      <c r="Q286" t="s">
        <v>338</v>
      </c>
      <c r="R286" s="60" t="str">
        <f>_xlfn.CONCAT(Tabla16[[#This Row],[ABR_01]],"00",Tabla16[[#This Row],[ABR_02]],Tabla16[[#This Row],[ZONA2]],,"0",Tabla16[[#This Row],[PARADA2]])</f>
        <v>AR00SC1009</v>
      </c>
      <c r="S286" s="60" t="s">
        <v>339</v>
      </c>
      <c r="T286" s="42" t="s">
        <v>324</v>
      </c>
      <c r="U286" s="42" t="s">
        <v>324</v>
      </c>
      <c r="V286" t="s">
        <v>850</v>
      </c>
    </row>
    <row r="287" spans="1:22" x14ac:dyDescent="0.25">
      <c r="A287" s="56" t="s">
        <v>325</v>
      </c>
      <c r="B287" s="38" t="s">
        <v>441</v>
      </c>
      <c r="C287" s="44" t="s">
        <v>201</v>
      </c>
      <c r="D287" s="39" t="s">
        <v>432</v>
      </c>
      <c r="E287" s="16" t="s">
        <v>34</v>
      </c>
      <c r="F287" s="12">
        <v>270</v>
      </c>
      <c r="G287" s="16">
        <v>972</v>
      </c>
      <c r="H287" s="40" t="s">
        <v>315</v>
      </c>
      <c r="I287" s="40" t="s">
        <v>433</v>
      </c>
      <c r="J287" s="41" t="s">
        <v>317</v>
      </c>
      <c r="K287" s="41" t="s">
        <v>395</v>
      </c>
      <c r="L287" s="57" t="s">
        <v>319</v>
      </c>
      <c r="M287" s="58" t="str">
        <f>Tabla16[[#This Row],[ABR_02]]</f>
        <v>SC</v>
      </c>
      <c r="N287" t="s">
        <v>320</v>
      </c>
      <c r="O287" s="59" t="s">
        <v>318</v>
      </c>
      <c r="P287" t="s">
        <v>321</v>
      </c>
      <c r="Q287" t="s">
        <v>338</v>
      </c>
      <c r="R287" s="60" t="str">
        <f>_xlfn.CONCAT(Tabla16[[#This Row],[ABR_01]],"00",Tabla16[[#This Row],[ABR_02]],Tabla16[[#This Row],[ZONA2]],,"0",Tabla16[[#This Row],[PARADA2]])</f>
        <v>AR00SC1010</v>
      </c>
      <c r="S287" s="60" t="s">
        <v>339</v>
      </c>
      <c r="T287" s="42" t="s">
        <v>324</v>
      </c>
      <c r="U287" s="42" t="s">
        <v>324</v>
      </c>
      <c r="V287" t="s">
        <v>850</v>
      </c>
    </row>
    <row r="288" spans="1:22" x14ac:dyDescent="0.25">
      <c r="A288" s="56" t="s">
        <v>325</v>
      </c>
      <c r="B288" s="38" t="s">
        <v>442</v>
      </c>
      <c r="C288" s="44" t="s">
        <v>111</v>
      </c>
      <c r="D288" s="39" t="s">
        <v>432</v>
      </c>
      <c r="E288" s="16" t="s">
        <v>34</v>
      </c>
      <c r="F288" s="12">
        <v>270</v>
      </c>
      <c r="G288" s="16">
        <v>968</v>
      </c>
      <c r="H288" s="40" t="s">
        <v>315</v>
      </c>
      <c r="I288" s="40" t="s">
        <v>433</v>
      </c>
      <c r="J288" s="41" t="s">
        <v>317</v>
      </c>
      <c r="K288" s="41" t="s">
        <v>397</v>
      </c>
      <c r="L288" s="57" t="s">
        <v>319</v>
      </c>
      <c r="M288" s="58" t="str">
        <f>Tabla16[[#This Row],[ABR_02]]</f>
        <v>SC</v>
      </c>
      <c r="N288" t="s">
        <v>320</v>
      </c>
      <c r="O288" s="59" t="s">
        <v>318</v>
      </c>
      <c r="P288" t="s">
        <v>321</v>
      </c>
      <c r="Q288" t="s">
        <v>338</v>
      </c>
      <c r="R288" s="60" t="str">
        <f>_xlfn.CONCAT(Tabla16[[#This Row],[ABR_01]],"00",Tabla16[[#This Row],[ABR_02]],Tabla16[[#This Row],[ZONA2]],,"0",Tabla16[[#This Row],[PARADA2]])</f>
        <v>AR00SC1011</v>
      </c>
      <c r="S288" s="60" t="s">
        <v>339</v>
      </c>
      <c r="T288" s="42" t="s">
        <v>324</v>
      </c>
      <c r="U288" s="42" t="s">
        <v>324</v>
      </c>
      <c r="V288" t="s">
        <v>850</v>
      </c>
    </row>
    <row r="289" spans="1:22" x14ac:dyDescent="0.25">
      <c r="A289" s="56" t="s">
        <v>325</v>
      </c>
      <c r="B289" s="38" t="s">
        <v>443</v>
      </c>
      <c r="C289" s="44" t="s">
        <v>121</v>
      </c>
      <c r="D289" s="39" t="s">
        <v>432</v>
      </c>
      <c r="E289" s="16" t="s">
        <v>34</v>
      </c>
      <c r="F289" s="12">
        <v>270</v>
      </c>
      <c r="G289" s="16">
        <v>976</v>
      </c>
      <c r="H289" s="40" t="s">
        <v>315</v>
      </c>
      <c r="I289" s="40" t="s">
        <v>433</v>
      </c>
      <c r="J289" s="41" t="s">
        <v>317</v>
      </c>
      <c r="K289" s="41" t="s">
        <v>399</v>
      </c>
      <c r="L289" s="57" t="s">
        <v>319</v>
      </c>
      <c r="M289" s="58" t="str">
        <f>Tabla16[[#This Row],[ABR_02]]</f>
        <v>SC</v>
      </c>
      <c r="N289" t="s">
        <v>320</v>
      </c>
      <c r="O289" s="59" t="s">
        <v>318</v>
      </c>
      <c r="P289" t="s">
        <v>321</v>
      </c>
      <c r="Q289" t="s">
        <v>338</v>
      </c>
      <c r="R289" s="60" t="str">
        <f>_xlfn.CONCAT(Tabla16[[#This Row],[ABR_01]],"00",Tabla16[[#This Row],[ABR_02]],Tabla16[[#This Row],[ZONA2]],,"0",Tabla16[[#This Row],[PARADA2]])</f>
        <v>AR00SC1012</v>
      </c>
      <c r="S289" s="60" t="s">
        <v>339</v>
      </c>
      <c r="T289" s="42" t="s">
        <v>324</v>
      </c>
      <c r="U289" s="42" t="s">
        <v>324</v>
      </c>
      <c r="V289" t="s">
        <v>850</v>
      </c>
    </row>
    <row r="290" spans="1:22" x14ac:dyDescent="0.25">
      <c r="A290" s="56" t="s">
        <v>325</v>
      </c>
      <c r="B290" s="38" t="s">
        <v>444</v>
      </c>
      <c r="C290" s="10" t="s">
        <v>126</v>
      </c>
      <c r="D290" s="39" t="s">
        <v>432</v>
      </c>
      <c r="E290" s="16" t="s">
        <v>34</v>
      </c>
      <c r="F290" s="12">
        <v>270</v>
      </c>
      <c r="G290" s="16">
        <v>985</v>
      </c>
      <c r="H290" s="40" t="s">
        <v>315</v>
      </c>
      <c r="I290" s="40" t="s">
        <v>433</v>
      </c>
      <c r="J290" s="41" t="s">
        <v>317</v>
      </c>
      <c r="K290" s="41" t="s">
        <v>401</v>
      </c>
      <c r="L290" s="57" t="s">
        <v>319</v>
      </c>
      <c r="M290" s="58" t="str">
        <f>Tabla16[[#This Row],[ABR_02]]</f>
        <v>SC</v>
      </c>
      <c r="N290" t="s">
        <v>320</v>
      </c>
      <c r="O290" s="59" t="s">
        <v>318</v>
      </c>
      <c r="P290" t="s">
        <v>321</v>
      </c>
      <c r="Q290" t="s">
        <v>338</v>
      </c>
      <c r="R290" s="60" t="str">
        <f>_xlfn.CONCAT(Tabla16[[#This Row],[ABR_01]],"00",Tabla16[[#This Row],[ABR_02]],Tabla16[[#This Row],[ZONA2]],,"0",Tabla16[[#This Row],[PARADA2]])</f>
        <v>AR00SC1013</v>
      </c>
      <c r="S290" s="60" t="s">
        <v>339</v>
      </c>
      <c r="T290" s="42" t="s">
        <v>324</v>
      </c>
      <c r="U290" s="42" t="s">
        <v>324</v>
      </c>
      <c r="V290" t="s">
        <v>850</v>
      </c>
    </row>
    <row r="291" spans="1:22" x14ac:dyDescent="0.25">
      <c r="A291" s="56" t="s">
        <v>325</v>
      </c>
      <c r="B291" s="38" t="s">
        <v>431</v>
      </c>
      <c r="C291" s="44" t="s">
        <v>36</v>
      </c>
      <c r="D291" s="39" t="s">
        <v>432</v>
      </c>
      <c r="E291" s="16" t="s">
        <v>34</v>
      </c>
      <c r="F291" s="12">
        <v>270</v>
      </c>
      <c r="G291" s="16">
        <v>959</v>
      </c>
      <c r="H291" s="40" t="s">
        <v>315</v>
      </c>
      <c r="I291" s="40" t="s">
        <v>433</v>
      </c>
      <c r="J291" s="41" t="s">
        <v>317</v>
      </c>
      <c r="K291" s="41" t="s">
        <v>318</v>
      </c>
      <c r="L291" s="57" t="s">
        <v>319</v>
      </c>
      <c r="M291" s="58" t="str">
        <f>Tabla16[[#This Row],[ABR_02]]</f>
        <v>SC</v>
      </c>
      <c r="N291" t="s">
        <v>320</v>
      </c>
      <c r="O291" s="59" t="s">
        <v>334</v>
      </c>
      <c r="P291" t="s">
        <v>650</v>
      </c>
      <c r="Q291" t="s">
        <v>651</v>
      </c>
      <c r="R291" s="60" t="str">
        <f>_xlfn.CONCAT(Tabla16[[#This Row],[ABR_01]],"00",Tabla16[[#This Row],[ABR_02]],Tabla16[[#This Row],[ZONA2]],,"0",Tabla16[[#This Row],[PARADA2]])</f>
        <v>AR00SC1001</v>
      </c>
      <c r="S291" s="60" t="s">
        <v>652</v>
      </c>
      <c r="T291" s="42" t="s">
        <v>324</v>
      </c>
      <c r="U291" s="53" t="s">
        <v>324</v>
      </c>
      <c r="V291" t="s">
        <v>851</v>
      </c>
    </row>
    <row r="292" spans="1:22" x14ac:dyDescent="0.25">
      <c r="A292" s="56" t="s">
        <v>325</v>
      </c>
      <c r="B292" s="38" t="s">
        <v>434</v>
      </c>
      <c r="C292" s="44" t="s">
        <v>61</v>
      </c>
      <c r="D292" s="39" t="s">
        <v>432</v>
      </c>
      <c r="E292" s="16" t="s">
        <v>34</v>
      </c>
      <c r="F292" s="12">
        <v>270</v>
      </c>
      <c r="G292" s="16">
        <v>970</v>
      </c>
      <c r="H292" s="40" t="s">
        <v>315</v>
      </c>
      <c r="I292" s="40" t="s">
        <v>433</v>
      </c>
      <c r="J292" s="41" t="s">
        <v>317</v>
      </c>
      <c r="K292" s="41" t="s">
        <v>331</v>
      </c>
      <c r="L292" s="57" t="s">
        <v>319</v>
      </c>
      <c r="M292" s="58" t="str">
        <f>Tabla16[[#This Row],[ABR_02]]</f>
        <v>SC</v>
      </c>
      <c r="N292" t="s">
        <v>320</v>
      </c>
      <c r="O292" s="59" t="s">
        <v>334</v>
      </c>
      <c r="P292" t="s">
        <v>650</v>
      </c>
      <c r="Q292" t="s">
        <v>651</v>
      </c>
      <c r="R292" s="60" t="str">
        <f>_xlfn.CONCAT(Tabla16[[#This Row],[ABR_01]],"00",Tabla16[[#This Row],[ABR_02]],Tabla16[[#This Row],[ZONA2]],,"0",Tabla16[[#This Row],[PARADA2]])</f>
        <v>AR00SC1002</v>
      </c>
      <c r="S292" s="60" t="s">
        <v>652</v>
      </c>
      <c r="T292" s="42" t="s">
        <v>324</v>
      </c>
      <c r="U292" s="53" t="s">
        <v>324</v>
      </c>
      <c r="V292" t="s">
        <v>851</v>
      </c>
    </row>
    <row r="293" spans="1:22" x14ac:dyDescent="0.25">
      <c r="A293" s="56" t="s">
        <v>325</v>
      </c>
      <c r="B293" s="38" t="s">
        <v>435</v>
      </c>
      <c r="C293" s="44" t="s">
        <v>66</v>
      </c>
      <c r="D293" s="39" t="s">
        <v>432</v>
      </c>
      <c r="E293" s="16" t="s">
        <v>34</v>
      </c>
      <c r="F293" s="12">
        <v>270</v>
      </c>
      <c r="G293" s="16">
        <v>980</v>
      </c>
      <c r="H293" s="40" t="s">
        <v>315</v>
      </c>
      <c r="I293" s="40" t="s">
        <v>433</v>
      </c>
      <c r="J293" s="41" t="s">
        <v>317</v>
      </c>
      <c r="K293" s="41" t="s">
        <v>332</v>
      </c>
      <c r="L293" s="57" t="s">
        <v>319</v>
      </c>
      <c r="M293" s="58" t="str">
        <f>Tabla16[[#This Row],[ABR_02]]</f>
        <v>SC</v>
      </c>
      <c r="N293" t="s">
        <v>320</v>
      </c>
      <c r="O293" s="59" t="s">
        <v>334</v>
      </c>
      <c r="P293" t="s">
        <v>650</v>
      </c>
      <c r="Q293" t="s">
        <v>651</v>
      </c>
      <c r="R293" s="60" t="str">
        <f>_xlfn.CONCAT(Tabla16[[#This Row],[ABR_01]],"00",Tabla16[[#This Row],[ABR_02]],Tabla16[[#This Row],[ZONA2]],,"0",Tabla16[[#This Row],[PARADA2]])</f>
        <v>AR00SC1003</v>
      </c>
      <c r="S293" s="60" t="s">
        <v>652</v>
      </c>
      <c r="T293" s="42" t="s">
        <v>324</v>
      </c>
      <c r="U293" s="53" t="s">
        <v>324</v>
      </c>
      <c r="V293" t="s">
        <v>851</v>
      </c>
    </row>
    <row r="294" spans="1:22" x14ac:dyDescent="0.25">
      <c r="A294" s="56" t="s">
        <v>325</v>
      </c>
      <c r="B294" s="38" t="s">
        <v>436</v>
      </c>
      <c r="C294" s="44" t="s">
        <v>193</v>
      </c>
      <c r="D294" s="39" t="s">
        <v>432</v>
      </c>
      <c r="E294" s="16" t="s">
        <v>34</v>
      </c>
      <c r="F294" s="12">
        <v>270</v>
      </c>
      <c r="G294" s="16">
        <v>974</v>
      </c>
      <c r="H294" s="40" t="s">
        <v>315</v>
      </c>
      <c r="I294" s="40" t="s">
        <v>433</v>
      </c>
      <c r="J294" s="41" t="s">
        <v>317</v>
      </c>
      <c r="K294" s="41" t="s">
        <v>334</v>
      </c>
      <c r="L294" s="57" t="s">
        <v>319</v>
      </c>
      <c r="M294" s="58" t="str">
        <f>Tabla16[[#This Row],[ABR_02]]</f>
        <v>SC</v>
      </c>
      <c r="N294" t="s">
        <v>320</v>
      </c>
      <c r="O294" s="59" t="s">
        <v>334</v>
      </c>
      <c r="P294" t="s">
        <v>650</v>
      </c>
      <c r="Q294" t="s">
        <v>651</v>
      </c>
      <c r="R294" s="60" t="str">
        <f>_xlfn.CONCAT(Tabla16[[#This Row],[ABR_01]],"00",Tabla16[[#This Row],[ABR_02]],Tabla16[[#This Row],[ZONA2]],,"0",Tabla16[[#This Row],[PARADA2]])</f>
        <v>AR00SC1004</v>
      </c>
      <c r="S294" s="60" t="s">
        <v>652</v>
      </c>
      <c r="T294" s="42" t="s">
        <v>324</v>
      </c>
      <c r="U294" s="53" t="s">
        <v>324</v>
      </c>
      <c r="V294" t="s">
        <v>851</v>
      </c>
    </row>
    <row r="295" spans="1:22" x14ac:dyDescent="0.25">
      <c r="A295" s="56" t="s">
        <v>325</v>
      </c>
      <c r="B295" s="38" t="s">
        <v>437</v>
      </c>
      <c r="C295" s="10" t="s">
        <v>195</v>
      </c>
      <c r="D295" s="39" t="s">
        <v>432</v>
      </c>
      <c r="E295" s="16" t="s">
        <v>34</v>
      </c>
      <c r="F295" s="12">
        <v>270</v>
      </c>
      <c r="G295" s="16">
        <v>958</v>
      </c>
      <c r="H295" s="40" t="s">
        <v>315</v>
      </c>
      <c r="I295" s="40" t="s">
        <v>433</v>
      </c>
      <c r="J295" s="41" t="s">
        <v>317</v>
      </c>
      <c r="K295" s="41" t="s">
        <v>344</v>
      </c>
      <c r="L295" s="57" t="s">
        <v>319</v>
      </c>
      <c r="M295" s="58" t="str">
        <f>Tabla16[[#This Row],[ABR_02]]</f>
        <v>SC</v>
      </c>
      <c r="N295" t="s">
        <v>320</v>
      </c>
      <c r="O295" s="59" t="s">
        <v>334</v>
      </c>
      <c r="P295" t="s">
        <v>650</v>
      </c>
      <c r="Q295" t="s">
        <v>651</v>
      </c>
      <c r="R295" s="60" t="str">
        <f>_xlfn.CONCAT(Tabla16[[#This Row],[ABR_01]],"00",Tabla16[[#This Row],[ABR_02]],Tabla16[[#This Row],[ZONA2]],,"0",Tabla16[[#This Row],[PARADA2]])</f>
        <v>AR00SC1005</v>
      </c>
      <c r="S295" s="60" t="s">
        <v>652</v>
      </c>
      <c r="T295" s="42" t="s">
        <v>324</v>
      </c>
      <c r="U295" s="53" t="s">
        <v>324</v>
      </c>
      <c r="V295" t="s">
        <v>851</v>
      </c>
    </row>
    <row r="296" spans="1:22" x14ac:dyDescent="0.25">
      <c r="A296" s="56" t="s">
        <v>325</v>
      </c>
      <c r="B296" s="38" t="s">
        <v>438</v>
      </c>
      <c r="C296" s="10" t="s">
        <v>438</v>
      </c>
      <c r="D296" s="39" t="s">
        <v>432</v>
      </c>
      <c r="E296" s="16" t="s">
        <v>34</v>
      </c>
      <c r="F296" s="12">
        <v>270</v>
      </c>
      <c r="G296" s="16">
        <v>296</v>
      </c>
      <c r="H296" s="40" t="s">
        <v>315</v>
      </c>
      <c r="I296" s="40" t="s">
        <v>433</v>
      </c>
      <c r="J296" s="41" t="s">
        <v>317</v>
      </c>
      <c r="K296" s="41" t="s">
        <v>345</v>
      </c>
      <c r="L296" s="57" t="s">
        <v>319</v>
      </c>
      <c r="M296" s="58" t="str">
        <f>Tabla16[[#This Row],[ABR_02]]</f>
        <v>SC</v>
      </c>
      <c r="N296" t="s">
        <v>320</v>
      </c>
      <c r="O296" s="59" t="s">
        <v>334</v>
      </c>
      <c r="P296" t="s">
        <v>650</v>
      </c>
      <c r="Q296" t="s">
        <v>651</v>
      </c>
      <c r="R296" s="60" t="str">
        <f>_xlfn.CONCAT(Tabla16[[#This Row],[ABR_01]],"00",Tabla16[[#This Row],[ABR_02]],Tabla16[[#This Row],[ZONA2]],,"0",Tabla16[[#This Row],[PARADA2]])</f>
        <v>AR00SC1006</v>
      </c>
      <c r="S296" s="60" t="s">
        <v>652</v>
      </c>
      <c r="T296" s="42" t="s">
        <v>324</v>
      </c>
      <c r="U296" s="53" t="s">
        <v>324</v>
      </c>
      <c r="V296" t="s">
        <v>851</v>
      </c>
    </row>
    <row r="297" spans="1:22" x14ac:dyDescent="0.25">
      <c r="A297" s="56" t="s">
        <v>325</v>
      </c>
      <c r="B297" s="38" t="s">
        <v>439</v>
      </c>
      <c r="C297" s="10" t="s">
        <v>100</v>
      </c>
      <c r="D297" s="39" t="s">
        <v>432</v>
      </c>
      <c r="E297" s="16" t="s">
        <v>34</v>
      </c>
      <c r="F297" s="12">
        <v>270</v>
      </c>
      <c r="G297" s="16">
        <v>956</v>
      </c>
      <c r="H297" s="40" t="s">
        <v>315</v>
      </c>
      <c r="I297" s="40" t="s">
        <v>433</v>
      </c>
      <c r="J297" s="41" t="s">
        <v>317</v>
      </c>
      <c r="K297" s="41" t="s">
        <v>347</v>
      </c>
      <c r="L297" s="57" t="s">
        <v>319</v>
      </c>
      <c r="M297" s="58" t="str">
        <f>Tabla16[[#This Row],[ABR_02]]</f>
        <v>SC</v>
      </c>
      <c r="N297" t="s">
        <v>320</v>
      </c>
      <c r="O297" s="59" t="s">
        <v>334</v>
      </c>
      <c r="P297" t="s">
        <v>650</v>
      </c>
      <c r="Q297" t="s">
        <v>651</v>
      </c>
      <c r="R297" s="60" t="str">
        <f>_xlfn.CONCAT(Tabla16[[#This Row],[ABR_01]],"00",Tabla16[[#This Row],[ABR_02]],Tabla16[[#This Row],[ZONA2]],,"0",Tabla16[[#This Row],[PARADA2]])</f>
        <v>AR00SC1007</v>
      </c>
      <c r="S297" s="60" t="s">
        <v>652</v>
      </c>
      <c r="T297" s="42" t="s">
        <v>324</v>
      </c>
      <c r="U297" s="53" t="s">
        <v>324</v>
      </c>
      <c r="V297" t="s">
        <v>851</v>
      </c>
    </row>
    <row r="298" spans="1:22" x14ac:dyDescent="0.25">
      <c r="A298" s="56" t="s">
        <v>325</v>
      </c>
      <c r="B298" s="38" t="s">
        <v>440</v>
      </c>
      <c r="C298" s="44" t="s">
        <v>102</v>
      </c>
      <c r="D298" s="39" t="s">
        <v>432</v>
      </c>
      <c r="E298" s="16" t="s">
        <v>34</v>
      </c>
      <c r="F298" s="12">
        <v>270</v>
      </c>
      <c r="G298" s="16">
        <v>957</v>
      </c>
      <c r="H298" s="40" t="s">
        <v>315</v>
      </c>
      <c r="I298" s="40" t="s">
        <v>433</v>
      </c>
      <c r="J298" s="41" t="s">
        <v>317</v>
      </c>
      <c r="K298" s="41" t="s">
        <v>349</v>
      </c>
      <c r="L298" s="57" t="s">
        <v>319</v>
      </c>
      <c r="M298" s="58" t="str">
        <f>Tabla16[[#This Row],[ABR_02]]</f>
        <v>SC</v>
      </c>
      <c r="N298" t="s">
        <v>320</v>
      </c>
      <c r="O298" s="59" t="s">
        <v>334</v>
      </c>
      <c r="P298" t="s">
        <v>650</v>
      </c>
      <c r="Q298" t="s">
        <v>651</v>
      </c>
      <c r="R298" s="60" t="str">
        <f>_xlfn.CONCAT(Tabla16[[#This Row],[ABR_01]],"00",Tabla16[[#This Row],[ABR_02]],Tabla16[[#This Row],[ZONA2]],,"0",Tabla16[[#This Row],[PARADA2]])</f>
        <v>AR00SC1008</v>
      </c>
      <c r="S298" s="60" t="s">
        <v>652</v>
      </c>
      <c r="T298" s="42" t="s">
        <v>324</v>
      </c>
      <c r="U298" s="53" t="s">
        <v>324</v>
      </c>
      <c r="V298" t="s">
        <v>851</v>
      </c>
    </row>
    <row r="299" spans="1:22" x14ac:dyDescent="0.25">
      <c r="A299" s="56" t="s">
        <v>325</v>
      </c>
      <c r="B299" s="38" t="s">
        <v>107</v>
      </c>
      <c r="C299" s="10" t="s">
        <v>107</v>
      </c>
      <c r="D299" s="39" t="s">
        <v>432</v>
      </c>
      <c r="E299" s="16" t="s">
        <v>34</v>
      </c>
      <c r="F299" s="12">
        <v>270</v>
      </c>
      <c r="G299" s="16">
        <v>978</v>
      </c>
      <c r="H299" s="40" t="s">
        <v>315</v>
      </c>
      <c r="I299" s="40" t="s">
        <v>433</v>
      </c>
      <c r="J299" s="41" t="s">
        <v>317</v>
      </c>
      <c r="K299" s="41" t="s">
        <v>393</v>
      </c>
      <c r="L299" s="57" t="s">
        <v>319</v>
      </c>
      <c r="M299" s="58" t="str">
        <f>Tabla16[[#This Row],[ABR_02]]</f>
        <v>SC</v>
      </c>
      <c r="N299" t="s">
        <v>320</v>
      </c>
      <c r="O299" s="59" t="s">
        <v>334</v>
      </c>
      <c r="P299" t="s">
        <v>650</v>
      </c>
      <c r="Q299" t="s">
        <v>651</v>
      </c>
      <c r="R299" s="60" t="str">
        <f>_xlfn.CONCAT(Tabla16[[#This Row],[ABR_01]],"00",Tabla16[[#This Row],[ABR_02]],Tabla16[[#This Row],[ZONA2]],,"0",Tabla16[[#This Row],[PARADA2]])</f>
        <v>AR00SC1009</v>
      </c>
      <c r="S299" s="60" t="s">
        <v>652</v>
      </c>
      <c r="T299" s="42" t="s">
        <v>324</v>
      </c>
      <c r="U299" s="53" t="s">
        <v>324</v>
      </c>
      <c r="V299" t="s">
        <v>851</v>
      </c>
    </row>
    <row r="300" spans="1:22" x14ac:dyDescent="0.25">
      <c r="A300" s="56" t="s">
        <v>325</v>
      </c>
      <c r="B300" s="38" t="s">
        <v>441</v>
      </c>
      <c r="C300" s="44" t="s">
        <v>201</v>
      </c>
      <c r="D300" s="39" t="s">
        <v>432</v>
      </c>
      <c r="E300" s="16" t="s">
        <v>34</v>
      </c>
      <c r="F300" s="12">
        <v>270</v>
      </c>
      <c r="G300" s="16">
        <v>972</v>
      </c>
      <c r="H300" s="40" t="s">
        <v>315</v>
      </c>
      <c r="I300" s="40" t="s">
        <v>433</v>
      </c>
      <c r="J300" s="41" t="s">
        <v>317</v>
      </c>
      <c r="K300" s="41" t="s">
        <v>395</v>
      </c>
      <c r="L300" s="57" t="s">
        <v>319</v>
      </c>
      <c r="M300" s="58" t="str">
        <f>Tabla16[[#This Row],[ABR_02]]</f>
        <v>SC</v>
      </c>
      <c r="N300" t="s">
        <v>320</v>
      </c>
      <c r="O300" s="59" t="s">
        <v>334</v>
      </c>
      <c r="P300" t="s">
        <v>650</v>
      </c>
      <c r="Q300" t="s">
        <v>651</v>
      </c>
      <c r="R300" s="60" t="str">
        <f>_xlfn.CONCAT(Tabla16[[#This Row],[ABR_01]],"00",Tabla16[[#This Row],[ABR_02]],Tabla16[[#This Row],[ZONA2]],,"0",Tabla16[[#This Row],[PARADA2]])</f>
        <v>AR00SC1010</v>
      </c>
      <c r="S300" s="60" t="s">
        <v>652</v>
      </c>
      <c r="T300" s="42" t="s">
        <v>324</v>
      </c>
      <c r="U300" s="53" t="s">
        <v>324</v>
      </c>
      <c r="V300" t="s">
        <v>851</v>
      </c>
    </row>
    <row r="301" spans="1:22" x14ac:dyDescent="0.25">
      <c r="A301" s="56" t="s">
        <v>325</v>
      </c>
      <c r="B301" s="38" t="s">
        <v>442</v>
      </c>
      <c r="C301" s="44" t="s">
        <v>111</v>
      </c>
      <c r="D301" s="39" t="s">
        <v>432</v>
      </c>
      <c r="E301" s="16" t="s">
        <v>34</v>
      </c>
      <c r="F301" s="12">
        <v>270</v>
      </c>
      <c r="G301" s="16">
        <v>968</v>
      </c>
      <c r="H301" s="40" t="s">
        <v>315</v>
      </c>
      <c r="I301" s="40" t="s">
        <v>433</v>
      </c>
      <c r="J301" s="41" t="s">
        <v>317</v>
      </c>
      <c r="K301" s="41" t="s">
        <v>397</v>
      </c>
      <c r="L301" s="57" t="s">
        <v>319</v>
      </c>
      <c r="M301" s="58" t="str">
        <f>Tabla16[[#This Row],[ABR_02]]</f>
        <v>SC</v>
      </c>
      <c r="N301" t="s">
        <v>320</v>
      </c>
      <c r="O301" s="59" t="s">
        <v>334</v>
      </c>
      <c r="P301" t="s">
        <v>650</v>
      </c>
      <c r="Q301" t="s">
        <v>651</v>
      </c>
      <c r="R301" s="60" t="str">
        <f>_xlfn.CONCAT(Tabla16[[#This Row],[ABR_01]],"00",Tabla16[[#This Row],[ABR_02]],Tabla16[[#This Row],[ZONA2]],,"0",Tabla16[[#This Row],[PARADA2]])</f>
        <v>AR00SC1011</v>
      </c>
      <c r="S301" s="60" t="s">
        <v>652</v>
      </c>
      <c r="T301" s="42" t="s">
        <v>324</v>
      </c>
      <c r="U301" s="53" t="s">
        <v>324</v>
      </c>
      <c r="V301" t="s">
        <v>851</v>
      </c>
    </row>
    <row r="302" spans="1:22" x14ac:dyDescent="0.25">
      <c r="A302" s="56" t="s">
        <v>325</v>
      </c>
      <c r="B302" s="38" t="s">
        <v>443</v>
      </c>
      <c r="C302" s="44" t="s">
        <v>121</v>
      </c>
      <c r="D302" s="39" t="s">
        <v>432</v>
      </c>
      <c r="E302" s="16" t="s">
        <v>34</v>
      </c>
      <c r="F302" s="12">
        <v>270</v>
      </c>
      <c r="G302" s="16">
        <v>976</v>
      </c>
      <c r="H302" s="40" t="s">
        <v>315</v>
      </c>
      <c r="I302" s="40" t="s">
        <v>433</v>
      </c>
      <c r="J302" s="41" t="s">
        <v>317</v>
      </c>
      <c r="K302" s="41" t="s">
        <v>399</v>
      </c>
      <c r="L302" s="57" t="s">
        <v>319</v>
      </c>
      <c r="M302" s="58" t="str">
        <f>Tabla16[[#This Row],[ABR_02]]</f>
        <v>SC</v>
      </c>
      <c r="N302" t="s">
        <v>320</v>
      </c>
      <c r="O302" s="59" t="s">
        <v>334</v>
      </c>
      <c r="P302" t="s">
        <v>650</v>
      </c>
      <c r="Q302" t="s">
        <v>651</v>
      </c>
      <c r="R302" s="60" t="str">
        <f>_xlfn.CONCAT(Tabla16[[#This Row],[ABR_01]],"00",Tabla16[[#This Row],[ABR_02]],Tabla16[[#This Row],[ZONA2]],,"0",Tabla16[[#This Row],[PARADA2]])</f>
        <v>AR00SC1012</v>
      </c>
      <c r="S302" s="60" t="s">
        <v>652</v>
      </c>
      <c r="T302" s="42" t="s">
        <v>324</v>
      </c>
      <c r="U302" s="53" t="s">
        <v>324</v>
      </c>
      <c r="V302" t="s">
        <v>851</v>
      </c>
    </row>
    <row r="303" spans="1:22" x14ac:dyDescent="0.25">
      <c r="A303" s="56" t="s">
        <v>325</v>
      </c>
      <c r="B303" s="38" t="s">
        <v>444</v>
      </c>
      <c r="C303" s="10" t="s">
        <v>126</v>
      </c>
      <c r="D303" s="39" t="s">
        <v>432</v>
      </c>
      <c r="E303" s="16" t="s">
        <v>34</v>
      </c>
      <c r="F303" s="12">
        <v>270</v>
      </c>
      <c r="G303" s="16">
        <v>985</v>
      </c>
      <c r="H303" s="40" t="s">
        <v>315</v>
      </c>
      <c r="I303" s="40" t="s">
        <v>433</v>
      </c>
      <c r="J303" s="41" t="s">
        <v>317</v>
      </c>
      <c r="K303" s="41" t="s">
        <v>401</v>
      </c>
      <c r="L303" s="57" t="s">
        <v>319</v>
      </c>
      <c r="M303" s="58" t="str">
        <f>Tabla16[[#This Row],[ABR_02]]</f>
        <v>SC</v>
      </c>
      <c r="N303" t="s">
        <v>320</v>
      </c>
      <c r="O303" s="59" t="s">
        <v>334</v>
      </c>
      <c r="P303" t="s">
        <v>650</v>
      </c>
      <c r="Q303" t="s">
        <v>651</v>
      </c>
      <c r="R303" s="60" t="str">
        <f>_xlfn.CONCAT(Tabla16[[#This Row],[ABR_01]],"00",Tabla16[[#This Row],[ABR_02]],Tabla16[[#This Row],[ZONA2]],,"0",Tabla16[[#This Row],[PARADA2]])</f>
        <v>AR00SC1013</v>
      </c>
      <c r="S303" s="60" t="s">
        <v>652</v>
      </c>
      <c r="T303" s="42" t="s">
        <v>324</v>
      </c>
      <c r="U303" s="53" t="s">
        <v>324</v>
      </c>
      <c r="V303" t="s">
        <v>851</v>
      </c>
    </row>
    <row r="304" spans="1:22" x14ac:dyDescent="0.25">
      <c r="A304" s="56" t="s">
        <v>325</v>
      </c>
      <c r="B304" s="38" t="s">
        <v>375</v>
      </c>
      <c r="C304" s="10" t="s">
        <v>375</v>
      </c>
      <c r="D304" s="39" t="s">
        <v>376</v>
      </c>
      <c r="E304" s="16" t="s">
        <v>38</v>
      </c>
      <c r="F304" s="12">
        <v>337</v>
      </c>
      <c r="G304" s="16">
        <v>799</v>
      </c>
      <c r="H304" s="40" t="s">
        <v>315</v>
      </c>
      <c r="I304" s="40" t="s">
        <v>377</v>
      </c>
      <c r="J304" s="41" t="s">
        <v>317</v>
      </c>
      <c r="K304" s="41" t="s">
        <v>318</v>
      </c>
      <c r="L304" s="57" t="s">
        <v>319</v>
      </c>
      <c r="M304" s="58" t="str">
        <f>Tabla16[[#This Row],[ABR_02]]</f>
        <v>SF</v>
      </c>
      <c r="N304" t="s">
        <v>320</v>
      </c>
      <c r="O304" s="59" t="s">
        <v>318</v>
      </c>
      <c r="P304" t="s">
        <v>321</v>
      </c>
      <c r="Q304" t="s">
        <v>378</v>
      </c>
      <c r="R304" s="60" t="str">
        <f>_xlfn.CONCAT(Tabla16[[#This Row],[ABR_01]],"00",Tabla16[[#This Row],[ABR_02]],Tabla16[[#This Row],[ZONA2]],,"0",Tabla16[[#This Row],[PARADA2]])</f>
        <v>AR00SF1001</v>
      </c>
      <c r="S304" s="60" t="s">
        <v>379</v>
      </c>
      <c r="T304" s="42" t="s">
        <v>324</v>
      </c>
      <c r="U304" s="42" t="s">
        <v>324</v>
      </c>
      <c r="V304" t="s">
        <v>850</v>
      </c>
    </row>
    <row r="305" spans="1:22" x14ac:dyDescent="0.25">
      <c r="A305" s="56" t="s">
        <v>325</v>
      </c>
      <c r="B305" s="38" t="s">
        <v>380</v>
      </c>
      <c r="C305" s="44" t="s">
        <v>381</v>
      </c>
      <c r="D305" s="39" t="s">
        <v>376</v>
      </c>
      <c r="E305" s="16" t="s">
        <v>38</v>
      </c>
      <c r="F305" s="12">
        <v>337</v>
      </c>
      <c r="G305" s="16">
        <v>735</v>
      </c>
      <c r="H305" s="40" t="s">
        <v>315</v>
      </c>
      <c r="I305" s="40" t="s">
        <v>377</v>
      </c>
      <c r="J305" s="41" t="s">
        <v>317</v>
      </c>
      <c r="K305" s="41" t="s">
        <v>331</v>
      </c>
      <c r="L305" s="57" t="s">
        <v>319</v>
      </c>
      <c r="M305" s="58" t="str">
        <f>Tabla16[[#This Row],[ABR_02]]</f>
        <v>SF</v>
      </c>
      <c r="N305" t="s">
        <v>320</v>
      </c>
      <c r="O305" s="59" t="s">
        <v>318</v>
      </c>
      <c r="P305" t="s">
        <v>321</v>
      </c>
      <c r="Q305" t="s">
        <v>378</v>
      </c>
      <c r="R305" s="60" t="str">
        <f>_xlfn.CONCAT(Tabla16[[#This Row],[ABR_01]],"00",Tabla16[[#This Row],[ABR_02]],Tabla16[[#This Row],[ZONA2]],,"0",Tabla16[[#This Row],[PARADA2]])</f>
        <v>AR00SF1002</v>
      </c>
      <c r="S305" s="60" t="s">
        <v>379</v>
      </c>
      <c r="T305" s="42" t="s">
        <v>324</v>
      </c>
      <c r="U305" s="42" t="s">
        <v>324</v>
      </c>
      <c r="V305" t="s">
        <v>850</v>
      </c>
    </row>
    <row r="306" spans="1:22" x14ac:dyDescent="0.25">
      <c r="A306" s="56" t="s">
        <v>325</v>
      </c>
      <c r="B306" s="38" t="s">
        <v>382</v>
      </c>
      <c r="C306" s="44" t="s">
        <v>383</v>
      </c>
      <c r="D306" s="39" t="s">
        <v>376</v>
      </c>
      <c r="E306" s="16" t="s">
        <v>38</v>
      </c>
      <c r="F306" s="12">
        <v>337</v>
      </c>
      <c r="G306" s="16">
        <v>706</v>
      </c>
      <c r="H306" s="40" t="s">
        <v>315</v>
      </c>
      <c r="I306" s="40" t="s">
        <v>377</v>
      </c>
      <c r="J306" s="41" t="s">
        <v>317</v>
      </c>
      <c r="K306" s="41" t="s">
        <v>332</v>
      </c>
      <c r="L306" s="57" t="s">
        <v>319</v>
      </c>
      <c r="M306" s="58" t="str">
        <f>Tabla16[[#This Row],[ABR_02]]</f>
        <v>SF</v>
      </c>
      <c r="N306" t="s">
        <v>320</v>
      </c>
      <c r="O306" s="59" t="s">
        <v>318</v>
      </c>
      <c r="P306" t="s">
        <v>321</v>
      </c>
      <c r="Q306" t="s">
        <v>378</v>
      </c>
      <c r="R306" s="60" t="str">
        <f>_xlfn.CONCAT(Tabla16[[#This Row],[ABR_01]],"00",Tabla16[[#This Row],[ABR_02]],Tabla16[[#This Row],[ZONA2]],,"0",Tabla16[[#This Row],[PARADA2]])</f>
        <v>AR00SF1003</v>
      </c>
      <c r="S306" s="60" t="s">
        <v>379</v>
      </c>
      <c r="T306" s="42" t="s">
        <v>324</v>
      </c>
      <c r="U306" s="42" t="s">
        <v>324</v>
      </c>
      <c r="V306" t="s">
        <v>850</v>
      </c>
    </row>
    <row r="307" spans="1:22" x14ac:dyDescent="0.25">
      <c r="A307" s="56" t="s">
        <v>325</v>
      </c>
      <c r="B307" s="38" t="s">
        <v>384</v>
      </c>
      <c r="C307" s="44" t="s">
        <v>40</v>
      </c>
      <c r="D307" s="39" t="s">
        <v>376</v>
      </c>
      <c r="E307" s="16" t="s">
        <v>38</v>
      </c>
      <c r="F307" s="12">
        <v>337</v>
      </c>
      <c r="G307" s="16">
        <v>708</v>
      </c>
      <c r="H307" s="40" t="s">
        <v>315</v>
      </c>
      <c r="I307" s="40" t="s">
        <v>377</v>
      </c>
      <c r="J307" s="41" t="s">
        <v>317</v>
      </c>
      <c r="K307" s="41" t="s">
        <v>334</v>
      </c>
      <c r="L307" s="57" t="s">
        <v>319</v>
      </c>
      <c r="M307" s="58" t="str">
        <f>Tabla16[[#This Row],[ABR_02]]</f>
        <v>SF</v>
      </c>
      <c r="N307" t="s">
        <v>320</v>
      </c>
      <c r="O307" s="59" t="s">
        <v>318</v>
      </c>
      <c r="P307" t="s">
        <v>321</v>
      </c>
      <c r="Q307" t="s">
        <v>378</v>
      </c>
      <c r="R307" s="60" t="str">
        <f>_xlfn.CONCAT(Tabla16[[#This Row],[ABR_01]],"00",Tabla16[[#This Row],[ABR_02]],Tabla16[[#This Row],[ZONA2]],,"0",Tabla16[[#This Row],[PARADA2]])</f>
        <v>AR00SF1004</v>
      </c>
      <c r="S307" s="60" t="s">
        <v>379</v>
      </c>
      <c r="T307" s="42" t="s">
        <v>324</v>
      </c>
      <c r="U307" s="42" t="s">
        <v>324</v>
      </c>
      <c r="V307" t="s">
        <v>850</v>
      </c>
    </row>
    <row r="308" spans="1:22" x14ac:dyDescent="0.25">
      <c r="A308" s="56" t="s">
        <v>325</v>
      </c>
      <c r="B308" s="38" t="s">
        <v>385</v>
      </c>
      <c r="C308" s="44" t="s">
        <v>386</v>
      </c>
      <c r="D308" s="39" t="s">
        <v>376</v>
      </c>
      <c r="E308" s="16" t="s">
        <v>38</v>
      </c>
      <c r="F308" s="12">
        <v>337</v>
      </c>
      <c r="G308" s="16">
        <v>710</v>
      </c>
      <c r="H308" s="40" t="s">
        <v>315</v>
      </c>
      <c r="I308" s="40" t="s">
        <v>377</v>
      </c>
      <c r="J308" s="41" t="s">
        <v>317</v>
      </c>
      <c r="K308" s="41" t="s">
        <v>344</v>
      </c>
      <c r="L308" s="57" t="s">
        <v>319</v>
      </c>
      <c r="M308" s="58" t="str">
        <f>Tabla16[[#This Row],[ABR_02]]</f>
        <v>SF</v>
      </c>
      <c r="N308" t="s">
        <v>320</v>
      </c>
      <c r="O308" s="59" t="s">
        <v>318</v>
      </c>
      <c r="P308" t="s">
        <v>321</v>
      </c>
      <c r="Q308" t="s">
        <v>378</v>
      </c>
      <c r="R308" s="60" t="str">
        <f>_xlfn.CONCAT(Tabla16[[#This Row],[ABR_01]],"00",Tabla16[[#This Row],[ABR_02]],Tabla16[[#This Row],[ZONA2]],,"0",Tabla16[[#This Row],[PARADA2]])</f>
        <v>AR00SF1005</v>
      </c>
      <c r="S308" s="60" t="s">
        <v>379</v>
      </c>
      <c r="T308" s="42" t="s">
        <v>324</v>
      </c>
      <c r="U308" s="42" t="s">
        <v>324</v>
      </c>
      <c r="V308" t="s">
        <v>850</v>
      </c>
    </row>
    <row r="309" spans="1:22" x14ac:dyDescent="0.25">
      <c r="A309" s="56" t="s">
        <v>325</v>
      </c>
      <c r="B309" s="38" t="s">
        <v>387</v>
      </c>
      <c r="C309" s="44" t="s">
        <v>388</v>
      </c>
      <c r="D309" s="39" t="s">
        <v>376</v>
      </c>
      <c r="E309" s="16" t="s">
        <v>38</v>
      </c>
      <c r="F309" s="12">
        <v>337</v>
      </c>
      <c r="G309" s="16">
        <v>703</v>
      </c>
      <c r="H309" s="40" t="s">
        <v>315</v>
      </c>
      <c r="I309" s="40" t="s">
        <v>377</v>
      </c>
      <c r="J309" s="41" t="s">
        <v>317</v>
      </c>
      <c r="K309" s="41" t="s">
        <v>345</v>
      </c>
      <c r="L309" s="57" t="s">
        <v>319</v>
      </c>
      <c r="M309" s="58" t="str">
        <f>Tabla16[[#This Row],[ABR_02]]</f>
        <v>SF</v>
      </c>
      <c r="N309" t="s">
        <v>320</v>
      </c>
      <c r="O309" s="59" t="s">
        <v>318</v>
      </c>
      <c r="P309" t="s">
        <v>321</v>
      </c>
      <c r="Q309" t="s">
        <v>378</v>
      </c>
      <c r="R309" s="60" t="str">
        <f>_xlfn.CONCAT(Tabla16[[#This Row],[ABR_01]],"00",Tabla16[[#This Row],[ABR_02]],Tabla16[[#This Row],[ZONA2]],,"0",Tabla16[[#This Row],[PARADA2]])</f>
        <v>AR00SF1006</v>
      </c>
      <c r="S309" s="60" t="s">
        <v>379</v>
      </c>
      <c r="T309" s="42" t="s">
        <v>324</v>
      </c>
      <c r="U309" s="42" t="s">
        <v>324</v>
      </c>
      <c r="V309" t="s">
        <v>850</v>
      </c>
    </row>
    <row r="310" spans="1:22" x14ac:dyDescent="0.25">
      <c r="A310" s="56" t="s">
        <v>325</v>
      </c>
      <c r="B310" s="38" t="s">
        <v>389</v>
      </c>
      <c r="C310" s="10" t="s">
        <v>389</v>
      </c>
      <c r="D310" s="39" t="s">
        <v>376</v>
      </c>
      <c r="E310" s="16" t="s">
        <v>38</v>
      </c>
      <c r="F310" s="12">
        <v>337</v>
      </c>
      <c r="G310" s="16">
        <v>780</v>
      </c>
      <c r="H310" s="40" t="s">
        <v>315</v>
      </c>
      <c r="I310" s="40" t="s">
        <v>377</v>
      </c>
      <c r="J310" s="41" t="s">
        <v>317</v>
      </c>
      <c r="K310" s="41" t="s">
        <v>347</v>
      </c>
      <c r="L310" s="57" t="s">
        <v>319</v>
      </c>
      <c r="M310" s="58" t="str">
        <f>Tabla16[[#This Row],[ABR_02]]</f>
        <v>SF</v>
      </c>
      <c r="N310" t="s">
        <v>320</v>
      </c>
      <c r="O310" s="59" t="s">
        <v>318</v>
      </c>
      <c r="P310" t="s">
        <v>321</v>
      </c>
      <c r="Q310" t="s">
        <v>378</v>
      </c>
      <c r="R310" s="60" t="str">
        <f>_xlfn.CONCAT(Tabla16[[#This Row],[ABR_01]],"00",Tabla16[[#This Row],[ABR_02]],Tabla16[[#This Row],[ZONA2]],,"0",Tabla16[[#This Row],[PARADA2]])</f>
        <v>AR00SF1007</v>
      </c>
      <c r="S310" s="60" t="s">
        <v>379</v>
      </c>
      <c r="T310" s="42" t="s">
        <v>324</v>
      </c>
      <c r="U310" s="42" t="s">
        <v>324</v>
      </c>
      <c r="V310" t="s">
        <v>850</v>
      </c>
    </row>
    <row r="311" spans="1:22" x14ac:dyDescent="0.25">
      <c r="A311" s="56" t="s">
        <v>325</v>
      </c>
      <c r="B311" s="38" t="s">
        <v>390</v>
      </c>
      <c r="C311" s="10" t="s">
        <v>390</v>
      </c>
      <c r="D311" s="39" t="s">
        <v>376</v>
      </c>
      <c r="E311" s="16" t="s">
        <v>38</v>
      </c>
      <c r="F311" s="12">
        <v>337</v>
      </c>
      <c r="G311" s="16">
        <v>795</v>
      </c>
      <c r="H311" s="40" t="s">
        <v>315</v>
      </c>
      <c r="I311" s="40" t="s">
        <v>377</v>
      </c>
      <c r="J311" s="41" t="s">
        <v>317</v>
      </c>
      <c r="K311" s="41" t="s">
        <v>349</v>
      </c>
      <c r="L311" s="57" t="s">
        <v>319</v>
      </c>
      <c r="M311" s="58" t="str">
        <f>Tabla16[[#This Row],[ABR_02]]</f>
        <v>SF</v>
      </c>
      <c r="N311" t="s">
        <v>320</v>
      </c>
      <c r="O311" s="59" t="s">
        <v>318</v>
      </c>
      <c r="P311" t="s">
        <v>321</v>
      </c>
      <c r="Q311" t="s">
        <v>378</v>
      </c>
      <c r="R311" s="60" t="str">
        <f>_xlfn.CONCAT(Tabla16[[#This Row],[ABR_01]],"00",Tabla16[[#This Row],[ABR_02]],Tabla16[[#This Row],[ZONA2]],,"0",Tabla16[[#This Row],[PARADA2]])</f>
        <v>AR00SF1008</v>
      </c>
      <c r="S311" s="60" t="s">
        <v>379</v>
      </c>
      <c r="T311" s="42" t="s">
        <v>324</v>
      </c>
      <c r="U311" s="42" t="s">
        <v>324</v>
      </c>
      <c r="V311" t="s">
        <v>850</v>
      </c>
    </row>
    <row r="312" spans="1:22" x14ac:dyDescent="0.25">
      <c r="A312" s="56" t="s">
        <v>325</v>
      </c>
      <c r="B312" s="38" t="s">
        <v>391</v>
      </c>
      <c r="C312" s="44" t="s">
        <v>392</v>
      </c>
      <c r="D312" s="39" t="s">
        <v>376</v>
      </c>
      <c r="E312" s="16" t="s">
        <v>38</v>
      </c>
      <c r="F312" s="12">
        <v>337</v>
      </c>
      <c r="G312" s="16">
        <v>750</v>
      </c>
      <c r="H312" s="40" t="s">
        <v>315</v>
      </c>
      <c r="I312" s="40" t="s">
        <v>377</v>
      </c>
      <c r="J312" s="41" t="s">
        <v>317</v>
      </c>
      <c r="K312" s="41" t="s">
        <v>393</v>
      </c>
      <c r="L312" s="57" t="s">
        <v>319</v>
      </c>
      <c r="M312" s="58" t="str">
        <f>Tabla16[[#This Row],[ABR_02]]</f>
        <v>SF</v>
      </c>
      <c r="N312" t="s">
        <v>320</v>
      </c>
      <c r="O312" s="59" t="s">
        <v>318</v>
      </c>
      <c r="P312" t="s">
        <v>321</v>
      </c>
      <c r="Q312" t="s">
        <v>378</v>
      </c>
      <c r="R312" s="60" t="str">
        <f>_xlfn.CONCAT(Tabla16[[#This Row],[ABR_01]],"00",Tabla16[[#This Row],[ABR_02]],Tabla16[[#This Row],[ZONA2]],,"0",Tabla16[[#This Row],[PARADA2]])</f>
        <v>AR00SF1009</v>
      </c>
      <c r="S312" s="60" t="s">
        <v>379</v>
      </c>
      <c r="T312" s="42" t="s">
        <v>324</v>
      </c>
      <c r="U312" s="42" t="s">
        <v>324</v>
      </c>
      <c r="V312" t="s">
        <v>850</v>
      </c>
    </row>
    <row r="313" spans="1:22" x14ac:dyDescent="0.25">
      <c r="A313" s="56" t="s">
        <v>325</v>
      </c>
      <c r="B313" s="38" t="s">
        <v>394</v>
      </c>
      <c r="C313" s="44" t="s">
        <v>257</v>
      </c>
      <c r="D313" s="39" t="s">
        <v>376</v>
      </c>
      <c r="E313" s="16" t="s">
        <v>38</v>
      </c>
      <c r="F313" s="12">
        <v>337</v>
      </c>
      <c r="G313" s="16">
        <v>705</v>
      </c>
      <c r="H313" s="40" t="s">
        <v>315</v>
      </c>
      <c r="I313" s="40" t="s">
        <v>377</v>
      </c>
      <c r="J313" s="41" t="s">
        <v>317</v>
      </c>
      <c r="K313" s="41" t="s">
        <v>395</v>
      </c>
      <c r="L313" s="57" t="s">
        <v>319</v>
      </c>
      <c r="M313" s="58" t="str">
        <f>Tabla16[[#This Row],[ABR_02]]</f>
        <v>SF</v>
      </c>
      <c r="N313" t="s">
        <v>320</v>
      </c>
      <c r="O313" s="59" t="s">
        <v>318</v>
      </c>
      <c r="P313" t="s">
        <v>321</v>
      </c>
      <c r="Q313" t="s">
        <v>378</v>
      </c>
      <c r="R313" s="60" t="str">
        <f>_xlfn.CONCAT(Tabla16[[#This Row],[ABR_01]],"00",Tabla16[[#This Row],[ABR_02]],Tabla16[[#This Row],[ZONA2]],,"0",Tabla16[[#This Row],[PARADA2]])</f>
        <v>AR00SF1010</v>
      </c>
      <c r="S313" s="60" t="s">
        <v>379</v>
      </c>
      <c r="T313" s="42" t="s">
        <v>324</v>
      </c>
      <c r="U313" s="42" t="s">
        <v>324</v>
      </c>
      <c r="V313" t="s">
        <v>850</v>
      </c>
    </row>
    <row r="314" spans="1:22" x14ac:dyDescent="0.25">
      <c r="A314" s="56" t="s">
        <v>325</v>
      </c>
      <c r="B314" s="38" t="s">
        <v>396</v>
      </c>
      <c r="C314" s="10" t="s">
        <v>396</v>
      </c>
      <c r="D314" s="39" t="s">
        <v>376</v>
      </c>
      <c r="E314" s="16" t="s">
        <v>38</v>
      </c>
      <c r="F314" s="12">
        <v>337</v>
      </c>
      <c r="G314" s="16">
        <v>704</v>
      </c>
      <c r="H314" s="40" t="s">
        <v>315</v>
      </c>
      <c r="I314" s="40" t="s">
        <v>377</v>
      </c>
      <c r="J314" s="41" t="s">
        <v>317</v>
      </c>
      <c r="K314" s="41" t="s">
        <v>397</v>
      </c>
      <c r="L314" s="57" t="s">
        <v>319</v>
      </c>
      <c r="M314" s="58" t="str">
        <f>Tabla16[[#This Row],[ABR_02]]</f>
        <v>SF</v>
      </c>
      <c r="N314" t="s">
        <v>320</v>
      </c>
      <c r="O314" s="59" t="s">
        <v>318</v>
      </c>
      <c r="P314" t="s">
        <v>321</v>
      </c>
      <c r="Q314" t="s">
        <v>378</v>
      </c>
      <c r="R314" s="60" t="str">
        <f>_xlfn.CONCAT(Tabla16[[#This Row],[ABR_01]],"00",Tabla16[[#This Row],[ABR_02]],Tabla16[[#This Row],[ZONA2]],,"0",Tabla16[[#This Row],[PARADA2]])</f>
        <v>AR00SF1011</v>
      </c>
      <c r="S314" s="60" t="s">
        <v>379</v>
      </c>
      <c r="T314" s="42" t="s">
        <v>324</v>
      </c>
      <c r="U314" s="42" t="s">
        <v>324</v>
      </c>
      <c r="V314" t="s">
        <v>850</v>
      </c>
    </row>
    <row r="315" spans="1:22" x14ac:dyDescent="0.25">
      <c r="A315" s="56" t="s">
        <v>325</v>
      </c>
      <c r="B315" s="38" t="s">
        <v>398</v>
      </c>
      <c r="C315" s="10" t="s">
        <v>398</v>
      </c>
      <c r="D315" s="39" t="s">
        <v>376</v>
      </c>
      <c r="E315" s="16" t="s">
        <v>38</v>
      </c>
      <c r="F315" s="12">
        <v>337</v>
      </c>
      <c r="G315" s="16">
        <v>785</v>
      </c>
      <c r="H315" s="40" t="s">
        <v>315</v>
      </c>
      <c r="I315" s="40" t="s">
        <v>377</v>
      </c>
      <c r="J315" s="41" t="s">
        <v>317</v>
      </c>
      <c r="K315" s="41" t="s">
        <v>399</v>
      </c>
      <c r="L315" s="57" t="s">
        <v>319</v>
      </c>
      <c r="M315" s="58" t="str">
        <f>Tabla16[[#This Row],[ABR_02]]</f>
        <v>SF</v>
      </c>
      <c r="N315" t="s">
        <v>320</v>
      </c>
      <c r="O315" s="59" t="s">
        <v>318</v>
      </c>
      <c r="P315" t="s">
        <v>321</v>
      </c>
      <c r="Q315" t="s">
        <v>378</v>
      </c>
      <c r="R315" s="60" t="str">
        <f>_xlfn.CONCAT(Tabla16[[#This Row],[ABR_01]],"00",Tabla16[[#This Row],[ABR_02]],Tabla16[[#This Row],[ZONA2]],,"0",Tabla16[[#This Row],[PARADA2]])</f>
        <v>AR00SF1012</v>
      </c>
      <c r="S315" s="60" t="s">
        <v>379</v>
      </c>
      <c r="T315" s="42" t="s">
        <v>324</v>
      </c>
      <c r="U315" s="42" t="s">
        <v>324</v>
      </c>
      <c r="V315" t="s">
        <v>850</v>
      </c>
    </row>
    <row r="316" spans="1:22" x14ac:dyDescent="0.25">
      <c r="A316" s="56" t="s">
        <v>325</v>
      </c>
      <c r="B316" s="38" t="s">
        <v>400</v>
      </c>
      <c r="C316" s="10" t="s">
        <v>400</v>
      </c>
      <c r="D316" s="39" t="s">
        <v>376</v>
      </c>
      <c r="E316" s="16" t="s">
        <v>38</v>
      </c>
      <c r="F316" s="12">
        <v>337</v>
      </c>
      <c r="G316" s="16">
        <v>745</v>
      </c>
      <c r="H316" s="40" t="s">
        <v>315</v>
      </c>
      <c r="I316" s="40" t="s">
        <v>377</v>
      </c>
      <c r="J316" s="41" t="s">
        <v>317</v>
      </c>
      <c r="K316" s="41" t="s">
        <v>401</v>
      </c>
      <c r="L316" s="57" t="s">
        <v>319</v>
      </c>
      <c r="M316" s="58" t="str">
        <f>Tabla16[[#This Row],[ABR_02]]</f>
        <v>SF</v>
      </c>
      <c r="N316" t="s">
        <v>320</v>
      </c>
      <c r="O316" s="59" t="s">
        <v>318</v>
      </c>
      <c r="P316" t="s">
        <v>321</v>
      </c>
      <c r="Q316" t="s">
        <v>378</v>
      </c>
      <c r="R316" s="60" t="str">
        <f>_xlfn.CONCAT(Tabla16[[#This Row],[ABR_01]],"00",Tabla16[[#This Row],[ABR_02]],Tabla16[[#This Row],[ZONA2]],,"0",Tabla16[[#This Row],[PARADA2]])</f>
        <v>AR00SF1013</v>
      </c>
      <c r="S316" s="60" t="s">
        <v>379</v>
      </c>
      <c r="T316" s="42" t="s">
        <v>324</v>
      </c>
      <c r="U316" s="42" t="s">
        <v>324</v>
      </c>
      <c r="V316" t="s">
        <v>850</v>
      </c>
    </row>
    <row r="317" spans="1:22" x14ac:dyDescent="0.25">
      <c r="A317" s="56" t="s">
        <v>325</v>
      </c>
      <c r="B317" s="38" t="s">
        <v>402</v>
      </c>
      <c r="C317" s="44" t="s">
        <v>403</v>
      </c>
      <c r="D317" s="39" t="s">
        <v>376</v>
      </c>
      <c r="E317" s="16" t="s">
        <v>38</v>
      </c>
      <c r="F317" s="12">
        <v>337</v>
      </c>
      <c r="G317" s="16">
        <v>715</v>
      </c>
      <c r="H317" s="40" t="s">
        <v>315</v>
      </c>
      <c r="I317" s="40" t="s">
        <v>377</v>
      </c>
      <c r="J317" s="41" t="s">
        <v>317</v>
      </c>
      <c r="K317" s="41" t="s">
        <v>404</v>
      </c>
      <c r="L317" s="57" t="s">
        <v>319</v>
      </c>
      <c r="M317" s="58" t="str">
        <f>Tabla16[[#This Row],[ABR_02]]</f>
        <v>SF</v>
      </c>
      <c r="N317" t="s">
        <v>320</v>
      </c>
      <c r="O317" s="59" t="s">
        <v>318</v>
      </c>
      <c r="P317" t="s">
        <v>321</v>
      </c>
      <c r="Q317" t="s">
        <v>378</v>
      </c>
      <c r="R317" s="60" t="str">
        <f>_xlfn.CONCAT(Tabla16[[#This Row],[ABR_01]],"00",Tabla16[[#This Row],[ABR_02]],Tabla16[[#This Row],[ZONA2]],,"0",Tabla16[[#This Row],[PARADA2]])</f>
        <v>AR00SF1014</v>
      </c>
      <c r="S317" s="60" t="s">
        <v>379</v>
      </c>
      <c r="T317" s="42" t="s">
        <v>324</v>
      </c>
      <c r="U317" s="42" t="s">
        <v>324</v>
      </c>
      <c r="V317" t="s">
        <v>850</v>
      </c>
    </row>
    <row r="318" spans="1:22" x14ac:dyDescent="0.25">
      <c r="A318" s="56" t="s">
        <v>325</v>
      </c>
      <c r="B318" s="38" t="s">
        <v>405</v>
      </c>
      <c r="C318" s="44" t="s">
        <v>406</v>
      </c>
      <c r="D318" s="39" t="s">
        <v>376</v>
      </c>
      <c r="E318" s="16" t="s">
        <v>38</v>
      </c>
      <c r="F318" s="12">
        <v>337</v>
      </c>
      <c r="G318" s="16">
        <v>798</v>
      </c>
      <c r="H318" s="40" t="s">
        <v>315</v>
      </c>
      <c r="I318" s="40" t="s">
        <v>377</v>
      </c>
      <c r="J318" s="41" t="s">
        <v>317</v>
      </c>
      <c r="K318" s="41" t="s">
        <v>407</v>
      </c>
      <c r="L318" s="57" t="s">
        <v>319</v>
      </c>
      <c r="M318" s="58" t="str">
        <f>Tabla16[[#This Row],[ABR_02]]</f>
        <v>SF</v>
      </c>
      <c r="N318" t="s">
        <v>320</v>
      </c>
      <c r="O318" s="59" t="s">
        <v>318</v>
      </c>
      <c r="P318" t="s">
        <v>321</v>
      </c>
      <c r="Q318" t="s">
        <v>378</v>
      </c>
      <c r="R318" s="60" t="str">
        <f>_xlfn.CONCAT(Tabla16[[#This Row],[ABR_01]],"00",Tabla16[[#This Row],[ABR_02]],Tabla16[[#This Row],[ZONA2]],,"0",Tabla16[[#This Row],[PARADA2]])</f>
        <v>AR00SF1015</v>
      </c>
      <c r="S318" s="60" t="s">
        <v>379</v>
      </c>
      <c r="T318" s="42" t="s">
        <v>324</v>
      </c>
      <c r="U318" s="42" t="s">
        <v>324</v>
      </c>
      <c r="V318" t="s">
        <v>850</v>
      </c>
    </row>
    <row r="319" spans="1:22" x14ac:dyDescent="0.25">
      <c r="A319" s="56" t="s">
        <v>325</v>
      </c>
      <c r="B319" s="38" t="s">
        <v>408</v>
      </c>
      <c r="C319" s="44" t="s">
        <v>128</v>
      </c>
      <c r="D319" s="39" t="s">
        <v>376</v>
      </c>
      <c r="E319" s="16" t="s">
        <v>38</v>
      </c>
      <c r="F319" s="12">
        <v>337</v>
      </c>
      <c r="G319" s="16">
        <v>700</v>
      </c>
      <c r="H319" s="40" t="s">
        <v>315</v>
      </c>
      <c r="I319" s="40" t="s">
        <v>377</v>
      </c>
      <c r="J319" s="41" t="s">
        <v>317</v>
      </c>
      <c r="K319" s="41" t="s">
        <v>409</v>
      </c>
      <c r="L319" s="57" t="s">
        <v>319</v>
      </c>
      <c r="M319" s="58" t="str">
        <f>Tabla16[[#This Row],[ABR_02]]</f>
        <v>SF</v>
      </c>
      <c r="N319" t="s">
        <v>320</v>
      </c>
      <c r="O319" s="59" t="s">
        <v>318</v>
      </c>
      <c r="P319" t="s">
        <v>321</v>
      </c>
      <c r="Q319" t="s">
        <v>378</v>
      </c>
      <c r="R319" s="60" t="str">
        <f>_xlfn.CONCAT(Tabla16[[#This Row],[ABR_01]],"00",Tabla16[[#This Row],[ABR_02]],Tabla16[[#This Row],[ZONA2]],,"0",Tabla16[[#This Row],[PARADA2]])</f>
        <v>AR00SF1016</v>
      </c>
      <c r="S319" s="60" t="s">
        <v>379</v>
      </c>
      <c r="T319" s="42" t="s">
        <v>324</v>
      </c>
      <c r="U319" s="42" t="s">
        <v>324</v>
      </c>
      <c r="V319" t="s">
        <v>850</v>
      </c>
    </row>
    <row r="320" spans="1:22" x14ac:dyDescent="0.25">
      <c r="A320" s="56" t="s">
        <v>325</v>
      </c>
      <c r="B320" s="38" t="s">
        <v>410</v>
      </c>
      <c r="C320" s="44" t="s">
        <v>411</v>
      </c>
      <c r="D320" s="39" t="s">
        <v>376</v>
      </c>
      <c r="E320" s="16" t="s">
        <v>38</v>
      </c>
      <c r="F320" s="12">
        <v>337</v>
      </c>
      <c r="G320" s="16">
        <v>714</v>
      </c>
      <c r="H320" s="40" t="s">
        <v>315</v>
      </c>
      <c r="I320" s="40" t="s">
        <v>377</v>
      </c>
      <c r="J320" s="41" t="s">
        <v>317</v>
      </c>
      <c r="K320" s="41" t="s">
        <v>412</v>
      </c>
      <c r="L320" s="57" t="s">
        <v>319</v>
      </c>
      <c r="M320" s="58" t="str">
        <f>Tabla16[[#This Row],[ABR_02]]</f>
        <v>SF</v>
      </c>
      <c r="N320" t="s">
        <v>320</v>
      </c>
      <c r="O320" s="59" t="s">
        <v>318</v>
      </c>
      <c r="P320" t="s">
        <v>321</v>
      </c>
      <c r="Q320" t="s">
        <v>378</v>
      </c>
      <c r="R320" s="60" t="str">
        <f>_xlfn.CONCAT(Tabla16[[#This Row],[ABR_01]],"00",Tabla16[[#This Row],[ABR_02]],Tabla16[[#This Row],[ZONA2]],,"0",Tabla16[[#This Row],[PARADA2]])</f>
        <v>AR00SF1017</v>
      </c>
      <c r="S320" s="60" t="s">
        <v>379</v>
      </c>
      <c r="T320" s="42" t="s">
        <v>324</v>
      </c>
      <c r="U320" s="42" t="s">
        <v>324</v>
      </c>
      <c r="V320" t="s">
        <v>850</v>
      </c>
    </row>
    <row r="321" spans="1:22" x14ac:dyDescent="0.25">
      <c r="A321" s="56" t="s">
        <v>325</v>
      </c>
      <c r="B321" s="38" t="s">
        <v>413</v>
      </c>
      <c r="C321" s="10" t="s">
        <v>413</v>
      </c>
      <c r="D321" s="39" t="s">
        <v>376</v>
      </c>
      <c r="E321" s="16" t="s">
        <v>38</v>
      </c>
      <c r="F321" s="12">
        <v>337</v>
      </c>
      <c r="G321" s="16">
        <v>730</v>
      </c>
      <c r="H321" s="40" t="s">
        <v>315</v>
      </c>
      <c r="I321" s="40" t="s">
        <v>377</v>
      </c>
      <c r="J321" s="41" t="s">
        <v>317</v>
      </c>
      <c r="K321" s="41" t="s">
        <v>414</v>
      </c>
      <c r="L321" s="57" t="s">
        <v>319</v>
      </c>
      <c r="M321" s="58" t="str">
        <f>Tabla16[[#This Row],[ABR_02]]</f>
        <v>SF</v>
      </c>
      <c r="N321" t="s">
        <v>320</v>
      </c>
      <c r="O321" s="59" t="s">
        <v>318</v>
      </c>
      <c r="P321" t="s">
        <v>321</v>
      </c>
      <c r="Q321" t="s">
        <v>378</v>
      </c>
      <c r="R321" s="60" t="str">
        <f>_xlfn.CONCAT(Tabla16[[#This Row],[ABR_01]],"00",Tabla16[[#This Row],[ABR_02]],Tabla16[[#This Row],[ZONA2]],,"0",Tabla16[[#This Row],[PARADA2]])</f>
        <v>AR00SF1018</v>
      </c>
      <c r="S321" s="60" t="s">
        <v>379</v>
      </c>
      <c r="T321" s="42" t="s">
        <v>324</v>
      </c>
      <c r="U321" s="42" t="s">
        <v>324</v>
      </c>
      <c r="V321" t="s">
        <v>850</v>
      </c>
    </row>
    <row r="322" spans="1:22" x14ac:dyDescent="0.25">
      <c r="A322" s="56" t="s">
        <v>325</v>
      </c>
      <c r="B322" s="38" t="s">
        <v>415</v>
      </c>
      <c r="C322" s="44" t="s">
        <v>416</v>
      </c>
      <c r="D322" s="39" t="s">
        <v>376</v>
      </c>
      <c r="E322" s="16" t="s">
        <v>38</v>
      </c>
      <c r="F322" s="12">
        <v>337</v>
      </c>
      <c r="G322" s="16">
        <v>790</v>
      </c>
      <c r="H322" s="40" t="s">
        <v>315</v>
      </c>
      <c r="I322" s="40" t="s">
        <v>377</v>
      </c>
      <c r="J322" s="41" t="s">
        <v>317</v>
      </c>
      <c r="K322" s="41" t="s">
        <v>417</v>
      </c>
      <c r="L322" s="57" t="s">
        <v>319</v>
      </c>
      <c r="M322" s="58" t="str">
        <f>Tabla16[[#This Row],[ABR_02]]</f>
        <v>SF</v>
      </c>
      <c r="N322" t="s">
        <v>320</v>
      </c>
      <c r="O322" s="59" t="s">
        <v>318</v>
      </c>
      <c r="P322" t="s">
        <v>321</v>
      </c>
      <c r="Q322" t="s">
        <v>378</v>
      </c>
      <c r="R322" s="60" t="str">
        <f>_xlfn.CONCAT(Tabla16[[#This Row],[ABR_01]],"00",Tabla16[[#This Row],[ABR_02]],Tabla16[[#This Row],[ZONA2]],,"0",Tabla16[[#This Row],[PARADA2]])</f>
        <v>AR00SF1019</v>
      </c>
      <c r="S322" s="60" t="s">
        <v>379</v>
      </c>
      <c r="T322" s="42" t="s">
        <v>324</v>
      </c>
      <c r="U322" s="42" t="s">
        <v>324</v>
      </c>
      <c r="V322" t="s">
        <v>850</v>
      </c>
    </row>
    <row r="323" spans="1:22" x14ac:dyDescent="0.25">
      <c r="A323" s="56" t="s">
        <v>325</v>
      </c>
      <c r="B323" s="38" t="s">
        <v>418</v>
      </c>
      <c r="C323" s="10" t="s">
        <v>418</v>
      </c>
      <c r="D323" s="39" t="s">
        <v>376</v>
      </c>
      <c r="E323" s="16" t="s">
        <v>38</v>
      </c>
      <c r="F323" s="12">
        <v>337</v>
      </c>
      <c r="G323" s="16">
        <v>712</v>
      </c>
      <c r="H323" s="40" t="s">
        <v>315</v>
      </c>
      <c r="I323" s="40" t="s">
        <v>377</v>
      </c>
      <c r="J323" s="41" t="s">
        <v>317</v>
      </c>
      <c r="K323" s="41" t="s">
        <v>419</v>
      </c>
      <c r="L323" s="57" t="s">
        <v>319</v>
      </c>
      <c r="M323" s="58" t="str">
        <f>Tabla16[[#This Row],[ABR_02]]</f>
        <v>SF</v>
      </c>
      <c r="N323" t="s">
        <v>320</v>
      </c>
      <c r="O323" s="59" t="s">
        <v>318</v>
      </c>
      <c r="P323" t="s">
        <v>321</v>
      </c>
      <c r="Q323" t="s">
        <v>378</v>
      </c>
      <c r="R323" s="60" t="str">
        <f>_xlfn.CONCAT(Tabla16[[#This Row],[ABR_01]],"00",Tabla16[[#This Row],[ABR_02]],Tabla16[[#This Row],[ZONA2]],,"0",Tabla16[[#This Row],[PARADA2]])</f>
        <v>AR00SF1020</v>
      </c>
      <c r="S323" s="60" t="s">
        <v>379</v>
      </c>
      <c r="T323" s="42" t="s">
        <v>324</v>
      </c>
      <c r="U323" s="42" t="s">
        <v>324</v>
      </c>
      <c r="V323" t="s">
        <v>850</v>
      </c>
    </row>
    <row r="324" spans="1:22" x14ac:dyDescent="0.25">
      <c r="A324" s="56" t="s">
        <v>325</v>
      </c>
      <c r="B324" s="38" t="s">
        <v>420</v>
      </c>
      <c r="C324" s="44" t="s">
        <v>39</v>
      </c>
      <c r="D324" s="39" t="s">
        <v>376</v>
      </c>
      <c r="E324" s="16" t="s">
        <v>38</v>
      </c>
      <c r="F324" s="12">
        <v>337</v>
      </c>
      <c r="G324" s="16">
        <v>765</v>
      </c>
      <c r="H324" s="40" t="s">
        <v>315</v>
      </c>
      <c r="I324" s="40" t="s">
        <v>377</v>
      </c>
      <c r="J324" s="41" t="s">
        <v>317</v>
      </c>
      <c r="K324" s="41" t="s">
        <v>421</v>
      </c>
      <c r="L324" s="57" t="s">
        <v>319</v>
      </c>
      <c r="M324" s="58" t="str">
        <f>Tabla16[[#This Row],[ABR_02]]</f>
        <v>SF</v>
      </c>
      <c r="N324" t="s">
        <v>320</v>
      </c>
      <c r="O324" s="59" t="s">
        <v>318</v>
      </c>
      <c r="P324" t="s">
        <v>321</v>
      </c>
      <c r="Q324" t="s">
        <v>378</v>
      </c>
      <c r="R324" s="60" t="str">
        <f>_xlfn.CONCAT(Tabla16[[#This Row],[ABR_01]],"00",Tabla16[[#This Row],[ABR_02]],Tabla16[[#This Row],[ZONA2]],,"0",Tabla16[[#This Row],[PARADA2]])</f>
        <v>AR00SF1021</v>
      </c>
      <c r="S324" s="60" t="s">
        <v>379</v>
      </c>
      <c r="T324" s="42" t="s">
        <v>324</v>
      </c>
      <c r="U324" s="42" t="s">
        <v>324</v>
      </c>
      <c r="V324" t="s">
        <v>850</v>
      </c>
    </row>
    <row r="325" spans="1:22" x14ac:dyDescent="0.25">
      <c r="A325" s="56" t="s">
        <v>325</v>
      </c>
      <c r="B325" s="38" t="s">
        <v>422</v>
      </c>
      <c r="C325" s="10" t="s">
        <v>422</v>
      </c>
      <c r="D325" s="39" t="s">
        <v>376</v>
      </c>
      <c r="E325" s="16" t="s">
        <v>38</v>
      </c>
      <c r="F325" s="12">
        <v>337</v>
      </c>
      <c r="G325" s="16">
        <v>337</v>
      </c>
      <c r="H325" s="40" t="s">
        <v>315</v>
      </c>
      <c r="I325" s="40" t="s">
        <v>377</v>
      </c>
      <c r="J325" s="41" t="s">
        <v>317</v>
      </c>
      <c r="K325" s="41" t="s">
        <v>423</v>
      </c>
      <c r="L325" s="57" t="s">
        <v>319</v>
      </c>
      <c r="M325" s="58" t="str">
        <f>Tabla16[[#This Row],[ABR_02]]</f>
        <v>SF</v>
      </c>
      <c r="N325" t="s">
        <v>320</v>
      </c>
      <c r="O325" s="59" t="s">
        <v>318</v>
      </c>
      <c r="P325" t="s">
        <v>321</v>
      </c>
      <c r="Q325" t="s">
        <v>378</v>
      </c>
      <c r="R325" s="60" t="str">
        <f>_xlfn.CONCAT(Tabla16[[#This Row],[ABR_01]],"00",Tabla16[[#This Row],[ABR_02]],Tabla16[[#This Row],[ZONA2]],,"0",Tabla16[[#This Row],[PARADA2]])</f>
        <v>AR00SF1022</v>
      </c>
      <c r="S325" s="60" t="s">
        <v>379</v>
      </c>
      <c r="T325" s="42" t="s">
        <v>324</v>
      </c>
      <c r="U325" s="42" t="s">
        <v>324</v>
      </c>
      <c r="V325" t="s">
        <v>850</v>
      </c>
    </row>
    <row r="326" spans="1:22" x14ac:dyDescent="0.25">
      <c r="A326" s="56" t="s">
        <v>325</v>
      </c>
      <c r="B326" s="38" t="s">
        <v>424</v>
      </c>
      <c r="C326" s="10" t="s">
        <v>425</v>
      </c>
      <c r="D326" s="39" t="s">
        <v>376</v>
      </c>
      <c r="E326" s="16" t="s">
        <v>38</v>
      </c>
      <c r="F326" s="12">
        <v>337</v>
      </c>
      <c r="G326" s="16">
        <v>770</v>
      </c>
      <c r="H326" s="40" t="s">
        <v>315</v>
      </c>
      <c r="I326" s="40" t="s">
        <v>377</v>
      </c>
      <c r="J326" s="41" t="s">
        <v>317</v>
      </c>
      <c r="K326" s="41" t="s">
        <v>426</v>
      </c>
      <c r="L326" s="57" t="s">
        <v>319</v>
      </c>
      <c r="M326" s="58" t="str">
        <f>Tabla16[[#This Row],[ABR_02]]</f>
        <v>SF</v>
      </c>
      <c r="N326" t="s">
        <v>320</v>
      </c>
      <c r="O326" s="59" t="s">
        <v>318</v>
      </c>
      <c r="P326" t="s">
        <v>321</v>
      </c>
      <c r="Q326" t="s">
        <v>378</v>
      </c>
      <c r="R326" s="60" t="str">
        <f>_xlfn.CONCAT(Tabla16[[#This Row],[ABR_01]],"00",Tabla16[[#This Row],[ABR_02]],Tabla16[[#This Row],[ZONA2]],,"0",Tabla16[[#This Row],[PARADA2]])</f>
        <v>AR00SF1023</v>
      </c>
      <c r="S326" s="60" t="s">
        <v>379</v>
      </c>
      <c r="T326" s="42" t="s">
        <v>324</v>
      </c>
      <c r="U326" s="42" t="s">
        <v>324</v>
      </c>
      <c r="V326" t="s">
        <v>850</v>
      </c>
    </row>
    <row r="327" spans="1:22" x14ac:dyDescent="0.25">
      <c r="A327" s="56" t="s">
        <v>325</v>
      </c>
      <c r="B327" s="38" t="s">
        <v>427</v>
      </c>
      <c r="C327" s="44" t="s">
        <v>164</v>
      </c>
      <c r="D327" s="39" t="s">
        <v>376</v>
      </c>
      <c r="E327" s="16" t="s">
        <v>38</v>
      </c>
      <c r="F327" s="12">
        <v>337</v>
      </c>
      <c r="G327" s="16">
        <v>740</v>
      </c>
      <c r="H327" s="40" t="s">
        <v>315</v>
      </c>
      <c r="I327" s="40" t="s">
        <v>377</v>
      </c>
      <c r="J327" s="41" t="s">
        <v>317</v>
      </c>
      <c r="K327" s="41" t="s">
        <v>428</v>
      </c>
      <c r="L327" s="57" t="s">
        <v>319</v>
      </c>
      <c r="M327" s="58" t="str">
        <f>Tabla16[[#This Row],[ABR_02]]</f>
        <v>SF</v>
      </c>
      <c r="N327" t="s">
        <v>320</v>
      </c>
      <c r="O327" s="59" t="s">
        <v>318</v>
      </c>
      <c r="P327" t="s">
        <v>321</v>
      </c>
      <c r="Q327" t="s">
        <v>378</v>
      </c>
      <c r="R327" s="60" t="str">
        <f>_xlfn.CONCAT(Tabla16[[#This Row],[ABR_01]],"00",Tabla16[[#This Row],[ABR_02]],Tabla16[[#This Row],[ZONA2]],,"0",Tabla16[[#This Row],[PARADA2]])</f>
        <v>AR00SF1024</v>
      </c>
      <c r="S327" s="60" t="s">
        <v>379</v>
      </c>
      <c r="T327" s="42" t="s">
        <v>324</v>
      </c>
      <c r="U327" s="42" t="s">
        <v>324</v>
      </c>
      <c r="V327" t="s">
        <v>850</v>
      </c>
    </row>
    <row r="328" spans="1:22" x14ac:dyDescent="0.25">
      <c r="A328" s="56" t="s">
        <v>325</v>
      </c>
      <c r="B328" s="38" t="s">
        <v>429</v>
      </c>
      <c r="C328" s="10" t="s">
        <v>429</v>
      </c>
      <c r="D328" s="39" t="s">
        <v>376</v>
      </c>
      <c r="E328" s="16" t="s">
        <v>38</v>
      </c>
      <c r="F328" s="12">
        <v>337</v>
      </c>
      <c r="G328" s="16">
        <v>702</v>
      </c>
      <c r="H328" s="40" t="s">
        <v>315</v>
      </c>
      <c r="I328" s="40" t="s">
        <v>377</v>
      </c>
      <c r="J328" s="41" t="s">
        <v>317</v>
      </c>
      <c r="K328" s="41" t="s">
        <v>430</v>
      </c>
      <c r="L328" s="57" t="s">
        <v>319</v>
      </c>
      <c r="M328" s="58" t="str">
        <f>Tabla16[[#This Row],[ABR_02]]</f>
        <v>SF</v>
      </c>
      <c r="N328" t="s">
        <v>320</v>
      </c>
      <c r="O328" s="59" t="s">
        <v>318</v>
      </c>
      <c r="P328" t="s">
        <v>321</v>
      </c>
      <c r="Q328" t="s">
        <v>378</v>
      </c>
      <c r="R328" s="60" t="str">
        <f>_xlfn.CONCAT(Tabla16[[#This Row],[ABR_01]],"00",Tabla16[[#This Row],[ABR_02]],Tabla16[[#This Row],[ZONA2]],,"0",Tabla16[[#This Row],[PARADA2]])</f>
        <v>AR00SF1025</v>
      </c>
      <c r="S328" s="60" t="s">
        <v>379</v>
      </c>
      <c r="T328" s="42" t="s">
        <v>324</v>
      </c>
      <c r="U328" s="42" t="s">
        <v>324</v>
      </c>
      <c r="V328" t="s">
        <v>850</v>
      </c>
    </row>
    <row r="329" spans="1:22" x14ac:dyDescent="0.25">
      <c r="A329" s="56" t="s">
        <v>325</v>
      </c>
      <c r="B329" s="38" t="s">
        <v>375</v>
      </c>
      <c r="C329" s="10" t="s">
        <v>375</v>
      </c>
      <c r="D329" s="39" t="s">
        <v>376</v>
      </c>
      <c r="E329" s="16" t="s">
        <v>38</v>
      </c>
      <c r="F329" s="12">
        <v>337</v>
      </c>
      <c r="G329" s="16">
        <v>799</v>
      </c>
      <c r="H329" s="40" t="s">
        <v>315</v>
      </c>
      <c r="I329" s="40" t="s">
        <v>377</v>
      </c>
      <c r="J329" s="41" t="s">
        <v>317</v>
      </c>
      <c r="K329" s="41" t="s">
        <v>318</v>
      </c>
      <c r="L329" s="57" t="s">
        <v>319</v>
      </c>
      <c r="M329" s="58" t="str">
        <f>Tabla16[[#This Row],[ABR_02]]</f>
        <v>SF</v>
      </c>
      <c r="N329" t="s">
        <v>320</v>
      </c>
      <c r="O329" s="59" t="s">
        <v>334</v>
      </c>
      <c r="P329" t="s">
        <v>650</v>
      </c>
      <c r="Q329" t="s">
        <v>320</v>
      </c>
      <c r="R329" s="60" t="str">
        <f>_xlfn.CONCAT(Tabla16[[#This Row],[ABR_01]],"00",Tabla16[[#This Row],[ABR_02]],Tabla16[[#This Row],[ZONA2]],,"0",Tabla16[[#This Row],[PARADA2]])</f>
        <v>AR00SF1001</v>
      </c>
      <c r="S329" s="60" t="s">
        <v>580</v>
      </c>
      <c r="T329" s="42" t="s">
        <v>324</v>
      </c>
      <c r="U329" s="53" t="s">
        <v>324</v>
      </c>
      <c r="V329" t="s">
        <v>851</v>
      </c>
    </row>
    <row r="330" spans="1:22" x14ac:dyDescent="0.25">
      <c r="A330" s="56" t="s">
        <v>325</v>
      </c>
      <c r="B330" s="38" t="s">
        <v>380</v>
      </c>
      <c r="C330" s="44" t="s">
        <v>381</v>
      </c>
      <c r="D330" s="39" t="s">
        <v>376</v>
      </c>
      <c r="E330" s="16" t="s">
        <v>38</v>
      </c>
      <c r="F330" s="12">
        <v>337</v>
      </c>
      <c r="G330" s="16">
        <v>735</v>
      </c>
      <c r="H330" s="40" t="s">
        <v>315</v>
      </c>
      <c r="I330" s="40" t="s">
        <v>377</v>
      </c>
      <c r="J330" s="41" t="s">
        <v>317</v>
      </c>
      <c r="K330" s="41" t="s">
        <v>331</v>
      </c>
      <c r="L330" s="57" t="s">
        <v>319</v>
      </c>
      <c r="M330" s="58" t="str">
        <f>Tabla16[[#This Row],[ABR_02]]</f>
        <v>SF</v>
      </c>
      <c r="N330" t="s">
        <v>320</v>
      </c>
      <c r="O330" s="59" t="s">
        <v>334</v>
      </c>
      <c r="P330" t="s">
        <v>650</v>
      </c>
      <c r="Q330" t="s">
        <v>320</v>
      </c>
      <c r="R330" s="60" t="str">
        <f>_xlfn.CONCAT(Tabla16[[#This Row],[ABR_01]],"00",Tabla16[[#This Row],[ABR_02]],Tabla16[[#This Row],[ZONA2]],,"0",Tabla16[[#This Row],[PARADA2]])</f>
        <v>AR00SF1002</v>
      </c>
      <c r="S330" s="60" t="s">
        <v>580</v>
      </c>
      <c r="T330" s="42" t="s">
        <v>324</v>
      </c>
      <c r="U330" s="53" t="s">
        <v>324</v>
      </c>
      <c r="V330" t="s">
        <v>851</v>
      </c>
    </row>
    <row r="331" spans="1:22" x14ac:dyDescent="0.25">
      <c r="A331" s="56" t="s">
        <v>325</v>
      </c>
      <c r="B331" s="38" t="s">
        <v>382</v>
      </c>
      <c r="C331" s="44" t="s">
        <v>383</v>
      </c>
      <c r="D331" s="39" t="s">
        <v>376</v>
      </c>
      <c r="E331" s="16" t="s">
        <v>38</v>
      </c>
      <c r="F331" s="12">
        <v>337</v>
      </c>
      <c r="G331" s="16">
        <v>706</v>
      </c>
      <c r="H331" s="40" t="s">
        <v>315</v>
      </c>
      <c r="I331" s="40" t="s">
        <v>377</v>
      </c>
      <c r="J331" s="41" t="s">
        <v>317</v>
      </c>
      <c r="K331" s="41" t="s">
        <v>332</v>
      </c>
      <c r="L331" s="57" t="s">
        <v>319</v>
      </c>
      <c r="M331" s="58" t="str">
        <f>Tabla16[[#This Row],[ABR_02]]</f>
        <v>SF</v>
      </c>
      <c r="N331" t="s">
        <v>320</v>
      </c>
      <c r="O331" s="59" t="s">
        <v>334</v>
      </c>
      <c r="P331" t="s">
        <v>650</v>
      </c>
      <c r="Q331" t="s">
        <v>320</v>
      </c>
      <c r="R331" s="60" t="str">
        <f>_xlfn.CONCAT(Tabla16[[#This Row],[ABR_01]],"00",Tabla16[[#This Row],[ABR_02]],Tabla16[[#This Row],[ZONA2]],,"0",Tabla16[[#This Row],[PARADA2]])</f>
        <v>AR00SF1003</v>
      </c>
      <c r="S331" s="60" t="s">
        <v>580</v>
      </c>
      <c r="T331" s="42" t="s">
        <v>324</v>
      </c>
      <c r="U331" s="53" t="s">
        <v>324</v>
      </c>
      <c r="V331" t="s">
        <v>851</v>
      </c>
    </row>
    <row r="332" spans="1:22" x14ac:dyDescent="0.25">
      <c r="A332" s="56" t="s">
        <v>325</v>
      </c>
      <c r="B332" s="38" t="s">
        <v>384</v>
      </c>
      <c r="C332" s="44" t="s">
        <v>40</v>
      </c>
      <c r="D332" s="39" t="s">
        <v>376</v>
      </c>
      <c r="E332" s="16" t="s">
        <v>38</v>
      </c>
      <c r="F332" s="12">
        <v>337</v>
      </c>
      <c r="G332" s="16">
        <v>708</v>
      </c>
      <c r="H332" s="40" t="s">
        <v>315</v>
      </c>
      <c r="I332" s="40" t="s">
        <v>377</v>
      </c>
      <c r="J332" s="41" t="s">
        <v>317</v>
      </c>
      <c r="K332" s="41" t="s">
        <v>334</v>
      </c>
      <c r="L332" s="57" t="s">
        <v>319</v>
      </c>
      <c r="M332" s="58" t="str">
        <f>Tabla16[[#This Row],[ABR_02]]</f>
        <v>SF</v>
      </c>
      <c r="N332" t="s">
        <v>320</v>
      </c>
      <c r="O332" s="59" t="s">
        <v>334</v>
      </c>
      <c r="P332" t="s">
        <v>650</v>
      </c>
      <c r="Q332" t="s">
        <v>320</v>
      </c>
      <c r="R332" s="60" t="str">
        <f>_xlfn.CONCAT(Tabla16[[#This Row],[ABR_01]],"00",Tabla16[[#This Row],[ABR_02]],Tabla16[[#This Row],[ZONA2]],,"0",Tabla16[[#This Row],[PARADA2]])</f>
        <v>AR00SF1004</v>
      </c>
      <c r="S332" s="60" t="s">
        <v>580</v>
      </c>
      <c r="T332" s="42" t="s">
        <v>324</v>
      </c>
      <c r="U332" s="53" t="s">
        <v>324</v>
      </c>
      <c r="V332" t="s">
        <v>851</v>
      </c>
    </row>
    <row r="333" spans="1:22" x14ac:dyDescent="0.25">
      <c r="A333" s="56" t="s">
        <v>325</v>
      </c>
      <c r="B333" s="38" t="s">
        <v>385</v>
      </c>
      <c r="C333" s="44" t="s">
        <v>386</v>
      </c>
      <c r="D333" s="39" t="s">
        <v>376</v>
      </c>
      <c r="E333" s="16" t="s">
        <v>38</v>
      </c>
      <c r="F333" s="12">
        <v>337</v>
      </c>
      <c r="G333" s="16">
        <v>710</v>
      </c>
      <c r="H333" s="40" t="s">
        <v>315</v>
      </c>
      <c r="I333" s="40" t="s">
        <v>377</v>
      </c>
      <c r="J333" s="41" t="s">
        <v>317</v>
      </c>
      <c r="K333" s="41" t="s">
        <v>344</v>
      </c>
      <c r="L333" s="57" t="s">
        <v>319</v>
      </c>
      <c r="M333" s="58" t="str">
        <f>Tabla16[[#This Row],[ABR_02]]</f>
        <v>SF</v>
      </c>
      <c r="N333" t="s">
        <v>320</v>
      </c>
      <c r="O333" s="59" t="s">
        <v>334</v>
      </c>
      <c r="P333" t="s">
        <v>650</v>
      </c>
      <c r="Q333" t="s">
        <v>320</v>
      </c>
      <c r="R333" s="60" t="str">
        <f>_xlfn.CONCAT(Tabla16[[#This Row],[ABR_01]],"00",Tabla16[[#This Row],[ABR_02]],Tabla16[[#This Row],[ZONA2]],,"0",Tabla16[[#This Row],[PARADA2]])</f>
        <v>AR00SF1005</v>
      </c>
      <c r="S333" s="60" t="s">
        <v>580</v>
      </c>
      <c r="T333" s="42" t="s">
        <v>324</v>
      </c>
      <c r="U333" s="53" t="s">
        <v>324</v>
      </c>
      <c r="V333" t="s">
        <v>851</v>
      </c>
    </row>
    <row r="334" spans="1:22" x14ac:dyDescent="0.25">
      <c r="A334" s="56" t="s">
        <v>325</v>
      </c>
      <c r="B334" s="38" t="s">
        <v>387</v>
      </c>
      <c r="C334" s="44" t="s">
        <v>388</v>
      </c>
      <c r="D334" s="39" t="s">
        <v>376</v>
      </c>
      <c r="E334" s="16" t="s">
        <v>38</v>
      </c>
      <c r="F334" s="12">
        <v>337</v>
      </c>
      <c r="G334" s="16">
        <v>703</v>
      </c>
      <c r="H334" s="40" t="s">
        <v>315</v>
      </c>
      <c r="I334" s="40" t="s">
        <v>377</v>
      </c>
      <c r="J334" s="41" t="s">
        <v>317</v>
      </c>
      <c r="K334" s="41" t="s">
        <v>345</v>
      </c>
      <c r="L334" s="57" t="s">
        <v>319</v>
      </c>
      <c r="M334" s="58" t="str">
        <f>Tabla16[[#This Row],[ABR_02]]</f>
        <v>SF</v>
      </c>
      <c r="N334" t="s">
        <v>320</v>
      </c>
      <c r="O334" s="59" t="s">
        <v>334</v>
      </c>
      <c r="P334" t="s">
        <v>650</v>
      </c>
      <c r="Q334" t="s">
        <v>320</v>
      </c>
      <c r="R334" s="60" t="str">
        <f>_xlfn.CONCAT(Tabla16[[#This Row],[ABR_01]],"00",Tabla16[[#This Row],[ABR_02]],Tabla16[[#This Row],[ZONA2]],,"0",Tabla16[[#This Row],[PARADA2]])</f>
        <v>AR00SF1006</v>
      </c>
      <c r="S334" s="60" t="s">
        <v>580</v>
      </c>
      <c r="T334" s="42" t="s">
        <v>324</v>
      </c>
      <c r="U334" s="53" t="s">
        <v>324</v>
      </c>
      <c r="V334" t="s">
        <v>851</v>
      </c>
    </row>
    <row r="335" spans="1:22" x14ac:dyDescent="0.25">
      <c r="A335" s="56" t="s">
        <v>325</v>
      </c>
      <c r="B335" s="38" t="s">
        <v>389</v>
      </c>
      <c r="C335" s="10" t="s">
        <v>389</v>
      </c>
      <c r="D335" s="39" t="s">
        <v>376</v>
      </c>
      <c r="E335" s="16" t="s">
        <v>38</v>
      </c>
      <c r="F335" s="12">
        <v>337</v>
      </c>
      <c r="G335" s="16">
        <v>780</v>
      </c>
      <c r="H335" s="40" t="s">
        <v>315</v>
      </c>
      <c r="I335" s="40" t="s">
        <v>377</v>
      </c>
      <c r="J335" s="41" t="s">
        <v>317</v>
      </c>
      <c r="K335" s="41" t="s">
        <v>347</v>
      </c>
      <c r="L335" s="57" t="s">
        <v>319</v>
      </c>
      <c r="M335" s="58" t="str">
        <f>Tabla16[[#This Row],[ABR_02]]</f>
        <v>SF</v>
      </c>
      <c r="N335" t="s">
        <v>320</v>
      </c>
      <c r="O335" s="59" t="s">
        <v>334</v>
      </c>
      <c r="P335" t="s">
        <v>650</v>
      </c>
      <c r="Q335" t="s">
        <v>320</v>
      </c>
      <c r="R335" s="60" t="str">
        <f>_xlfn.CONCAT(Tabla16[[#This Row],[ABR_01]],"00",Tabla16[[#This Row],[ABR_02]],Tabla16[[#This Row],[ZONA2]],,"0",Tabla16[[#This Row],[PARADA2]])</f>
        <v>AR00SF1007</v>
      </c>
      <c r="S335" s="60" t="s">
        <v>580</v>
      </c>
      <c r="T335" s="42" t="s">
        <v>324</v>
      </c>
      <c r="U335" s="53" t="s">
        <v>324</v>
      </c>
      <c r="V335" t="s">
        <v>851</v>
      </c>
    </row>
    <row r="336" spans="1:22" x14ac:dyDescent="0.25">
      <c r="A336" s="56" t="s">
        <v>325</v>
      </c>
      <c r="B336" s="38" t="s">
        <v>390</v>
      </c>
      <c r="C336" s="10" t="s">
        <v>390</v>
      </c>
      <c r="D336" s="39" t="s">
        <v>376</v>
      </c>
      <c r="E336" s="16" t="s">
        <v>38</v>
      </c>
      <c r="F336" s="12">
        <v>337</v>
      </c>
      <c r="G336" s="16">
        <v>795</v>
      </c>
      <c r="H336" s="40" t="s">
        <v>315</v>
      </c>
      <c r="I336" s="40" t="s">
        <v>377</v>
      </c>
      <c r="J336" s="41" t="s">
        <v>317</v>
      </c>
      <c r="K336" s="41" t="s">
        <v>349</v>
      </c>
      <c r="L336" s="57" t="s">
        <v>319</v>
      </c>
      <c r="M336" s="58" t="str">
        <f>Tabla16[[#This Row],[ABR_02]]</f>
        <v>SF</v>
      </c>
      <c r="N336" t="s">
        <v>320</v>
      </c>
      <c r="O336" s="59" t="s">
        <v>334</v>
      </c>
      <c r="P336" t="s">
        <v>650</v>
      </c>
      <c r="Q336" t="s">
        <v>320</v>
      </c>
      <c r="R336" s="60" t="str">
        <f>_xlfn.CONCAT(Tabla16[[#This Row],[ABR_01]],"00",Tabla16[[#This Row],[ABR_02]],Tabla16[[#This Row],[ZONA2]],,"0",Tabla16[[#This Row],[PARADA2]])</f>
        <v>AR00SF1008</v>
      </c>
      <c r="S336" s="60" t="s">
        <v>580</v>
      </c>
      <c r="T336" s="42" t="s">
        <v>324</v>
      </c>
      <c r="U336" s="53" t="s">
        <v>324</v>
      </c>
      <c r="V336" t="s">
        <v>851</v>
      </c>
    </row>
    <row r="337" spans="1:22" x14ac:dyDescent="0.25">
      <c r="A337" s="56" t="s">
        <v>325</v>
      </c>
      <c r="B337" s="38" t="s">
        <v>391</v>
      </c>
      <c r="C337" s="44" t="s">
        <v>392</v>
      </c>
      <c r="D337" s="39" t="s">
        <v>376</v>
      </c>
      <c r="E337" s="16" t="s">
        <v>38</v>
      </c>
      <c r="F337" s="12">
        <v>337</v>
      </c>
      <c r="G337" s="16">
        <v>750</v>
      </c>
      <c r="H337" s="40" t="s">
        <v>315</v>
      </c>
      <c r="I337" s="40" t="s">
        <v>377</v>
      </c>
      <c r="J337" s="41" t="s">
        <v>317</v>
      </c>
      <c r="K337" s="41" t="s">
        <v>393</v>
      </c>
      <c r="L337" s="57" t="s">
        <v>319</v>
      </c>
      <c r="M337" s="58" t="str">
        <f>Tabla16[[#This Row],[ABR_02]]</f>
        <v>SF</v>
      </c>
      <c r="N337" t="s">
        <v>320</v>
      </c>
      <c r="O337" s="59" t="s">
        <v>334</v>
      </c>
      <c r="P337" t="s">
        <v>650</v>
      </c>
      <c r="Q337" t="s">
        <v>320</v>
      </c>
      <c r="R337" s="60" t="str">
        <f>_xlfn.CONCAT(Tabla16[[#This Row],[ABR_01]],"00",Tabla16[[#This Row],[ABR_02]],Tabla16[[#This Row],[ZONA2]],,"0",Tabla16[[#This Row],[PARADA2]])</f>
        <v>AR00SF1009</v>
      </c>
      <c r="S337" s="60" t="s">
        <v>580</v>
      </c>
      <c r="T337" s="42" t="s">
        <v>324</v>
      </c>
      <c r="U337" s="53" t="s">
        <v>324</v>
      </c>
      <c r="V337" t="s">
        <v>851</v>
      </c>
    </row>
    <row r="338" spans="1:22" x14ac:dyDescent="0.25">
      <c r="A338" s="56" t="s">
        <v>325</v>
      </c>
      <c r="B338" s="38" t="s">
        <v>394</v>
      </c>
      <c r="C338" s="44" t="s">
        <v>257</v>
      </c>
      <c r="D338" s="39" t="s">
        <v>376</v>
      </c>
      <c r="E338" s="16" t="s">
        <v>38</v>
      </c>
      <c r="F338" s="12">
        <v>337</v>
      </c>
      <c r="G338" s="16">
        <v>705</v>
      </c>
      <c r="H338" s="40" t="s">
        <v>315</v>
      </c>
      <c r="I338" s="40" t="s">
        <v>377</v>
      </c>
      <c r="J338" s="41" t="s">
        <v>317</v>
      </c>
      <c r="K338" s="41" t="s">
        <v>395</v>
      </c>
      <c r="L338" s="57" t="s">
        <v>319</v>
      </c>
      <c r="M338" s="58" t="str">
        <f>Tabla16[[#This Row],[ABR_02]]</f>
        <v>SF</v>
      </c>
      <c r="N338" t="s">
        <v>320</v>
      </c>
      <c r="O338" s="59" t="s">
        <v>334</v>
      </c>
      <c r="P338" t="s">
        <v>650</v>
      </c>
      <c r="Q338" t="s">
        <v>320</v>
      </c>
      <c r="R338" s="60" t="str">
        <f>_xlfn.CONCAT(Tabla16[[#This Row],[ABR_01]],"00",Tabla16[[#This Row],[ABR_02]],Tabla16[[#This Row],[ZONA2]],,"0",Tabla16[[#This Row],[PARADA2]])</f>
        <v>AR00SF1010</v>
      </c>
      <c r="S338" s="60" t="s">
        <v>580</v>
      </c>
      <c r="T338" s="42" t="s">
        <v>324</v>
      </c>
      <c r="U338" s="53" t="s">
        <v>324</v>
      </c>
      <c r="V338" t="s">
        <v>851</v>
      </c>
    </row>
    <row r="339" spans="1:22" x14ac:dyDescent="0.25">
      <c r="A339" s="56" t="s">
        <v>325</v>
      </c>
      <c r="B339" s="38" t="s">
        <v>396</v>
      </c>
      <c r="C339" s="10" t="s">
        <v>396</v>
      </c>
      <c r="D339" s="39" t="s">
        <v>376</v>
      </c>
      <c r="E339" s="16" t="s">
        <v>38</v>
      </c>
      <c r="F339" s="12">
        <v>337</v>
      </c>
      <c r="G339" s="16">
        <v>704</v>
      </c>
      <c r="H339" s="40" t="s">
        <v>315</v>
      </c>
      <c r="I339" s="40" t="s">
        <v>377</v>
      </c>
      <c r="J339" s="41" t="s">
        <v>317</v>
      </c>
      <c r="K339" s="41" t="s">
        <v>397</v>
      </c>
      <c r="L339" s="57" t="s">
        <v>319</v>
      </c>
      <c r="M339" s="58" t="str">
        <f>Tabla16[[#This Row],[ABR_02]]</f>
        <v>SF</v>
      </c>
      <c r="N339" t="s">
        <v>320</v>
      </c>
      <c r="O339" s="59" t="s">
        <v>334</v>
      </c>
      <c r="P339" t="s">
        <v>650</v>
      </c>
      <c r="Q339" t="s">
        <v>320</v>
      </c>
      <c r="R339" s="60" t="str">
        <f>_xlfn.CONCAT(Tabla16[[#This Row],[ABR_01]],"00",Tabla16[[#This Row],[ABR_02]],Tabla16[[#This Row],[ZONA2]],,"0",Tabla16[[#This Row],[PARADA2]])</f>
        <v>AR00SF1011</v>
      </c>
      <c r="S339" s="60" t="s">
        <v>580</v>
      </c>
      <c r="T339" s="42" t="s">
        <v>324</v>
      </c>
      <c r="U339" s="53" t="s">
        <v>324</v>
      </c>
      <c r="V339" t="s">
        <v>851</v>
      </c>
    </row>
    <row r="340" spans="1:22" x14ac:dyDescent="0.25">
      <c r="A340" s="56" t="s">
        <v>325</v>
      </c>
      <c r="B340" s="38" t="s">
        <v>398</v>
      </c>
      <c r="C340" s="10" t="s">
        <v>398</v>
      </c>
      <c r="D340" s="39" t="s">
        <v>376</v>
      </c>
      <c r="E340" s="16" t="s">
        <v>38</v>
      </c>
      <c r="F340" s="12">
        <v>337</v>
      </c>
      <c r="G340" s="16">
        <v>785</v>
      </c>
      <c r="H340" s="40" t="s">
        <v>315</v>
      </c>
      <c r="I340" s="40" t="s">
        <v>377</v>
      </c>
      <c r="J340" s="41" t="s">
        <v>317</v>
      </c>
      <c r="K340" s="41" t="s">
        <v>399</v>
      </c>
      <c r="L340" s="57" t="s">
        <v>319</v>
      </c>
      <c r="M340" s="58" t="str">
        <f>Tabla16[[#This Row],[ABR_02]]</f>
        <v>SF</v>
      </c>
      <c r="N340" t="s">
        <v>320</v>
      </c>
      <c r="O340" s="59" t="s">
        <v>334</v>
      </c>
      <c r="P340" t="s">
        <v>650</v>
      </c>
      <c r="Q340" t="s">
        <v>320</v>
      </c>
      <c r="R340" s="60" t="str">
        <f>_xlfn.CONCAT(Tabla16[[#This Row],[ABR_01]],"00",Tabla16[[#This Row],[ABR_02]],Tabla16[[#This Row],[ZONA2]],,"0",Tabla16[[#This Row],[PARADA2]])</f>
        <v>AR00SF1012</v>
      </c>
      <c r="S340" s="60" t="s">
        <v>580</v>
      </c>
      <c r="T340" s="42" t="s">
        <v>324</v>
      </c>
      <c r="U340" s="53" t="s">
        <v>324</v>
      </c>
      <c r="V340" t="s">
        <v>851</v>
      </c>
    </row>
    <row r="341" spans="1:22" x14ac:dyDescent="0.25">
      <c r="A341" s="56" t="s">
        <v>325</v>
      </c>
      <c r="B341" s="38" t="s">
        <v>400</v>
      </c>
      <c r="C341" s="10" t="s">
        <v>400</v>
      </c>
      <c r="D341" s="39" t="s">
        <v>376</v>
      </c>
      <c r="E341" s="16" t="s">
        <v>38</v>
      </c>
      <c r="F341" s="12">
        <v>337</v>
      </c>
      <c r="G341" s="16">
        <v>745</v>
      </c>
      <c r="H341" s="40" t="s">
        <v>315</v>
      </c>
      <c r="I341" s="40" t="s">
        <v>377</v>
      </c>
      <c r="J341" s="41" t="s">
        <v>317</v>
      </c>
      <c r="K341" s="41" t="s">
        <v>401</v>
      </c>
      <c r="L341" s="57" t="s">
        <v>319</v>
      </c>
      <c r="M341" s="58" t="str">
        <f>Tabla16[[#This Row],[ABR_02]]</f>
        <v>SF</v>
      </c>
      <c r="N341" t="s">
        <v>320</v>
      </c>
      <c r="O341" s="59" t="s">
        <v>334</v>
      </c>
      <c r="P341" t="s">
        <v>650</v>
      </c>
      <c r="Q341" t="s">
        <v>320</v>
      </c>
      <c r="R341" s="60" t="str">
        <f>_xlfn.CONCAT(Tabla16[[#This Row],[ABR_01]],"00",Tabla16[[#This Row],[ABR_02]],Tabla16[[#This Row],[ZONA2]],,"0",Tabla16[[#This Row],[PARADA2]])</f>
        <v>AR00SF1013</v>
      </c>
      <c r="S341" s="60" t="s">
        <v>580</v>
      </c>
      <c r="T341" s="42" t="s">
        <v>324</v>
      </c>
      <c r="U341" s="53" t="s">
        <v>324</v>
      </c>
      <c r="V341" t="s">
        <v>851</v>
      </c>
    </row>
    <row r="342" spans="1:22" x14ac:dyDescent="0.25">
      <c r="A342" s="56" t="s">
        <v>325</v>
      </c>
      <c r="B342" s="38" t="s">
        <v>402</v>
      </c>
      <c r="C342" s="44" t="s">
        <v>403</v>
      </c>
      <c r="D342" s="39" t="s">
        <v>376</v>
      </c>
      <c r="E342" s="16" t="s">
        <v>38</v>
      </c>
      <c r="F342" s="12">
        <v>337</v>
      </c>
      <c r="G342" s="16">
        <v>715</v>
      </c>
      <c r="H342" s="40" t="s">
        <v>315</v>
      </c>
      <c r="I342" s="40" t="s">
        <v>377</v>
      </c>
      <c r="J342" s="41" t="s">
        <v>317</v>
      </c>
      <c r="K342" s="41" t="s">
        <v>404</v>
      </c>
      <c r="L342" s="57" t="s">
        <v>319</v>
      </c>
      <c r="M342" s="58" t="str">
        <f>Tabla16[[#This Row],[ABR_02]]</f>
        <v>SF</v>
      </c>
      <c r="N342" t="s">
        <v>320</v>
      </c>
      <c r="O342" s="59" t="s">
        <v>334</v>
      </c>
      <c r="P342" t="s">
        <v>650</v>
      </c>
      <c r="Q342" t="s">
        <v>320</v>
      </c>
      <c r="R342" s="60" t="str">
        <f>_xlfn.CONCAT(Tabla16[[#This Row],[ABR_01]],"00",Tabla16[[#This Row],[ABR_02]],Tabla16[[#This Row],[ZONA2]],,"0",Tabla16[[#This Row],[PARADA2]])</f>
        <v>AR00SF1014</v>
      </c>
      <c r="S342" s="60" t="s">
        <v>580</v>
      </c>
      <c r="T342" s="42" t="s">
        <v>324</v>
      </c>
      <c r="U342" s="53" t="s">
        <v>324</v>
      </c>
      <c r="V342" t="s">
        <v>851</v>
      </c>
    </row>
    <row r="343" spans="1:22" x14ac:dyDescent="0.25">
      <c r="A343" s="56" t="s">
        <v>325</v>
      </c>
      <c r="B343" s="38" t="s">
        <v>405</v>
      </c>
      <c r="C343" s="44" t="s">
        <v>406</v>
      </c>
      <c r="D343" s="39" t="s">
        <v>376</v>
      </c>
      <c r="E343" s="16" t="s">
        <v>38</v>
      </c>
      <c r="F343" s="12">
        <v>337</v>
      </c>
      <c r="G343" s="16">
        <v>798</v>
      </c>
      <c r="H343" s="40" t="s">
        <v>315</v>
      </c>
      <c r="I343" s="40" t="s">
        <v>377</v>
      </c>
      <c r="J343" s="41" t="s">
        <v>317</v>
      </c>
      <c r="K343" s="41" t="s">
        <v>407</v>
      </c>
      <c r="L343" s="57" t="s">
        <v>319</v>
      </c>
      <c r="M343" s="58" t="str">
        <f>Tabla16[[#This Row],[ABR_02]]</f>
        <v>SF</v>
      </c>
      <c r="N343" t="s">
        <v>320</v>
      </c>
      <c r="O343" s="59" t="s">
        <v>334</v>
      </c>
      <c r="P343" t="s">
        <v>650</v>
      </c>
      <c r="Q343" t="s">
        <v>320</v>
      </c>
      <c r="R343" s="60" t="str">
        <f>_xlfn.CONCAT(Tabla16[[#This Row],[ABR_01]],"00",Tabla16[[#This Row],[ABR_02]],Tabla16[[#This Row],[ZONA2]],,"0",Tabla16[[#This Row],[PARADA2]])</f>
        <v>AR00SF1015</v>
      </c>
      <c r="S343" s="60" t="s">
        <v>580</v>
      </c>
      <c r="T343" s="42" t="s">
        <v>324</v>
      </c>
      <c r="U343" s="53" t="s">
        <v>324</v>
      </c>
      <c r="V343" t="s">
        <v>851</v>
      </c>
    </row>
    <row r="344" spans="1:22" x14ac:dyDescent="0.25">
      <c r="A344" s="56" t="s">
        <v>325</v>
      </c>
      <c r="B344" s="38" t="s">
        <v>408</v>
      </c>
      <c r="C344" s="44" t="s">
        <v>128</v>
      </c>
      <c r="D344" s="39" t="s">
        <v>376</v>
      </c>
      <c r="E344" s="16" t="s">
        <v>38</v>
      </c>
      <c r="F344" s="12">
        <v>337</v>
      </c>
      <c r="G344" s="16">
        <v>700</v>
      </c>
      <c r="H344" s="40" t="s">
        <v>315</v>
      </c>
      <c r="I344" s="40" t="s">
        <v>377</v>
      </c>
      <c r="J344" s="41" t="s">
        <v>317</v>
      </c>
      <c r="K344" s="41" t="s">
        <v>409</v>
      </c>
      <c r="L344" s="57" t="s">
        <v>319</v>
      </c>
      <c r="M344" s="58" t="str">
        <f>Tabla16[[#This Row],[ABR_02]]</f>
        <v>SF</v>
      </c>
      <c r="N344" t="s">
        <v>320</v>
      </c>
      <c r="O344" s="59" t="s">
        <v>334</v>
      </c>
      <c r="P344" t="s">
        <v>650</v>
      </c>
      <c r="Q344" t="s">
        <v>320</v>
      </c>
      <c r="R344" s="60" t="str">
        <f>_xlfn.CONCAT(Tabla16[[#This Row],[ABR_01]],"00",Tabla16[[#This Row],[ABR_02]],Tabla16[[#This Row],[ZONA2]],,"0",Tabla16[[#This Row],[PARADA2]])</f>
        <v>AR00SF1016</v>
      </c>
      <c r="S344" s="60" t="s">
        <v>580</v>
      </c>
      <c r="T344" s="42" t="s">
        <v>324</v>
      </c>
      <c r="U344" s="53" t="s">
        <v>324</v>
      </c>
      <c r="V344" t="s">
        <v>851</v>
      </c>
    </row>
    <row r="345" spans="1:22" x14ac:dyDescent="0.25">
      <c r="A345" s="56" t="s">
        <v>325</v>
      </c>
      <c r="B345" s="38" t="s">
        <v>410</v>
      </c>
      <c r="C345" s="44" t="s">
        <v>411</v>
      </c>
      <c r="D345" s="39" t="s">
        <v>376</v>
      </c>
      <c r="E345" s="16" t="s">
        <v>38</v>
      </c>
      <c r="F345" s="12">
        <v>337</v>
      </c>
      <c r="G345" s="16">
        <v>714</v>
      </c>
      <c r="H345" s="40" t="s">
        <v>315</v>
      </c>
      <c r="I345" s="40" t="s">
        <v>377</v>
      </c>
      <c r="J345" s="41" t="s">
        <v>317</v>
      </c>
      <c r="K345" s="41" t="s">
        <v>412</v>
      </c>
      <c r="L345" s="57" t="s">
        <v>319</v>
      </c>
      <c r="M345" s="58" t="str">
        <f>Tabla16[[#This Row],[ABR_02]]</f>
        <v>SF</v>
      </c>
      <c r="N345" t="s">
        <v>320</v>
      </c>
      <c r="O345" s="59" t="s">
        <v>334</v>
      </c>
      <c r="P345" t="s">
        <v>650</v>
      </c>
      <c r="Q345" t="s">
        <v>320</v>
      </c>
      <c r="R345" s="60" t="str">
        <f>_xlfn.CONCAT(Tabla16[[#This Row],[ABR_01]],"00",Tabla16[[#This Row],[ABR_02]],Tabla16[[#This Row],[ZONA2]],,"0",Tabla16[[#This Row],[PARADA2]])</f>
        <v>AR00SF1017</v>
      </c>
      <c r="S345" s="60" t="s">
        <v>580</v>
      </c>
      <c r="T345" s="42" t="s">
        <v>324</v>
      </c>
      <c r="U345" s="53" t="s">
        <v>324</v>
      </c>
      <c r="V345" t="s">
        <v>851</v>
      </c>
    </row>
    <row r="346" spans="1:22" x14ac:dyDescent="0.25">
      <c r="A346" s="56" t="s">
        <v>325</v>
      </c>
      <c r="B346" s="38" t="s">
        <v>413</v>
      </c>
      <c r="C346" s="10" t="s">
        <v>413</v>
      </c>
      <c r="D346" s="39" t="s">
        <v>376</v>
      </c>
      <c r="E346" s="16" t="s">
        <v>38</v>
      </c>
      <c r="F346" s="12">
        <v>337</v>
      </c>
      <c r="G346" s="16">
        <v>730</v>
      </c>
      <c r="H346" s="40" t="s">
        <v>315</v>
      </c>
      <c r="I346" s="40" t="s">
        <v>377</v>
      </c>
      <c r="J346" s="41" t="s">
        <v>317</v>
      </c>
      <c r="K346" s="41" t="s">
        <v>414</v>
      </c>
      <c r="L346" s="57" t="s">
        <v>319</v>
      </c>
      <c r="M346" s="58" t="str">
        <f>Tabla16[[#This Row],[ABR_02]]</f>
        <v>SF</v>
      </c>
      <c r="N346" t="s">
        <v>320</v>
      </c>
      <c r="O346" s="59" t="s">
        <v>334</v>
      </c>
      <c r="P346" t="s">
        <v>650</v>
      </c>
      <c r="Q346" t="s">
        <v>320</v>
      </c>
      <c r="R346" s="60" t="str">
        <f>_xlfn.CONCAT(Tabla16[[#This Row],[ABR_01]],"00",Tabla16[[#This Row],[ABR_02]],Tabla16[[#This Row],[ZONA2]],,"0",Tabla16[[#This Row],[PARADA2]])</f>
        <v>AR00SF1018</v>
      </c>
      <c r="S346" s="60" t="s">
        <v>580</v>
      </c>
      <c r="T346" s="42" t="s">
        <v>324</v>
      </c>
      <c r="U346" s="53" t="s">
        <v>324</v>
      </c>
      <c r="V346" t="s">
        <v>851</v>
      </c>
    </row>
    <row r="347" spans="1:22" x14ac:dyDescent="0.25">
      <c r="A347" s="56" t="s">
        <v>325</v>
      </c>
      <c r="B347" s="38" t="s">
        <v>415</v>
      </c>
      <c r="C347" s="44" t="s">
        <v>416</v>
      </c>
      <c r="D347" s="39" t="s">
        <v>376</v>
      </c>
      <c r="E347" s="16" t="s">
        <v>38</v>
      </c>
      <c r="F347" s="12">
        <v>337</v>
      </c>
      <c r="G347" s="16">
        <v>790</v>
      </c>
      <c r="H347" s="40" t="s">
        <v>315</v>
      </c>
      <c r="I347" s="40" t="s">
        <v>377</v>
      </c>
      <c r="J347" s="41" t="s">
        <v>317</v>
      </c>
      <c r="K347" s="41" t="s">
        <v>417</v>
      </c>
      <c r="L347" s="57" t="s">
        <v>319</v>
      </c>
      <c r="M347" s="58" t="str">
        <f>Tabla16[[#This Row],[ABR_02]]</f>
        <v>SF</v>
      </c>
      <c r="N347" t="s">
        <v>320</v>
      </c>
      <c r="O347" s="59" t="s">
        <v>334</v>
      </c>
      <c r="P347" t="s">
        <v>650</v>
      </c>
      <c r="Q347" t="s">
        <v>320</v>
      </c>
      <c r="R347" s="60" t="str">
        <f>_xlfn.CONCAT(Tabla16[[#This Row],[ABR_01]],"00",Tabla16[[#This Row],[ABR_02]],Tabla16[[#This Row],[ZONA2]],,"0",Tabla16[[#This Row],[PARADA2]])</f>
        <v>AR00SF1019</v>
      </c>
      <c r="S347" s="60" t="s">
        <v>580</v>
      </c>
      <c r="T347" s="42" t="s">
        <v>324</v>
      </c>
      <c r="U347" s="53" t="s">
        <v>324</v>
      </c>
      <c r="V347" t="s">
        <v>851</v>
      </c>
    </row>
    <row r="348" spans="1:22" x14ac:dyDescent="0.25">
      <c r="A348" s="56" t="s">
        <v>325</v>
      </c>
      <c r="B348" s="38" t="s">
        <v>418</v>
      </c>
      <c r="C348" s="10" t="s">
        <v>418</v>
      </c>
      <c r="D348" s="39" t="s">
        <v>376</v>
      </c>
      <c r="E348" s="16" t="s">
        <v>38</v>
      </c>
      <c r="F348" s="12">
        <v>337</v>
      </c>
      <c r="G348" s="16">
        <v>712</v>
      </c>
      <c r="H348" s="40" t="s">
        <v>315</v>
      </c>
      <c r="I348" s="40" t="s">
        <v>377</v>
      </c>
      <c r="J348" s="41" t="s">
        <v>317</v>
      </c>
      <c r="K348" s="41" t="s">
        <v>419</v>
      </c>
      <c r="L348" s="57" t="s">
        <v>319</v>
      </c>
      <c r="M348" s="58" t="str">
        <f>Tabla16[[#This Row],[ABR_02]]</f>
        <v>SF</v>
      </c>
      <c r="N348" t="s">
        <v>320</v>
      </c>
      <c r="O348" s="59" t="s">
        <v>334</v>
      </c>
      <c r="P348" t="s">
        <v>650</v>
      </c>
      <c r="Q348" t="s">
        <v>320</v>
      </c>
      <c r="R348" s="60" t="str">
        <f>_xlfn.CONCAT(Tabla16[[#This Row],[ABR_01]],"00",Tabla16[[#This Row],[ABR_02]],Tabla16[[#This Row],[ZONA2]],,"0",Tabla16[[#This Row],[PARADA2]])</f>
        <v>AR00SF1020</v>
      </c>
      <c r="S348" s="60" t="s">
        <v>580</v>
      </c>
      <c r="T348" s="42" t="s">
        <v>324</v>
      </c>
      <c r="U348" s="53" t="s">
        <v>324</v>
      </c>
      <c r="V348" t="s">
        <v>851</v>
      </c>
    </row>
    <row r="349" spans="1:22" x14ac:dyDescent="0.25">
      <c r="A349" s="56" t="s">
        <v>325</v>
      </c>
      <c r="B349" s="38" t="s">
        <v>420</v>
      </c>
      <c r="C349" s="44" t="s">
        <v>39</v>
      </c>
      <c r="D349" s="39" t="s">
        <v>376</v>
      </c>
      <c r="E349" s="16" t="s">
        <v>38</v>
      </c>
      <c r="F349" s="12">
        <v>337</v>
      </c>
      <c r="G349" s="16">
        <v>765</v>
      </c>
      <c r="H349" s="40" t="s">
        <v>315</v>
      </c>
      <c r="I349" s="40" t="s">
        <v>377</v>
      </c>
      <c r="J349" s="41" t="s">
        <v>317</v>
      </c>
      <c r="K349" s="41" t="s">
        <v>421</v>
      </c>
      <c r="L349" s="57" t="s">
        <v>319</v>
      </c>
      <c r="M349" s="58" t="str">
        <f>Tabla16[[#This Row],[ABR_02]]</f>
        <v>SF</v>
      </c>
      <c r="N349" t="s">
        <v>320</v>
      </c>
      <c r="O349" s="59" t="s">
        <v>334</v>
      </c>
      <c r="P349" t="s">
        <v>650</v>
      </c>
      <c r="Q349" t="s">
        <v>320</v>
      </c>
      <c r="R349" s="60" t="str">
        <f>_xlfn.CONCAT(Tabla16[[#This Row],[ABR_01]],"00",Tabla16[[#This Row],[ABR_02]],Tabla16[[#This Row],[ZONA2]],,"0",Tabla16[[#This Row],[PARADA2]])</f>
        <v>AR00SF1021</v>
      </c>
      <c r="S349" s="60" t="s">
        <v>580</v>
      </c>
      <c r="T349" s="42" t="s">
        <v>324</v>
      </c>
      <c r="U349" s="53" t="s">
        <v>324</v>
      </c>
      <c r="V349" t="s">
        <v>851</v>
      </c>
    </row>
    <row r="350" spans="1:22" x14ac:dyDescent="0.25">
      <c r="A350" s="56" t="s">
        <v>325</v>
      </c>
      <c r="B350" s="38" t="s">
        <v>422</v>
      </c>
      <c r="C350" s="10" t="s">
        <v>422</v>
      </c>
      <c r="D350" s="39" t="s">
        <v>376</v>
      </c>
      <c r="E350" s="16" t="s">
        <v>38</v>
      </c>
      <c r="F350" s="12">
        <v>337</v>
      </c>
      <c r="G350" s="16">
        <v>337</v>
      </c>
      <c r="H350" s="40" t="s">
        <v>315</v>
      </c>
      <c r="I350" s="40" t="s">
        <v>377</v>
      </c>
      <c r="J350" s="41" t="s">
        <v>317</v>
      </c>
      <c r="K350" s="41" t="s">
        <v>423</v>
      </c>
      <c r="L350" s="57" t="s">
        <v>319</v>
      </c>
      <c r="M350" s="58" t="str">
        <f>Tabla16[[#This Row],[ABR_02]]</f>
        <v>SF</v>
      </c>
      <c r="N350" t="s">
        <v>320</v>
      </c>
      <c r="O350" s="59" t="s">
        <v>334</v>
      </c>
      <c r="P350" t="s">
        <v>650</v>
      </c>
      <c r="Q350" t="s">
        <v>320</v>
      </c>
      <c r="R350" s="60" t="str">
        <f>_xlfn.CONCAT(Tabla16[[#This Row],[ABR_01]],"00",Tabla16[[#This Row],[ABR_02]],Tabla16[[#This Row],[ZONA2]],,"0",Tabla16[[#This Row],[PARADA2]])</f>
        <v>AR00SF1022</v>
      </c>
      <c r="S350" s="60" t="s">
        <v>580</v>
      </c>
      <c r="T350" s="42" t="s">
        <v>324</v>
      </c>
      <c r="U350" s="53" t="s">
        <v>324</v>
      </c>
      <c r="V350" t="s">
        <v>851</v>
      </c>
    </row>
    <row r="351" spans="1:22" x14ac:dyDescent="0.25">
      <c r="A351" s="56" t="s">
        <v>325</v>
      </c>
      <c r="B351" s="38" t="s">
        <v>424</v>
      </c>
      <c r="C351" s="10" t="s">
        <v>425</v>
      </c>
      <c r="D351" s="39" t="s">
        <v>376</v>
      </c>
      <c r="E351" s="16" t="s">
        <v>38</v>
      </c>
      <c r="F351" s="12">
        <v>337</v>
      </c>
      <c r="G351" s="16">
        <v>770</v>
      </c>
      <c r="H351" s="40" t="s">
        <v>315</v>
      </c>
      <c r="I351" s="40" t="s">
        <v>377</v>
      </c>
      <c r="J351" s="41" t="s">
        <v>317</v>
      </c>
      <c r="K351" s="41" t="s">
        <v>426</v>
      </c>
      <c r="L351" s="57" t="s">
        <v>319</v>
      </c>
      <c r="M351" s="58" t="str">
        <f>Tabla16[[#This Row],[ABR_02]]</f>
        <v>SF</v>
      </c>
      <c r="N351" t="s">
        <v>320</v>
      </c>
      <c r="O351" s="59" t="s">
        <v>334</v>
      </c>
      <c r="P351" t="s">
        <v>650</v>
      </c>
      <c r="Q351" t="s">
        <v>320</v>
      </c>
      <c r="R351" s="60" t="str">
        <f>_xlfn.CONCAT(Tabla16[[#This Row],[ABR_01]],"00",Tabla16[[#This Row],[ABR_02]],Tabla16[[#This Row],[ZONA2]],,"0",Tabla16[[#This Row],[PARADA2]])</f>
        <v>AR00SF1023</v>
      </c>
      <c r="S351" s="60" t="s">
        <v>580</v>
      </c>
      <c r="T351" s="42" t="s">
        <v>324</v>
      </c>
      <c r="U351" s="53" t="s">
        <v>324</v>
      </c>
      <c r="V351" t="s">
        <v>851</v>
      </c>
    </row>
    <row r="352" spans="1:22" x14ac:dyDescent="0.25">
      <c r="A352" s="56" t="s">
        <v>325</v>
      </c>
      <c r="B352" s="38" t="s">
        <v>427</v>
      </c>
      <c r="C352" s="44" t="s">
        <v>164</v>
      </c>
      <c r="D352" s="39" t="s">
        <v>376</v>
      </c>
      <c r="E352" s="16" t="s">
        <v>38</v>
      </c>
      <c r="F352" s="12">
        <v>337</v>
      </c>
      <c r="G352" s="16">
        <v>740</v>
      </c>
      <c r="H352" s="40" t="s">
        <v>315</v>
      </c>
      <c r="I352" s="40" t="s">
        <v>377</v>
      </c>
      <c r="J352" s="41" t="s">
        <v>317</v>
      </c>
      <c r="K352" s="41" t="s">
        <v>428</v>
      </c>
      <c r="L352" s="57" t="s">
        <v>319</v>
      </c>
      <c r="M352" s="58" t="str">
        <f>Tabla16[[#This Row],[ABR_02]]</f>
        <v>SF</v>
      </c>
      <c r="N352" t="s">
        <v>320</v>
      </c>
      <c r="O352" s="59" t="s">
        <v>334</v>
      </c>
      <c r="P352" t="s">
        <v>650</v>
      </c>
      <c r="Q352" t="s">
        <v>320</v>
      </c>
      <c r="R352" s="60" t="str">
        <f>_xlfn.CONCAT(Tabla16[[#This Row],[ABR_01]],"00",Tabla16[[#This Row],[ABR_02]],Tabla16[[#This Row],[ZONA2]],,"0",Tabla16[[#This Row],[PARADA2]])</f>
        <v>AR00SF1024</v>
      </c>
      <c r="S352" s="60" t="s">
        <v>580</v>
      </c>
      <c r="T352" s="42" t="s">
        <v>324</v>
      </c>
      <c r="U352" s="53" t="s">
        <v>324</v>
      </c>
      <c r="V352" t="s">
        <v>851</v>
      </c>
    </row>
    <row r="353" spans="1:22" x14ac:dyDescent="0.25">
      <c r="A353" s="56" t="s">
        <v>325</v>
      </c>
      <c r="B353" s="38" t="s">
        <v>429</v>
      </c>
      <c r="C353" s="10" t="s">
        <v>429</v>
      </c>
      <c r="D353" s="39" t="s">
        <v>376</v>
      </c>
      <c r="E353" s="16" t="s">
        <v>38</v>
      </c>
      <c r="F353" s="12">
        <v>337</v>
      </c>
      <c r="G353" s="16">
        <v>702</v>
      </c>
      <c r="H353" s="40" t="s">
        <v>315</v>
      </c>
      <c r="I353" s="40" t="s">
        <v>377</v>
      </c>
      <c r="J353" s="41" t="s">
        <v>317</v>
      </c>
      <c r="K353" s="41" t="s">
        <v>430</v>
      </c>
      <c r="L353" s="57" t="s">
        <v>319</v>
      </c>
      <c r="M353" s="58" t="str">
        <f>Tabla16[[#This Row],[ABR_02]]</f>
        <v>SF</v>
      </c>
      <c r="N353" t="s">
        <v>320</v>
      </c>
      <c r="O353" s="59" t="s">
        <v>334</v>
      </c>
      <c r="P353" t="s">
        <v>650</v>
      </c>
      <c r="Q353" t="s">
        <v>320</v>
      </c>
      <c r="R353" s="60" t="str">
        <f>_xlfn.CONCAT(Tabla16[[#This Row],[ABR_01]],"00",Tabla16[[#This Row],[ABR_02]],Tabla16[[#This Row],[ZONA2]],,"0",Tabla16[[#This Row],[PARADA2]])</f>
        <v>AR00SF1025</v>
      </c>
      <c r="S353" s="60" t="s">
        <v>580</v>
      </c>
      <c r="T353" s="42" t="s">
        <v>324</v>
      </c>
      <c r="U353" s="53" t="s">
        <v>324</v>
      </c>
      <c r="V353" t="s">
        <v>851</v>
      </c>
    </row>
    <row r="354" spans="1:22" x14ac:dyDescent="0.25">
      <c r="A354" s="56" t="s">
        <v>325</v>
      </c>
      <c r="B354" s="38" t="s">
        <v>371</v>
      </c>
      <c r="C354" s="10" t="s">
        <v>371</v>
      </c>
      <c r="D354" s="39" t="s">
        <v>372</v>
      </c>
      <c r="E354" s="16" t="s">
        <v>42</v>
      </c>
      <c r="F354" s="12">
        <v>359</v>
      </c>
      <c r="G354" s="16">
        <v>435</v>
      </c>
      <c r="H354" s="40" t="s">
        <v>315</v>
      </c>
      <c r="I354" s="40" t="s">
        <v>373</v>
      </c>
      <c r="J354" s="41" t="s">
        <v>317</v>
      </c>
      <c r="K354" s="41" t="s">
        <v>318</v>
      </c>
      <c r="L354" s="57" t="s">
        <v>319</v>
      </c>
      <c r="M354" s="58" t="str">
        <f>Tabla16[[#This Row],[ABR_02]]</f>
        <v>SE</v>
      </c>
      <c r="N354" t="s">
        <v>320</v>
      </c>
      <c r="O354" s="59" t="s">
        <v>318</v>
      </c>
      <c r="P354" t="s">
        <v>321</v>
      </c>
      <c r="Q354" t="s">
        <v>328</v>
      </c>
      <c r="R354" s="60" t="str">
        <f>_xlfn.CONCAT(Tabla16[[#This Row],[ABR_01]],"00",Tabla16[[#This Row],[ABR_02]],Tabla16[[#This Row],[ZONA2]],,"0",Tabla16[[#This Row],[PARADA2]])</f>
        <v>AR00SE1001</v>
      </c>
      <c r="S354" s="60" t="s">
        <v>329</v>
      </c>
      <c r="T354" s="42" t="s">
        <v>324</v>
      </c>
      <c r="U354" s="42" t="s">
        <v>324</v>
      </c>
      <c r="V354" t="s">
        <v>850</v>
      </c>
    </row>
    <row r="355" spans="1:22" x14ac:dyDescent="0.25">
      <c r="A355" s="56" t="s">
        <v>325</v>
      </c>
      <c r="B355" s="38" t="s">
        <v>374</v>
      </c>
      <c r="C355" s="44" t="s">
        <v>154</v>
      </c>
      <c r="D355" s="39" t="s">
        <v>372</v>
      </c>
      <c r="E355" s="16" t="s">
        <v>42</v>
      </c>
      <c r="F355" s="12">
        <v>359</v>
      </c>
      <c r="G355" s="16">
        <v>430</v>
      </c>
      <c r="H355" s="40" t="s">
        <v>315</v>
      </c>
      <c r="I355" s="40" t="s">
        <v>373</v>
      </c>
      <c r="J355" s="41" t="s">
        <v>317</v>
      </c>
      <c r="K355" s="41" t="s">
        <v>331</v>
      </c>
      <c r="L355" s="57" t="s">
        <v>319</v>
      </c>
      <c r="M355" s="58" t="str">
        <f>Tabla16[[#This Row],[ABR_02]]</f>
        <v>SE</v>
      </c>
      <c r="N355" t="s">
        <v>320</v>
      </c>
      <c r="O355" s="59" t="s">
        <v>318</v>
      </c>
      <c r="P355" t="s">
        <v>321</v>
      </c>
      <c r="Q355" t="s">
        <v>328</v>
      </c>
      <c r="R355" s="60" t="str">
        <f>_xlfn.CONCAT(Tabla16[[#This Row],[ABR_01]],"00",Tabla16[[#This Row],[ABR_02]],Tabla16[[#This Row],[ZONA2]],,"0",Tabla16[[#This Row],[PARADA2]])</f>
        <v>AR00SE1002</v>
      </c>
      <c r="S355" s="60" t="s">
        <v>329</v>
      </c>
      <c r="T355" s="42" t="s">
        <v>324</v>
      </c>
      <c r="U355" s="42" t="s">
        <v>324</v>
      </c>
      <c r="V355" t="s">
        <v>850</v>
      </c>
    </row>
    <row r="356" spans="1:22" x14ac:dyDescent="0.25">
      <c r="A356" s="56" t="s">
        <v>325</v>
      </c>
      <c r="B356" s="38" t="s">
        <v>371</v>
      </c>
      <c r="C356" s="10" t="s">
        <v>371</v>
      </c>
      <c r="D356" s="39" t="s">
        <v>372</v>
      </c>
      <c r="E356" s="16" t="s">
        <v>42</v>
      </c>
      <c r="F356" s="12">
        <v>359</v>
      </c>
      <c r="G356" s="16">
        <v>435</v>
      </c>
      <c r="H356" s="40" t="s">
        <v>315</v>
      </c>
      <c r="I356" s="40" t="s">
        <v>373</v>
      </c>
      <c r="J356" s="41" t="s">
        <v>317</v>
      </c>
      <c r="K356" s="41" t="s">
        <v>318</v>
      </c>
      <c r="L356" s="57" t="s">
        <v>319</v>
      </c>
      <c r="M356" s="58" t="str">
        <f>Tabla16[[#This Row],[ABR_02]]</f>
        <v>SE</v>
      </c>
      <c r="N356" t="s">
        <v>320</v>
      </c>
      <c r="O356" s="59" t="s">
        <v>334</v>
      </c>
      <c r="P356" t="s">
        <v>650</v>
      </c>
      <c r="Q356" t="s">
        <v>651</v>
      </c>
      <c r="R356" s="60" t="str">
        <f>_xlfn.CONCAT(Tabla16[[#This Row],[ABR_01]],"00",Tabla16[[#This Row],[ABR_02]],Tabla16[[#This Row],[ZONA2]],,"0",Tabla16[[#This Row],[PARADA2]])</f>
        <v>AR00SE1001</v>
      </c>
      <c r="S356" s="60" t="s">
        <v>652</v>
      </c>
      <c r="T356" s="42" t="s">
        <v>324</v>
      </c>
      <c r="U356" s="53" t="s">
        <v>324</v>
      </c>
      <c r="V356" t="s">
        <v>851</v>
      </c>
    </row>
    <row r="357" spans="1:22" x14ac:dyDescent="0.25">
      <c r="A357" s="56" t="s">
        <v>325</v>
      </c>
      <c r="B357" s="38" t="s">
        <v>374</v>
      </c>
      <c r="C357" s="44" t="s">
        <v>154</v>
      </c>
      <c r="D357" s="39" t="s">
        <v>372</v>
      </c>
      <c r="E357" s="16" t="s">
        <v>42</v>
      </c>
      <c r="F357" s="12">
        <v>359</v>
      </c>
      <c r="G357" s="16">
        <v>430</v>
      </c>
      <c r="H357" s="40" t="s">
        <v>315</v>
      </c>
      <c r="I357" s="40" t="s">
        <v>373</v>
      </c>
      <c r="J357" s="41" t="s">
        <v>317</v>
      </c>
      <c r="K357" s="41" t="s">
        <v>331</v>
      </c>
      <c r="L357" s="57" t="s">
        <v>319</v>
      </c>
      <c r="M357" s="58" t="str">
        <f>Tabla16[[#This Row],[ABR_02]]</f>
        <v>SE</v>
      </c>
      <c r="N357" t="s">
        <v>320</v>
      </c>
      <c r="O357" s="59" t="s">
        <v>334</v>
      </c>
      <c r="P357" t="s">
        <v>650</v>
      </c>
      <c r="Q357" t="s">
        <v>651</v>
      </c>
      <c r="R357" s="60" t="str">
        <f>_xlfn.CONCAT(Tabla16[[#This Row],[ABR_01]],"00",Tabla16[[#This Row],[ABR_02]],Tabla16[[#This Row],[ZONA2]],,"0",Tabla16[[#This Row],[PARADA2]])</f>
        <v>AR00SE1002</v>
      </c>
      <c r="S357" s="60" t="s">
        <v>652</v>
      </c>
      <c r="T357" s="42" t="s">
        <v>324</v>
      </c>
      <c r="U357" s="53" t="s">
        <v>324</v>
      </c>
      <c r="V357" t="s">
        <v>851</v>
      </c>
    </row>
    <row r="358" spans="1:22" x14ac:dyDescent="0.25">
      <c r="A358" s="56" t="s">
        <v>325</v>
      </c>
      <c r="B358" s="38" t="s">
        <v>367</v>
      </c>
      <c r="C358" s="44" t="s">
        <v>124</v>
      </c>
      <c r="D358" s="39" t="s">
        <v>368</v>
      </c>
      <c r="E358" s="16" t="s">
        <v>34</v>
      </c>
      <c r="F358" s="12">
        <v>357</v>
      </c>
      <c r="G358" s="16">
        <v>995</v>
      </c>
      <c r="H358" s="40" t="s">
        <v>315</v>
      </c>
      <c r="I358" s="40" t="s">
        <v>369</v>
      </c>
      <c r="J358" s="41" t="s">
        <v>317</v>
      </c>
      <c r="K358" s="41" t="s">
        <v>318</v>
      </c>
      <c r="L358" s="57" t="s">
        <v>319</v>
      </c>
      <c r="M358" s="58" t="str">
        <f>Tabla16[[#This Row],[ABR_02]]</f>
        <v>TF</v>
      </c>
      <c r="N358" t="s">
        <v>320</v>
      </c>
      <c r="O358" s="59" t="s">
        <v>318</v>
      </c>
      <c r="P358" t="s">
        <v>321</v>
      </c>
      <c r="Q358" t="s">
        <v>338</v>
      </c>
      <c r="R358" s="60" t="str">
        <f>_xlfn.CONCAT(Tabla16[[#This Row],[ABR_01]],"00",Tabla16[[#This Row],[ABR_02]],Tabla16[[#This Row],[ZONA2]],,"0",Tabla16[[#This Row],[PARADA2]])</f>
        <v>AR00TF1001</v>
      </c>
      <c r="S358" s="60" t="s">
        <v>339</v>
      </c>
      <c r="T358" s="42" t="s">
        <v>324</v>
      </c>
      <c r="U358" s="42" t="s">
        <v>324</v>
      </c>
      <c r="V358" t="s">
        <v>850</v>
      </c>
    </row>
    <row r="359" spans="1:22" x14ac:dyDescent="0.25">
      <c r="A359" s="56" t="s">
        <v>325</v>
      </c>
      <c r="B359" s="38" t="s">
        <v>370</v>
      </c>
      <c r="C359" s="44" t="s">
        <v>162</v>
      </c>
      <c r="D359" s="39" t="s">
        <v>368</v>
      </c>
      <c r="E359" s="16" t="s">
        <v>34</v>
      </c>
      <c r="F359" s="12">
        <v>357</v>
      </c>
      <c r="G359" s="16">
        <v>990</v>
      </c>
      <c r="H359" s="40" t="s">
        <v>315</v>
      </c>
      <c r="I359" s="40" t="s">
        <v>369</v>
      </c>
      <c r="J359" s="41" t="s">
        <v>317</v>
      </c>
      <c r="K359" s="41" t="s">
        <v>331</v>
      </c>
      <c r="L359" s="57" t="s">
        <v>319</v>
      </c>
      <c r="M359" s="58" t="str">
        <f>Tabla16[[#This Row],[ABR_02]]</f>
        <v>TF</v>
      </c>
      <c r="N359" t="s">
        <v>320</v>
      </c>
      <c r="O359" s="59" t="s">
        <v>318</v>
      </c>
      <c r="P359" t="s">
        <v>321</v>
      </c>
      <c r="Q359" t="s">
        <v>338</v>
      </c>
      <c r="R359" s="60" t="str">
        <f>_xlfn.CONCAT(Tabla16[[#This Row],[ABR_01]],"00",Tabla16[[#This Row],[ABR_02]],Tabla16[[#This Row],[ZONA2]],,"0",Tabla16[[#This Row],[PARADA2]])</f>
        <v>AR00TF1002</v>
      </c>
      <c r="S359" s="60" t="s">
        <v>339</v>
      </c>
      <c r="T359" s="42" t="s">
        <v>324</v>
      </c>
      <c r="U359" s="42" t="s">
        <v>324</v>
      </c>
      <c r="V359" t="s">
        <v>850</v>
      </c>
    </row>
    <row r="360" spans="1:22" x14ac:dyDescent="0.25">
      <c r="A360" s="56" t="s">
        <v>325</v>
      </c>
      <c r="B360" s="38" t="s">
        <v>367</v>
      </c>
      <c r="C360" s="44" t="s">
        <v>124</v>
      </c>
      <c r="D360" s="39" t="s">
        <v>368</v>
      </c>
      <c r="E360" s="16" t="s">
        <v>34</v>
      </c>
      <c r="F360" s="12">
        <v>357</v>
      </c>
      <c r="G360" s="16">
        <v>995</v>
      </c>
      <c r="H360" s="40" t="s">
        <v>315</v>
      </c>
      <c r="I360" s="40" t="s">
        <v>369</v>
      </c>
      <c r="J360" s="41" t="s">
        <v>317</v>
      </c>
      <c r="K360" s="41" t="s">
        <v>318</v>
      </c>
      <c r="L360" s="57" t="s">
        <v>319</v>
      </c>
      <c r="M360" s="58" t="str">
        <f>Tabla16[[#This Row],[ABR_02]]</f>
        <v>TF</v>
      </c>
      <c r="N360" t="s">
        <v>320</v>
      </c>
      <c r="O360" s="59" t="s">
        <v>334</v>
      </c>
      <c r="P360" t="s">
        <v>650</v>
      </c>
      <c r="Q360" t="s">
        <v>651</v>
      </c>
      <c r="R360" s="60" t="str">
        <f>_xlfn.CONCAT(Tabla16[[#This Row],[ABR_01]],"00",Tabla16[[#This Row],[ABR_02]],Tabla16[[#This Row],[ZONA2]],,"0",Tabla16[[#This Row],[PARADA2]])</f>
        <v>AR00TF1001</v>
      </c>
      <c r="S360" s="60" t="s">
        <v>652</v>
      </c>
      <c r="T360" s="42" t="s">
        <v>324</v>
      </c>
      <c r="U360" s="53" t="s">
        <v>324</v>
      </c>
      <c r="V360" t="s">
        <v>851</v>
      </c>
    </row>
    <row r="361" spans="1:22" x14ac:dyDescent="0.25">
      <c r="A361" s="56" t="s">
        <v>325</v>
      </c>
      <c r="B361" s="38" t="s">
        <v>370</v>
      </c>
      <c r="C361" s="44" t="s">
        <v>162</v>
      </c>
      <c r="D361" s="39" t="s">
        <v>368</v>
      </c>
      <c r="E361" s="16" t="s">
        <v>34</v>
      </c>
      <c r="F361" s="12">
        <v>357</v>
      </c>
      <c r="G361" s="16">
        <v>990</v>
      </c>
      <c r="H361" s="40" t="s">
        <v>315</v>
      </c>
      <c r="I361" s="40" t="s">
        <v>369</v>
      </c>
      <c r="J361" s="41" t="s">
        <v>317</v>
      </c>
      <c r="K361" s="41" t="s">
        <v>331</v>
      </c>
      <c r="L361" s="57" t="s">
        <v>319</v>
      </c>
      <c r="M361" s="58" t="str">
        <f>Tabla16[[#This Row],[ABR_02]]</f>
        <v>TF</v>
      </c>
      <c r="N361" t="s">
        <v>320</v>
      </c>
      <c r="O361" s="59" t="s">
        <v>334</v>
      </c>
      <c r="P361" t="s">
        <v>650</v>
      </c>
      <c r="Q361" t="s">
        <v>651</v>
      </c>
      <c r="R361" s="60" t="str">
        <f>_xlfn.CONCAT(Tabla16[[#This Row],[ABR_01]],"00",Tabla16[[#This Row],[ABR_02]],Tabla16[[#This Row],[ZONA2]],,"0",Tabla16[[#This Row],[PARADA2]])</f>
        <v>AR00TF1002</v>
      </c>
      <c r="S361" s="60" t="s">
        <v>652</v>
      </c>
      <c r="T361" s="42" t="s">
        <v>324</v>
      </c>
      <c r="U361" s="53" t="s">
        <v>324</v>
      </c>
      <c r="V361" t="s">
        <v>851</v>
      </c>
    </row>
    <row r="362" spans="1:22" x14ac:dyDescent="0.25">
      <c r="A362" s="56" t="s">
        <v>325</v>
      </c>
      <c r="B362" s="38" t="s">
        <v>359</v>
      </c>
      <c r="C362" s="10" t="s">
        <v>359</v>
      </c>
      <c r="D362" s="39" t="s">
        <v>360</v>
      </c>
      <c r="E362" s="16" t="s">
        <v>42</v>
      </c>
      <c r="F362" s="12">
        <v>337</v>
      </c>
      <c r="G362" s="16">
        <v>415</v>
      </c>
      <c r="H362" s="40" t="s">
        <v>315</v>
      </c>
      <c r="I362" s="40" t="s">
        <v>361</v>
      </c>
      <c r="J362" s="41" t="s">
        <v>317</v>
      </c>
      <c r="K362" s="41" t="s">
        <v>318</v>
      </c>
      <c r="L362" s="57" t="s">
        <v>319</v>
      </c>
      <c r="M362" s="58" t="str">
        <f>Tabla16[[#This Row],[ABR_02]]</f>
        <v>TU</v>
      </c>
      <c r="N362" t="s">
        <v>320</v>
      </c>
      <c r="O362" s="59" t="s">
        <v>318</v>
      </c>
      <c r="P362" t="s">
        <v>321</v>
      </c>
      <c r="Q362" t="s">
        <v>328</v>
      </c>
      <c r="R362" s="60" t="str">
        <f>_xlfn.CONCAT(Tabla16[[#This Row],[ABR_01]],"00",Tabla16[[#This Row],[ABR_02]],Tabla16[[#This Row],[ZONA2]],,"0",Tabla16[[#This Row],[PARADA2]])</f>
        <v>AR00TU1001</v>
      </c>
      <c r="S362" s="60" t="s">
        <v>329</v>
      </c>
      <c r="T362" s="42" t="s">
        <v>324</v>
      </c>
      <c r="U362" s="42" t="s">
        <v>324</v>
      </c>
      <c r="V362" t="s">
        <v>850</v>
      </c>
    </row>
    <row r="363" spans="1:22" x14ac:dyDescent="0.25">
      <c r="A363" s="56" t="s">
        <v>325</v>
      </c>
      <c r="B363" s="38" t="s">
        <v>362</v>
      </c>
      <c r="C363" s="10" t="s">
        <v>362</v>
      </c>
      <c r="D363" s="39" t="s">
        <v>360</v>
      </c>
      <c r="E363" s="16" t="s">
        <v>42</v>
      </c>
      <c r="F363" s="12">
        <v>353</v>
      </c>
      <c r="G363" s="16">
        <v>410</v>
      </c>
      <c r="H363" s="40" t="s">
        <v>315</v>
      </c>
      <c r="I363" s="40" t="s">
        <v>361</v>
      </c>
      <c r="J363" s="41" t="s">
        <v>317</v>
      </c>
      <c r="K363" s="41" t="s">
        <v>331</v>
      </c>
      <c r="L363" s="57" t="s">
        <v>319</v>
      </c>
      <c r="M363" s="58" t="str">
        <f>Tabla16[[#This Row],[ABR_02]]</f>
        <v>TU</v>
      </c>
      <c r="N363" t="s">
        <v>320</v>
      </c>
      <c r="O363" s="59" t="s">
        <v>318</v>
      </c>
      <c r="P363" t="s">
        <v>321</v>
      </c>
      <c r="Q363" t="s">
        <v>328</v>
      </c>
      <c r="R363" s="60" t="str">
        <f>_xlfn.CONCAT(Tabla16[[#This Row],[ABR_01]],"00",Tabla16[[#This Row],[ABR_02]],Tabla16[[#This Row],[ZONA2]],,"0",Tabla16[[#This Row],[PARADA2]])</f>
        <v>AR00TU1002</v>
      </c>
      <c r="S363" s="60" t="s">
        <v>329</v>
      </c>
      <c r="T363" s="42" t="s">
        <v>324</v>
      </c>
      <c r="U363" s="42" t="s">
        <v>324</v>
      </c>
      <c r="V363" t="s">
        <v>850</v>
      </c>
    </row>
    <row r="364" spans="1:22" x14ac:dyDescent="0.25">
      <c r="A364" s="56" t="s">
        <v>325</v>
      </c>
      <c r="B364" s="38" t="s">
        <v>363</v>
      </c>
      <c r="C364" s="10" t="s">
        <v>363</v>
      </c>
      <c r="D364" s="39" t="s">
        <v>360</v>
      </c>
      <c r="E364" s="16" t="s">
        <v>42</v>
      </c>
      <c r="F364" s="12">
        <v>353</v>
      </c>
      <c r="G364" s="16">
        <v>420</v>
      </c>
      <c r="H364" s="40" t="s">
        <v>315</v>
      </c>
      <c r="I364" s="40" t="s">
        <v>361</v>
      </c>
      <c r="J364" s="41" t="s">
        <v>317</v>
      </c>
      <c r="K364" s="41" t="s">
        <v>332</v>
      </c>
      <c r="L364" s="57" t="s">
        <v>319</v>
      </c>
      <c r="M364" s="58" t="str">
        <f>Tabla16[[#This Row],[ABR_02]]</f>
        <v>TU</v>
      </c>
      <c r="N364" t="s">
        <v>320</v>
      </c>
      <c r="O364" s="59" t="s">
        <v>318</v>
      </c>
      <c r="P364" t="s">
        <v>321</v>
      </c>
      <c r="Q364" t="s">
        <v>328</v>
      </c>
      <c r="R364" s="60" t="str">
        <f>_xlfn.CONCAT(Tabla16[[#This Row],[ABR_01]],"00",Tabla16[[#This Row],[ABR_02]],Tabla16[[#This Row],[ZONA2]],,"0",Tabla16[[#This Row],[PARADA2]])</f>
        <v>AR00TU1003</v>
      </c>
      <c r="S364" s="60" t="s">
        <v>329</v>
      </c>
      <c r="T364" s="42" t="s">
        <v>324</v>
      </c>
      <c r="U364" s="42" t="s">
        <v>324</v>
      </c>
      <c r="V364" t="s">
        <v>850</v>
      </c>
    </row>
    <row r="365" spans="1:22" x14ac:dyDescent="0.25">
      <c r="A365" s="56" t="s">
        <v>325</v>
      </c>
      <c r="B365" s="38" t="s">
        <v>364</v>
      </c>
      <c r="C365" s="10" t="s">
        <v>364</v>
      </c>
      <c r="D365" s="39" t="s">
        <v>360</v>
      </c>
      <c r="E365" s="16" t="s">
        <v>42</v>
      </c>
      <c r="F365" s="12">
        <v>353</v>
      </c>
      <c r="G365" s="16">
        <v>405</v>
      </c>
      <c r="H365" s="40" t="s">
        <v>315</v>
      </c>
      <c r="I365" s="40" t="s">
        <v>361</v>
      </c>
      <c r="J365" s="41" t="s">
        <v>317</v>
      </c>
      <c r="K365" s="41" t="s">
        <v>334</v>
      </c>
      <c r="L365" s="57" t="s">
        <v>319</v>
      </c>
      <c r="M365" s="58" t="str">
        <f>Tabla16[[#This Row],[ABR_02]]</f>
        <v>TU</v>
      </c>
      <c r="N365" t="s">
        <v>320</v>
      </c>
      <c r="O365" s="59" t="s">
        <v>318</v>
      </c>
      <c r="P365" t="s">
        <v>321</v>
      </c>
      <c r="Q365" t="s">
        <v>328</v>
      </c>
      <c r="R365" s="60" t="str">
        <f>_xlfn.CONCAT(Tabla16[[#This Row],[ABR_01]],"00",Tabla16[[#This Row],[ABR_02]],Tabla16[[#This Row],[ZONA2]],,"0",Tabla16[[#This Row],[PARADA2]])</f>
        <v>AR00TU1004</v>
      </c>
      <c r="S365" s="60" t="s">
        <v>329</v>
      </c>
      <c r="T365" s="42" t="s">
        <v>324</v>
      </c>
      <c r="U365" s="42" t="s">
        <v>324</v>
      </c>
      <c r="V365" t="s">
        <v>850</v>
      </c>
    </row>
    <row r="366" spans="1:22" x14ac:dyDescent="0.25">
      <c r="A366" s="56" t="s">
        <v>325</v>
      </c>
      <c r="B366" s="38" t="s">
        <v>365</v>
      </c>
      <c r="C366" s="44" t="s">
        <v>144</v>
      </c>
      <c r="D366" s="39" t="s">
        <v>360</v>
      </c>
      <c r="E366" s="16" t="s">
        <v>42</v>
      </c>
      <c r="F366" s="12">
        <v>353</v>
      </c>
      <c r="G366" s="16">
        <v>400</v>
      </c>
      <c r="H366" s="40" t="s">
        <v>315</v>
      </c>
      <c r="I366" s="40" t="s">
        <v>361</v>
      </c>
      <c r="J366" s="41" t="s">
        <v>317</v>
      </c>
      <c r="K366" s="41" t="s">
        <v>344</v>
      </c>
      <c r="L366" s="57" t="s">
        <v>319</v>
      </c>
      <c r="M366" s="58" t="str">
        <f>Tabla16[[#This Row],[ABR_02]]</f>
        <v>TU</v>
      </c>
      <c r="N366" t="s">
        <v>320</v>
      </c>
      <c r="O366" s="59" t="s">
        <v>318</v>
      </c>
      <c r="P366" t="s">
        <v>321</v>
      </c>
      <c r="Q366" t="s">
        <v>328</v>
      </c>
      <c r="R366" s="60" t="str">
        <f>_xlfn.CONCAT(Tabla16[[#This Row],[ABR_01]],"00",Tabla16[[#This Row],[ABR_02]],Tabla16[[#This Row],[ZONA2]],,"0",Tabla16[[#This Row],[PARADA2]])</f>
        <v>AR00TU1005</v>
      </c>
      <c r="S366" s="60" t="s">
        <v>329</v>
      </c>
      <c r="T366" s="42" t="s">
        <v>324</v>
      </c>
      <c r="U366" s="42" t="s">
        <v>324</v>
      </c>
      <c r="V366" t="s">
        <v>850</v>
      </c>
    </row>
    <row r="367" spans="1:22" x14ac:dyDescent="0.25">
      <c r="A367" s="56" t="s">
        <v>325</v>
      </c>
      <c r="B367" s="38" t="s">
        <v>366</v>
      </c>
      <c r="C367" s="38" t="s">
        <v>366</v>
      </c>
      <c r="D367" s="39" t="s">
        <v>360</v>
      </c>
      <c r="E367" s="16" t="s">
        <v>42</v>
      </c>
      <c r="F367" s="12">
        <v>353</v>
      </c>
      <c r="G367" s="16">
        <v>425</v>
      </c>
      <c r="H367" s="40" t="s">
        <v>315</v>
      </c>
      <c r="I367" s="40" t="s">
        <v>361</v>
      </c>
      <c r="J367" s="41" t="s">
        <v>317</v>
      </c>
      <c r="K367" s="41" t="s">
        <v>345</v>
      </c>
      <c r="L367" s="57" t="s">
        <v>319</v>
      </c>
      <c r="M367" s="58" t="str">
        <f>Tabla16[[#This Row],[ABR_02]]</f>
        <v>TU</v>
      </c>
      <c r="N367" t="s">
        <v>320</v>
      </c>
      <c r="O367" s="59" t="s">
        <v>318</v>
      </c>
      <c r="P367" t="s">
        <v>321</v>
      </c>
      <c r="Q367" t="s">
        <v>328</v>
      </c>
      <c r="R367" s="60" t="str">
        <f>_xlfn.CONCAT(Tabla16[[#This Row],[ABR_01]],"00",Tabla16[[#This Row],[ABR_02]],Tabla16[[#This Row],[ZONA2]],,"0",Tabla16[[#This Row],[PARADA2]])</f>
        <v>AR00TU1006</v>
      </c>
      <c r="S367" s="60" t="s">
        <v>329</v>
      </c>
      <c r="T367" s="42" t="s">
        <v>324</v>
      </c>
      <c r="U367" s="42" t="s">
        <v>324</v>
      </c>
      <c r="V367" t="s">
        <v>850</v>
      </c>
    </row>
    <row r="368" spans="1:22" x14ac:dyDescent="0.25">
      <c r="A368" s="56" t="s">
        <v>325</v>
      </c>
      <c r="B368" s="38" t="s">
        <v>359</v>
      </c>
      <c r="C368" s="10" t="s">
        <v>359</v>
      </c>
      <c r="D368" s="39" t="s">
        <v>360</v>
      </c>
      <c r="E368" s="16" t="s">
        <v>42</v>
      </c>
      <c r="F368" s="12">
        <v>337</v>
      </c>
      <c r="G368" s="16">
        <v>415</v>
      </c>
      <c r="H368" s="40" t="s">
        <v>315</v>
      </c>
      <c r="I368" s="40" t="s">
        <v>361</v>
      </c>
      <c r="J368" s="41" t="s">
        <v>317</v>
      </c>
      <c r="K368" s="41" t="s">
        <v>318</v>
      </c>
      <c r="L368" s="57" t="s">
        <v>319</v>
      </c>
      <c r="M368" s="58" t="str">
        <f>Tabla16[[#This Row],[ABR_02]]</f>
        <v>TU</v>
      </c>
      <c r="N368" t="s">
        <v>320</v>
      </c>
      <c r="O368" s="59" t="s">
        <v>334</v>
      </c>
      <c r="P368" t="s">
        <v>650</v>
      </c>
      <c r="Q368" t="s">
        <v>651</v>
      </c>
      <c r="R368" s="60" t="str">
        <f>_xlfn.CONCAT(Tabla16[[#This Row],[ABR_01]],"00",Tabla16[[#This Row],[ABR_02]],Tabla16[[#This Row],[ZONA2]],,"0",Tabla16[[#This Row],[PARADA2]])</f>
        <v>AR00TU1001</v>
      </c>
      <c r="S368" s="60" t="s">
        <v>652</v>
      </c>
      <c r="T368" s="42" t="s">
        <v>324</v>
      </c>
      <c r="U368" s="53" t="s">
        <v>324</v>
      </c>
      <c r="V368" t="s">
        <v>851</v>
      </c>
    </row>
    <row r="369" spans="1:22" x14ac:dyDescent="0.25">
      <c r="A369" s="56" t="s">
        <v>325</v>
      </c>
      <c r="B369" s="38" t="s">
        <v>362</v>
      </c>
      <c r="C369" s="10" t="s">
        <v>362</v>
      </c>
      <c r="D369" s="39" t="s">
        <v>360</v>
      </c>
      <c r="E369" s="16" t="s">
        <v>42</v>
      </c>
      <c r="F369" s="12">
        <v>353</v>
      </c>
      <c r="G369" s="16">
        <v>410</v>
      </c>
      <c r="H369" s="40" t="s">
        <v>315</v>
      </c>
      <c r="I369" s="40" t="s">
        <v>361</v>
      </c>
      <c r="J369" s="41" t="s">
        <v>317</v>
      </c>
      <c r="K369" s="41" t="s">
        <v>331</v>
      </c>
      <c r="L369" s="57" t="s">
        <v>319</v>
      </c>
      <c r="M369" s="58" t="str">
        <f>Tabla16[[#This Row],[ABR_02]]</f>
        <v>TU</v>
      </c>
      <c r="N369" t="s">
        <v>320</v>
      </c>
      <c r="O369" s="59" t="s">
        <v>334</v>
      </c>
      <c r="P369" t="s">
        <v>650</v>
      </c>
      <c r="Q369" t="s">
        <v>651</v>
      </c>
      <c r="R369" s="60" t="str">
        <f>_xlfn.CONCAT(Tabla16[[#This Row],[ABR_01]],"00",Tabla16[[#This Row],[ABR_02]],Tabla16[[#This Row],[ZONA2]],,"0",Tabla16[[#This Row],[PARADA2]])</f>
        <v>AR00TU1002</v>
      </c>
      <c r="S369" s="60" t="s">
        <v>652</v>
      </c>
      <c r="T369" s="42" t="s">
        <v>324</v>
      </c>
      <c r="U369" s="53" t="s">
        <v>324</v>
      </c>
      <c r="V369" t="s">
        <v>851</v>
      </c>
    </row>
    <row r="370" spans="1:22" x14ac:dyDescent="0.25">
      <c r="A370" s="56" t="s">
        <v>325</v>
      </c>
      <c r="B370" s="38" t="s">
        <v>363</v>
      </c>
      <c r="C370" s="10" t="s">
        <v>363</v>
      </c>
      <c r="D370" s="39" t="s">
        <v>360</v>
      </c>
      <c r="E370" s="16" t="s">
        <v>42</v>
      </c>
      <c r="F370" s="12">
        <v>353</v>
      </c>
      <c r="G370" s="16">
        <v>420</v>
      </c>
      <c r="H370" s="40" t="s">
        <v>315</v>
      </c>
      <c r="I370" s="40" t="s">
        <v>361</v>
      </c>
      <c r="J370" s="41" t="s">
        <v>317</v>
      </c>
      <c r="K370" s="41" t="s">
        <v>332</v>
      </c>
      <c r="L370" s="57" t="s">
        <v>319</v>
      </c>
      <c r="M370" s="58" t="str">
        <f>Tabla16[[#This Row],[ABR_02]]</f>
        <v>TU</v>
      </c>
      <c r="N370" t="s">
        <v>320</v>
      </c>
      <c r="O370" s="59" t="s">
        <v>334</v>
      </c>
      <c r="P370" t="s">
        <v>650</v>
      </c>
      <c r="Q370" t="s">
        <v>651</v>
      </c>
      <c r="R370" s="60" t="str">
        <f>_xlfn.CONCAT(Tabla16[[#This Row],[ABR_01]],"00",Tabla16[[#This Row],[ABR_02]],Tabla16[[#This Row],[ZONA2]],,"0",Tabla16[[#This Row],[PARADA2]])</f>
        <v>AR00TU1003</v>
      </c>
      <c r="S370" s="60" t="s">
        <v>652</v>
      </c>
      <c r="T370" s="42" t="s">
        <v>324</v>
      </c>
      <c r="U370" s="53" t="s">
        <v>324</v>
      </c>
      <c r="V370" t="s">
        <v>851</v>
      </c>
    </row>
    <row r="371" spans="1:22" x14ac:dyDescent="0.25">
      <c r="A371" s="56" t="s">
        <v>325</v>
      </c>
      <c r="B371" s="38" t="s">
        <v>364</v>
      </c>
      <c r="C371" s="10" t="s">
        <v>364</v>
      </c>
      <c r="D371" s="39" t="s">
        <v>360</v>
      </c>
      <c r="E371" s="16" t="s">
        <v>42</v>
      </c>
      <c r="F371" s="12">
        <v>353</v>
      </c>
      <c r="G371" s="16">
        <v>405</v>
      </c>
      <c r="H371" s="40" t="s">
        <v>315</v>
      </c>
      <c r="I371" s="40" t="s">
        <v>361</v>
      </c>
      <c r="J371" s="41" t="s">
        <v>317</v>
      </c>
      <c r="K371" s="41" t="s">
        <v>334</v>
      </c>
      <c r="L371" s="57" t="s">
        <v>319</v>
      </c>
      <c r="M371" s="58" t="str">
        <f>Tabla16[[#This Row],[ABR_02]]</f>
        <v>TU</v>
      </c>
      <c r="N371" t="s">
        <v>320</v>
      </c>
      <c r="O371" s="59" t="s">
        <v>334</v>
      </c>
      <c r="P371" t="s">
        <v>650</v>
      </c>
      <c r="Q371" t="s">
        <v>651</v>
      </c>
      <c r="R371" s="60" t="str">
        <f>_xlfn.CONCAT(Tabla16[[#This Row],[ABR_01]],"00",Tabla16[[#This Row],[ABR_02]],Tabla16[[#This Row],[ZONA2]],,"0",Tabla16[[#This Row],[PARADA2]])</f>
        <v>AR00TU1004</v>
      </c>
      <c r="S371" s="60" t="s">
        <v>652</v>
      </c>
      <c r="T371" s="42" t="s">
        <v>324</v>
      </c>
      <c r="U371" s="53" t="s">
        <v>324</v>
      </c>
      <c r="V371" t="s">
        <v>851</v>
      </c>
    </row>
    <row r="372" spans="1:22" x14ac:dyDescent="0.25">
      <c r="A372" s="56" t="s">
        <v>325</v>
      </c>
      <c r="B372" s="38" t="s">
        <v>365</v>
      </c>
      <c r="C372" s="44" t="s">
        <v>144</v>
      </c>
      <c r="D372" s="39" t="s">
        <v>360</v>
      </c>
      <c r="E372" s="16" t="s">
        <v>42</v>
      </c>
      <c r="F372" s="12">
        <v>353</v>
      </c>
      <c r="G372" s="16">
        <v>400</v>
      </c>
      <c r="H372" s="40" t="s">
        <v>315</v>
      </c>
      <c r="I372" s="40" t="s">
        <v>361</v>
      </c>
      <c r="J372" s="41" t="s">
        <v>317</v>
      </c>
      <c r="K372" s="41" t="s">
        <v>344</v>
      </c>
      <c r="L372" s="57" t="s">
        <v>319</v>
      </c>
      <c r="M372" s="58" t="str">
        <f>Tabla16[[#This Row],[ABR_02]]</f>
        <v>TU</v>
      </c>
      <c r="N372" t="s">
        <v>320</v>
      </c>
      <c r="O372" s="59" t="s">
        <v>334</v>
      </c>
      <c r="P372" t="s">
        <v>650</v>
      </c>
      <c r="Q372" t="s">
        <v>651</v>
      </c>
      <c r="R372" s="60" t="str">
        <f>_xlfn.CONCAT(Tabla16[[#This Row],[ABR_01]],"00",Tabla16[[#This Row],[ABR_02]],Tabla16[[#This Row],[ZONA2]],,"0",Tabla16[[#This Row],[PARADA2]])</f>
        <v>AR00TU1005</v>
      </c>
      <c r="S372" s="60" t="s">
        <v>652</v>
      </c>
      <c r="T372" s="42" t="s">
        <v>324</v>
      </c>
      <c r="U372" s="53" t="s">
        <v>324</v>
      </c>
      <c r="V372" t="s">
        <v>851</v>
      </c>
    </row>
    <row r="373" spans="1:22" x14ac:dyDescent="0.25">
      <c r="A373" s="56" t="s">
        <v>325</v>
      </c>
      <c r="B373" s="38" t="s">
        <v>366</v>
      </c>
      <c r="C373" s="38" t="s">
        <v>366</v>
      </c>
      <c r="D373" s="39" t="s">
        <v>360</v>
      </c>
      <c r="E373" s="16" t="s">
        <v>42</v>
      </c>
      <c r="F373" s="12">
        <v>353</v>
      </c>
      <c r="G373" s="16">
        <v>425</v>
      </c>
      <c r="H373" s="40" t="s">
        <v>315</v>
      </c>
      <c r="I373" s="40" t="s">
        <v>361</v>
      </c>
      <c r="J373" s="41" t="s">
        <v>317</v>
      </c>
      <c r="K373" s="41" t="s">
        <v>345</v>
      </c>
      <c r="L373" s="57" t="s">
        <v>319</v>
      </c>
      <c r="M373" s="58" t="str">
        <f>Tabla16[[#This Row],[ABR_02]]</f>
        <v>TU</v>
      </c>
      <c r="N373" t="s">
        <v>320</v>
      </c>
      <c r="O373" s="59" t="s">
        <v>334</v>
      </c>
      <c r="P373" t="s">
        <v>650</v>
      </c>
      <c r="Q373" t="s">
        <v>651</v>
      </c>
      <c r="R373" s="60" t="str">
        <f>_xlfn.CONCAT(Tabla16[[#This Row],[ABR_01]],"00",Tabla16[[#This Row],[ABR_02]],Tabla16[[#This Row],[ZONA2]],,"0",Tabla16[[#This Row],[PARADA2]])</f>
        <v>AR00TU1006</v>
      </c>
      <c r="S373" s="60" t="s">
        <v>652</v>
      </c>
      <c r="T373" s="42" t="s">
        <v>324</v>
      </c>
      <c r="U373" s="53" t="s">
        <v>324</v>
      </c>
      <c r="V373" t="s">
        <v>851</v>
      </c>
    </row>
    <row r="374" spans="1:22" x14ac:dyDescent="0.25">
      <c r="A374" s="56" t="s">
        <v>325</v>
      </c>
      <c r="B374" s="38" t="s">
        <v>350</v>
      </c>
      <c r="C374" s="44" t="s">
        <v>351</v>
      </c>
      <c r="D374" s="39" t="s">
        <v>352</v>
      </c>
      <c r="E374" s="16" t="s">
        <v>70</v>
      </c>
      <c r="F374" s="12">
        <v>348</v>
      </c>
      <c r="G374" s="16">
        <v>370</v>
      </c>
      <c r="H374" s="40" t="s">
        <v>315</v>
      </c>
      <c r="I374" s="40" t="s">
        <v>353</v>
      </c>
      <c r="J374" s="41" t="s">
        <v>317</v>
      </c>
      <c r="K374" s="41" t="s">
        <v>318</v>
      </c>
      <c r="L374" s="57" t="s">
        <v>319</v>
      </c>
      <c r="M374" s="58" t="str">
        <f>Tabla16[[#This Row],[ABR_02]]</f>
        <v>CH</v>
      </c>
      <c r="N374" t="s">
        <v>320</v>
      </c>
      <c r="O374" s="59" t="s">
        <v>318</v>
      </c>
      <c r="P374" t="s">
        <v>321</v>
      </c>
      <c r="Q374" t="s">
        <v>328</v>
      </c>
      <c r="R374" s="60" t="str">
        <f>_xlfn.CONCAT(Tabla16[[#This Row],[ABR_01]],"00",Tabla16[[#This Row],[ABR_02]],Tabla16[[#This Row],[ZONA2]],,"0",Tabla16[[#This Row],[PARADA2]])</f>
        <v>AR00CH1001</v>
      </c>
      <c r="S374" s="60" t="s">
        <v>329</v>
      </c>
      <c r="T374" s="42" t="s">
        <v>324</v>
      </c>
      <c r="U374" s="42" t="s">
        <v>324</v>
      </c>
      <c r="V374" t="s">
        <v>850</v>
      </c>
    </row>
    <row r="375" spans="1:22" x14ac:dyDescent="0.25">
      <c r="A375" s="56" t="s">
        <v>325</v>
      </c>
      <c r="B375" s="38" t="s">
        <v>354</v>
      </c>
      <c r="C375" s="44" t="s">
        <v>96</v>
      </c>
      <c r="D375" s="39" t="s">
        <v>352</v>
      </c>
      <c r="E375" s="16" t="s">
        <v>70</v>
      </c>
      <c r="F375" s="12">
        <v>348</v>
      </c>
      <c r="G375" s="16">
        <v>365</v>
      </c>
      <c r="H375" s="40" t="s">
        <v>315</v>
      </c>
      <c r="I375" s="40" t="s">
        <v>353</v>
      </c>
      <c r="J375" s="41" t="s">
        <v>317</v>
      </c>
      <c r="K375" s="41" t="s">
        <v>331</v>
      </c>
      <c r="L375" s="57" t="s">
        <v>319</v>
      </c>
      <c r="M375" s="58" t="str">
        <f>Tabla16[[#This Row],[ABR_02]]</f>
        <v>CH</v>
      </c>
      <c r="N375" t="s">
        <v>320</v>
      </c>
      <c r="O375" s="59" t="s">
        <v>318</v>
      </c>
      <c r="P375" t="s">
        <v>321</v>
      </c>
      <c r="Q375" t="s">
        <v>328</v>
      </c>
      <c r="R375" s="60" t="str">
        <f>_xlfn.CONCAT(Tabla16[[#This Row],[ABR_01]],"00",Tabla16[[#This Row],[ABR_02]],Tabla16[[#This Row],[ZONA2]],,"0",Tabla16[[#This Row],[PARADA2]])</f>
        <v>AR00CH1002</v>
      </c>
      <c r="S375" s="60" t="s">
        <v>329</v>
      </c>
      <c r="T375" s="42" t="s">
        <v>324</v>
      </c>
      <c r="U375" s="42" t="s">
        <v>324</v>
      </c>
      <c r="V375" t="s">
        <v>850</v>
      </c>
    </row>
    <row r="376" spans="1:22" x14ac:dyDescent="0.25">
      <c r="A376" s="56" t="s">
        <v>325</v>
      </c>
      <c r="B376" s="38" t="s">
        <v>355</v>
      </c>
      <c r="C376" s="10" t="s">
        <v>355</v>
      </c>
      <c r="D376" s="39" t="s">
        <v>352</v>
      </c>
      <c r="E376" s="16" t="s">
        <v>70</v>
      </c>
      <c r="F376" s="12">
        <v>348</v>
      </c>
      <c r="G376" s="16">
        <v>375</v>
      </c>
      <c r="H376" s="40" t="s">
        <v>315</v>
      </c>
      <c r="I376" s="40" t="s">
        <v>353</v>
      </c>
      <c r="J376" s="41" t="s">
        <v>317</v>
      </c>
      <c r="K376" s="41" t="s">
        <v>332</v>
      </c>
      <c r="L376" s="57" t="s">
        <v>319</v>
      </c>
      <c r="M376" s="58" t="str">
        <f>Tabla16[[#This Row],[ABR_02]]</f>
        <v>CH</v>
      </c>
      <c r="N376" t="s">
        <v>320</v>
      </c>
      <c r="O376" s="59" t="s">
        <v>318</v>
      </c>
      <c r="P376" t="s">
        <v>321</v>
      </c>
      <c r="Q376" t="s">
        <v>328</v>
      </c>
      <c r="R376" s="60" t="str">
        <f>_xlfn.CONCAT(Tabla16[[#This Row],[ABR_01]],"00",Tabla16[[#This Row],[ABR_02]],Tabla16[[#This Row],[ZONA2]],,"0",Tabla16[[#This Row],[PARADA2]])</f>
        <v>AR00CH1003</v>
      </c>
      <c r="S376" s="60" t="s">
        <v>329</v>
      </c>
      <c r="T376" s="42" t="s">
        <v>324</v>
      </c>
      <c r="U376" s="42" t="s">
        <v>324</v>
      </c>
      <c r="V376" t="s">
        <v>850</v>
      </c>
    </row>
    <row r="377" spans="1:22" x14ac:dyDescent="0.25">
      <c r="A377" s="56" t="s">
        <v>325</v>
      </c>
      <c r="B377" s="38" t="s">
        <v>356</v>
      </c>
      <c r="C377" s="44" t="s">
        <v>117</v>
      </c>
      <c r="D377" s="39" t="s">
        <v>352</v>
      </c>
      <c r="E377" s="16" t="s">
        <v>70</v>
      </c>
      <c r="F377" s="12">
        <v>348</v>
      </c>
      <c r="G377" s="16">
        <v>348</v>
      </c>
      <c r="H377" s="40" t="s">
        <v>315</v>
      </c>
      <c r="I377" s="40" t="s">
        <v>353</v>
      </c>
      <c r="J377" s="41" t="s">
        <v>317</v>
      </c>
      <c r="K377" s="41" t="s">
        <v>334</v>
      </c>
      <c r="L377" s="57" t="s">
        <v>319</v>
      </c>
      <c r="M377" s="58" t="str">
        <f>Tabla16[[#This Row],[ABR_02]]</f>
        <v>CH</v>
      </c>
      <c r="N377" t="s">
        <v>320</v>
      </c>
      <c r="O377" s="59" t="s">
        <v>318</v>
      </c>
      <c r="P377" t="s">
        <v>321</v>
      </c>
      <c r="Q377" t="s">
        <v>328</v>
      </c>
      <c r="R377" s="60" t="str">
        <f>_xlfn.CONCAT(Tabla16[[#This Row],[ABR_01]],"00",Tabla16[[#This Row],[ABR_02]],Tabla16[[#This Row],[ZONA2]],,"0",Tabla16[[#This Row],[PARADA2]])</f>
        <v>AR00CH1004</v>
      </c>
      <c r="S377" s="60" t="s">
        <v>329</v>
      </c>
      <c r="T377" s="42" t="s">
        <v>324</v>
      </c>
      <c r="U377" s="42" t="s">
        <v>324</v>
      </c>
      <c r="V377" t="s">
        <v>850</v>
      </c>
    </row>
    <row r="378" spans="1:22" x14ac:dyDescent="0.25">
      <c r="A378" s="56" t="s">
        <v>325</v>
      </c>
      <c r="B378" s="38" t="s">
        <v>357</v>
      </c>
      <c r="C378" s="44" t="s">
        <v>358</v>
      </c>
      <c r="D378" s="39" t="s">
        <v>352</v>
      </c>
      <c r="E378" s="16" t="s">
        <v>70</v>
      </c>
      <c r="F378" s="12">
        <v>348</v>
      </c>
      <c r="G378" s="16">
        <v>350</v>
      </c>
      <c r="H378" s="40" t="s">
        <v>315</v>
      </c>
      <c r="I378" s="40" t="s">
        <v>353</v>
      </c>
      <c r="J378" s="41" t="s">
        <v>317</v>
      </c>
      <c r="K378" s="41" t="s">
        <v>344</v>
      </c>
      <c r="L378" s="57" t="s">
        <v>319</v>
      </c>
      <c r="M378" s="58" t="str">
        <f>Tabla16[[#This Row],[ABR_02]]</f>
        <v>CH</v>
      </c>
      <c r="N378" t="s">
        <v>320</v>
      </c>
      <c r="O378" s="59" t="s">
        <v>318</v>
      </c>
      <c r="P378" t="s">
        <v>321</v>
      </c>
      <c r="Q378" t="s">
        <v>328</v>
      </c>
      <c r="R378" s="60" t="str">
        <f>_xlfn.CONCAT(Tabla16[[#This Row],[ABR_01]],"00",Tabla16[[#This Row],[ABR_02]],Tabla16[[#This Row],[ZONA2]],,"0",Tabla16[[#This Row],[PARADA2]])</f>
        <v>AR00CH1005</v>
      </c>
      <c r="S378" s="60" t="s">
        <v>329</v>
      </c>
      <c r="T378" s="42" t="s">
        <v>324</v>
      </c>
      <c r="U378" s="42" t="s">
        <v>324</v>
      </c>
      <c r="V378" t="s">
        <v>850</v>
      </c>
    </row>
    <row r="379" spans="1:22" x14ac:dyDescent="0.25">
      <c r="A379" s="56" t="s">
        <v>325</v>
      </c>
      <c r="B379" s="38" t="s">
        <v>350</v>
      </c>
      <c r="C379" s="44" t="s">
        <v>351</v>
      </c>
      <c r="D379" s="39" t="s">
        <v>352</v>
      </c>
      <c r="E379" s="16" t="s">
        <v>70</v>
      </c>
      <c r="F379" s="12">
        <v>348</v>
      </c>
      <c r="G379" s="16">
        <v>370</v>
      </c>
      <c r="H379" s="40" t="s">
        <v>315</v>
      </c>
      <c r="I379" s="40" t="s">
        <v>353</v>
      </c>
      <c r="J379" s="41" t="s">
        <v>317</v>
      </c>
      <c r="K379" s="41" t="s">
        <v>318</v>
      </c>
      <c r="L379" s="57" t="s">
        <v>319</v>
      </c>
      <c r="M379" s="58" t="str">
        <f>Tabla16[[#This Row],[ABR_02]]</f>
        <v>CH</v>
      </c>
      <c r="N379" t="s">
        <v>320</v>
      </c>
      <c r="O379" s="59" t="s">
        <v>334</v>
      </c>
      <c r="P379" t="s">
        <v>650</v>
      </c>
      <c r="Q379" t="s">
        <v>651</v>
      </c>
      <c r="R379" s="60" t="str">
        <f>_xlfn.CONCAT(Tabla16[[#This Row],[ABR_01]],"00",Tabla16[[#This Row],[ABR_02]],Tabla16[[#This Row],[ZONA2]],,"0",Tabla16[[#This Row],[PARADA2]])</f>
        <v>AR00CH1001</v>
      </c>
      <c r="S379" s="60" t="s">
        <v>652</v>
      </c>
      <c r="T379" s="42" t="s">
        <v>324</v>
      </c>
      <c r="U379" s="53" t="s">
        <v>324</v>
      </c>
      <c r="V379" t="s">
        <v>851</v>
      </c>
    </row>
    <row r="380" spans="1:22" x14ac:dyDescent="0.25">
      <c r="A380" s="56" t="s">
        <v>325</v>
      </c>
      <c r="B380" s="38" t="s">
        <v>354</v>
      </c>
      <c r="C380" s="44" t="s">
        <v>96</v>
      </c>
      <c r="D380" s="39" t="s">
        <v>352</v>
      </c>
      <c r="E380" s="16" t="s">
        <v>70</v>
      </c>
      <c r="F380" s="12">
        <v>348</v>
      </c>
      <c r="G380" s="16">
        <v>365</v>
      </c>
      <c r="H380" s="40" t="s">
        <v>315</v>
      </c>
      <c r="I380" s="40" t="s">
        <v>353</v>
      </c>
      <c r="J380" s="41" t="s">
        <v>317</v>
      </c>
      <c r="K380" s="41" t="s">
        <v>331</v>
      </c>
      <c r="L380" s="57" t="s">
        <v>319</v>
      </c>
      <c r="M380" s="58" t="str">
        <f>Tabla16[[#This Row],[ABR_02]]</f>
        <v>CH</v>
      </c>
      <c r="N380" t="s">
        <v>320</v>
      </c>
      <c r="O380" s="59" t="s">
        <v>334</v>
      </c>
      <c r="P380" t="s">
        <v>650</v>
      </c>
      <c r="Q380" t="s">
        <v>651</v>
      </c>
      <c r="R380" s="60" t="str">
        <f>_xlfn.CONCAT(Tabla16[[#This Row],[ABR_01]],"00",Tabla16[[#This Row],[ABR_02]],Tabla16[[#This Row],[ZONA2]],,"0",Tabla16[[#This Row],[PARADA2]])</f>
        <v>AR00CH1002</v>
      </c>
      <c r="S380" s="60" t="s">
        <v>652</v>
      </c>
      <c r="T380" s="42" t="s">
        <v>324</v>
      </c>
      <c r="U380" s="53" t="s">
        <v>324</v>
      </c>
      <c r="V380" t="s">
        <v>851</v>
      </c>
    </row>
    <row r="381" spans="1:22" x14ac:dyDescent="0.25">
      <c r="A381" s="56" t="s">
        <v>325</v>
      </c>
      <c r="B381" s="38" t="s">
        <v>355</v>
      </c>
      <c r="C381" s="10" t="s">
        <v>355</v>
      </c>
      <c r="D381" s="39" t="s">
        <v>352</v>
      </c>
      <c r="E381" s="16" t="s">
        <v>70</v>
      </c>
      <c r="F381" s="12">
        <v>348</v>
      </c>
      <c r="G381" s="16">
        <v>375</v>
      </c>
      <c r="H381" s="40" t="s">
        <v>315</v>
      </c>
      <c r="I381" s="40" t="s">
        <v>353</v>
      </c>
      <c r="J381" s="41" t="s">
        <v>317</v>
      </c>
      <c r="K381" s="41" t="s">
        <v>332</v>
      </c>
      <c r="L381" s="57" t="s">
        <v>319</v>
      </c>
      <c r="M381" s="58" t="str">
        <f>Tabla16[[#This Row],[ABR_02]]</f>
        <v>CH</v>
      </c>
      <c r="N381" t="s">
        <v>320</v>
      </c>
      <c r="O381" s="59" t="s">
        <v>334</v>
      </c>
      <c r="P381" t="s">
        <v>650</v>
      </c>
      <c r="Q381" t="s">
        <v>651</v>
      </c>
      <c r="R381" s="60" t="str">
        <f>_xlfn.CONCAT(Tabla16[[#This Row],[ABR_01]],"00",Tabla16[[#This Row],[ABR_02]],Tabla16[[#This Row],[ZONA2]],,"0",Tabla16[[#This Row],[PARADA2]])</f>
        <v>AR00CH1003</v>
      </c>
      <c r="S381" s="60" t="s">
        <v>652</v>
      </c>
      <c r="T381" s="42" t="s">
        <v>324</v>
      </c>
      <c r="U381" s="53" t="s">
        <v>324</v>
      </c>
      <c r="V381" t="s">
        <v>851</v>
      </c>
    </row>
    <row r="382" spans="1:22" x14ac:dyDescent="0.25">
      <c r="A382" s="56" t="s">
        <v>325</v>
      </c>
      <c r="B382" s="38" t="s">
        <v>356</v>
      </c>
      <c r="C382" s="44" t="s">
        <v>117</v>
      </c>
      <c r="D382" s="39" t="s">
        <v>352</v>
      </c>
      <c r="E382" s="16" t="s">
        <v>70</v>
      </c>
      <c r="F382" s="12">
        <v>348</v>
      </c>
      <c r="G382" s="16">
        <v>348</v>
      </c>
      <c r="H382" s="40" t="s">
        <v>315</v>
      </c>
      <c r="I382" s="40" t="s">
        <v>353</v>
      </c>
      <c r="J382" s="41" t="s">
        <v>317</v>
      </c>
      <c r="K382" s="41" t="s">
        <v>334</v>
      </c>
      <c r="L382" s="57" t="s">
        <v>319</v>
      </c>
      <c r="M382" s="58" t="str">
        <f>Tabla16[[#This Row],[ABR_02]]</f>
        <v>CH</v>
      </c>
      <c r="N382" t="s">
        <v>320</v>
      </c>
      <c r="O382" s="59" t="s">
        <v>334</v>
      </c>
      <c r="P382" t="s">
        <v>650</v>
      </c>
      <c r="Q382" t="s">
        <v>651</v>
      </c>
      <c r="R382" s="60" t="str">
        <f>_xlfn.CONCAT(Tabla16[[#This Row],[ABR_01]],"00",Tabla16[[#This Row],[ABR_02]],Tabla16[[#This Row],[ZONA2]],,"0",Tabla16[[#This Row],[PARADA2]])</f>
        <v>AR00CH1004</v>
      </c>
      <c r="S382" s="60" t="s">
        <v>652</v>
      </c>
      <c r="T382" s="42" t="s">
        <v>324</v>
      </c>
      <c r="U382" s="53" t="s">
        <v>324</v>
      </c>
      <c r="V382" t="s">
        <v>851</v>
      </c>
    </row>
    <row r="383" spans="1:22" x14ac:dyDescent="0.25">
      <c r="A383" s="56" t="s">
        <v>325</v>
      </c>
      <c r="B383" s="38" t="s">
        <v>357</v>
      </c>
      <c r="C383" s="44" t="s">
        <v>358</v>
      </c>
      <c r="D383" s="39" t="s">
        <v>352</v>
      </c>
      <c r="E383" s="16" t="s">
        <v>70</v>
      </c>
      <c r="F383" s="12">
        <v>348</v>
      </c>
      <c r="G383" s="16">
        <v>350</v>
      </c>
      <c r="H383" s="40" t="s">
        <v>315</v>
      </c>
      <c r="I383" s="40" t="s">
        <v>353</v>
      </c>
      <c r="J383" s="41" t="s">
        <v>317</v>
      </c>
      <c r="K383" s="41" t="s">
        <v>344</v>
      </c>
      <c r="L383" s="57" t="s">
        <v>319</v>
      </c>
      <c r="M383" s="58" t="str">
        <f>Tabla16[[#This Row],[ABR_02]]</f>
        <v>CH</v>
      </c>
      <c r="N383" t="s">
        <v>320</v>
      </c>
      <c r="O383" s="59" t="s">
        <v>334</v>
      </c>
      <c r="P383" t="s">
        <v>650</v>
      </c>
      <c r="Q383" t="s">
        <v>651</v>
      </c>
      <c r="R383" s="60" t="str">
        <f>_xlfn.CONCAT(Tabla16[[#This Row],[ABR_01]],"00",Tabla16[[#This Row],[ABR_02]],Tabla16[[#This Row],[ZONA2]],,"0",Tabla16[[#This Row],[PARADA2]])</f>
        <v>AR00CH1005</v>
      </c>
      <c r="S383" s="60" t="s">
        <v>652</v>
      </c>
      <c r="T383" s="42" t="s">
        <v>324</v>
      </c>
      <c r="U383" s="53" t="s">
        <v>324</v>
      </c>
      <c r="V383" t="s">
        <v>851</v>
      </c>
    </row>
    <row r="384" spans="1:22" x14ac:dyDescent="0.25">
      <c r="A384" s="56" t="s">
        <v>325</v>
      </c>
      <c r="B384" s="38" t="s">
        <v>335</v>
      </c>
      <c r="C384" s="44" t="s">
        <v>52</v>
      </c>
      <c r="D384" s="39" t="s">
        <v>336</v>
      </c>
      <c r="E384" s="16" t="s">
        <v>34</v>
      </c>
      <c r="F384" s="12">
        <v>356</v>
      </c>
      <c r="G384" s="16">
        <v>950</v>
      </c>
      <c r="H384" s="40" t="s">
        <v>315</v>
      </c>
      <c r="I384" s="40" t="s">
        <v>337</v>
      </c>
      <c r="J384" s="41" t="s">
        <v>317</v>
      </c>
      <c r="K384" s="41" t="s">
        <v>318</v>
      </c>
      <c r="L384" s="57" t="s">
        <v>319</v>
      </c>
      <c r="M384" s="58" t="str">
        <f>Tabla16[[#This Row],[ABR_02]]</f>
        <v>CT</v>
      </c>
      <c r="N384" t="s">
        <v>320</v>
      </c>
      <c r="O384" s="59" t="s">
        <v>318</v>
      </c>
      <c r="P384" t="s">
        <v>321</v>
      </c>
      <c r="Q384" t="s">
        <v>338</v>
      </c>
      <c r="R384" s="60" t="str">
        <f>_xlfn.CONCAT(Tabla16[[#This Row],[ABR_01]],"00",Tabla16[[#This Row],[ABR_02]],Tabla16[[#This Row],[ZONA2]],,"0",Tabla16[[#This Row],[PARADA2]])</f>
        <v>AR00CT1001</v>
      </c>
      <c r="S384" s="60" t="s">
        <v>339</v>
      </c>
      <c r="T384" s="42" t="s">
        <v>324</v>
      </c>
      <c r="U384" s="42" t="s">
        <v>324</v>
      </c>
      <c r="V384" t="s">
        <v>850</v>
      </c>
    </row>
    <row r="385" spans="1:22" x14ac:dyDescent="0.25">
      <c r="A385" s="56" t="s">
        <v>325</v>
      </c>
      <c r="B385" s="38" t="s">
        <v>340</v>
      </c>
      <c r="C385" s="44" t="s">
        <v>68</v>
      </c>
      <c r="D385" s="39" t="s">
        <v>336</v>
      </c>
      <c r="E385" s="16" t="s">
        <v>34</v>
      </c>
      <c r="F385" s="12">
        <v>356</v>
      </c>
      <c r="G385" s="16">
        <v>966</v>
      </c>
      <c r="H385" s="40" t="s">
        <v>315</v>
      </c>
      <c r="I385" s="40" t="s">
        <v>337</v>
      </c>
      <c r="J385" s="41" t="s">
        <v>317</v>
      </c>
      <c r="K385" s="41" t="s">
        <v>331</v>
      </c>
      <c r="L385" s="57" t="s">
        <v>319</v>
      </c>
      <c r="M385" s="58" t="str">
        <f>Tabla16[[#This Row],[ABR_02]]</f>
        <v>CT</v>
      </c>
      <c r="N385" t="s">
        <v>320</v>
      </c>
      <c r="O385" s="59" t="s">
        <v>318</v>
      </c>
      <c r="P385" t="s">
        <v>321</v>
      </c>
      <c r="Q385" t="s">
        <v>338</v>
      </c>
      <c r="R385" s="60" t="str">
        <f>_xlfn.CONCAT(Tabla16[[#This Row],[ABR_01]],"00",Tabla16[[#This Row],[ABR_02]],Tabla16[[#This Row],[ZONA2]],,"0",Tabla16[[#This Row],[PARADA2]])</f>
        <v>AR00CT1002</v>
      </c>
      <c r="S385" s="60" t="s">
        <v>339</v>
      </c>
      <c r="T385" s="42" t="s">
        <v>324</v>
      </c>
      <c r="U385" s="42" t="s">
        <v>324</v>
      </c>
      <c r="V385" t="s">
        <v>850</v>
      </c>
    </row>
    <row r="386" spans="1:22" x14ac:dyDescent="0.25">
      <c r="A386" s="56" t="s">
        <v>325</v>
      </c>
      <c r="B386" s="38" t="s">
        <v>341</v>
      </c>
      <c r="C386" s="10" t="s">
        <v>199</v>
      </c>
      <c r="D386" s="39" t="s">
        <v>336</v>
      </c>
      <c r="E386" s="16" t="s">
        <v>34</v>
      </c>
      <c r="F386" s="12">
        <v>356</v>
      </c>
      <c r="G386" s="16">
        <v>953</v>
      </c>
      <c r="H386" s="40" t="s">
        <v>315</v>
      </c>
      <c r="I386" s="40" t="s">
        <v>337</v>
      </c>
      <c r="J386" s="41" t="s">
        <v>317</v>
      </c>
      <c r="K386" s="41" t="s">
        <v>332</v>
      </c>
      <c r="L386" s="57" t="s">
        <v>319</v>
      </c>
      <c r="M386" s="58" t="str">
        <f>Tabla16[[#This Row],[ABR_02]]</f>
        <v>CT</v>
      </c>
      <c r="N386" t="s">
        <v>320</v>
      </c>
      <c r="O386" s="59" t="s">
        <v>318</v>
      </c>
      <c r="P386" t="s">
        <v>321</v>
      </c>
      <c r="Q386" t="s">
        <v>338</v>
      </c>
      <c r="R386" s="60" t="str">
        <f>_xlfn.CONCAT(Tabla16[[#This Row],[ABR_01]],"00",Tabla16[[#This Row],[ABR_02]],Tabla16[[#This Row],[ZONA2]],,"0",Tabla16[[#This Row],[PARADA2]])</f>
        <v>AR00CT1003</v>
      </c>
      <c r="S386" s="60" t="s">
        <v>339</v>
      </c>
      <c r="T386" s="42" t="s">
        <v>324</v>
      </c>
      <c r="U386" s="42" t="s">
        <v>324</v>
      </c>
      <c r="V386" t="s">
        <v>850</v>
      </c>
    </row>
    <row r="387" spans="1:22" x14ac:dyDescent="0.25">
      <c r="A387" s="56" t="s">
        <v>325</v>
      </c>
      <c r="B387" s="38" t="s">
        <v>342</v>
      </c>
      <c r="C387" s="10" t="s">
        <v>109</v>
      </c>
      <c r="D387" s="39" t="s">
        <v>336</v>
      </c>
      <c r="E387" s="16" t="s">
        <v>34</v>
      </c>
      <c r="F387" s="12">
        <v>356</v>
      </c>
      <c r="G387" s="16">
        <v>964</v>
      </c>
      <c r="H387" s="40" t="s">
        <v>315</v>
      </c>
      <c r="I387" s="40" t="s">
        <v>337</v>
      </c>
      <c r="J387" s="41" t="s">
        <v>317</v>
      </c>
      <c r="K387" s="41" t="s">
        <v>334</v>
      </c>
      <c r="L387" s="57" t="s">
        <v>319</v>
      </c>
      <c r="M387" s="58" t="str">
        <f>Tabla16[[#This Row],[ABR_02]]</f>
        <v>CT</v>
      </c>
      <c r="N387" t="s">
        <v>320</v>
      </c>
      <c r="O387" s="59" t="s">
        <v>318</v>
      </c>
      <c r="P387" t="s">
        <v>321</v>
      </c>
      <c r="Q387" t="s">
        <v>338</v>
      </c>
      <c r="R387" s="60" t="str">
        <f>_xlfn.CONCAT(Tabla16[[#This Row],[ABR_01]],"00",Tabla16[[#This Row],[ABR_02]],Tabla16[[#This Row],[ZONA2]],,"0",Tabla16[[#This Row],[PARADA2]])</f>
        <v>AR00CT1004</v>
      </c>
      <c r="S387" s="60" t="s">
        <v>339</v>
      </c>
      <c r="T387" s="42" t="s">
        <v>324</v>
      </c>
      <c r="U387" s="42" t="s">
        <v>324</v>
      </c>
      <c r="V387" t="s">
        <v>850</v>
      </c>
    </row>
    <row r="388" spans="1:22" x14ac:dyDescent="0.25">
      <c r="A388" s="56" t="s">
        <v>325</v>
      </c>
      <c r="B388" s="38" t="s">
        <v>343</v>
      </c>
      <c r="C388" s="44" t="s">
        <v>113</v>
      </c>
      <c r="D388" s="39" t="s">
        <v>336</v>
      </c>
      <c r="E388" s="16" t="s">
        <v>34</v>
      </c>
      <c r="F388" s="12">
        <v>356</v>
      </c>
      <c r="G388" s="16">
        <v>962</v>
      </c>
      <c r="H388" s="40" t="s">
        <v>315</v>
      </c>
      <c r="I388" s="40" t="s">
        <v>337</v>
      </c>
      <c r="J388" s="41" t="s">
        <v>317</v>
      </c>
      <c r="K388" s="41" t="s">
        <v>344</v>
      </c>
      <c r="L388" s="57" t="s">
        <v>319</v>
      </c>
      <c r="M388" s="58" t="str">
        <f>Tabla16[[#This Row],[ABR_02]]</f>
        <v>CT</v>
      </c>
      <c r="N388" t="s">
        <v>320</v>
      </c>
      <c r="O388" s="59" t="s">
        <v>318</v>
      </c>
      <c r="P388" t="s">
        <v>321</v>
      </c>
      <c r="Q388" t="s">
        <v>338</v>
      </c>
      <c r="R388" s="60" t="str">
        <f>_xlfn.CONCAT(Tabla16[[#This Row],[ABR_01]],"00",Tabla16[[#This Row],[ABR_02]],Tabla16[[#This Row],[ZONA2]],,"0",Tabla16[[#This Row],[PARADA2]])</f>
        <v>AR00CT1005</v>
      </c>
      <c r="S388" s="60" t="s">
        <v>339</v>
      </c>
      <c r="T388" s="42" t="s">
        <v>324</v>
      </c>
      <c r="U388" s="42" t="s">
        <v>324</v>
      </c>
      <c r="V388" t="s">
        <v>850</v>
      </c>
    </row>
    <row r="389" spans="1:22" x14ac:dyDescent="0.25">
      <c r="A389" s="56" t="s">
        <v>325</v>
      </c>
      <c r="B389" s="38" t="s">
        <v>203</v>
      </c>
      <c r="C389" s="10" t="s">
        <v>203</v>
      </c>
      <c r="D389" s="39" t="s">
        <v>336</v>
      </c>
      <c r="E389" s="16" t="s">
        <v>34</v>
      </c>
      <c r="F389" s="12">
        <v>356</v>
      </c>
      <c r="G389" s="16">
        <v>954</v>
      </c>
      <c r="H389" s="40" t="s">
        <v>315</v>
      </c>
      <c r="I389" s="40" t="s">
        <v>337</v>
      </c>
      <c r="J389" s="41" t="s">
        <v>317</v>
      </c>
      <c r="K389" s="41" t="s">
        <v>345</v>
      </c>
      <c r="L389" s="57" t="s">
        <v>319</v>
      </c>
      <c r="M389" s="58" t="str">
        <f>Tabla16[[#This Row],[ABR_02]]</f>
        <v>CT</v>
      </c>
      <c r="N389" t="s">
        <v>320</v>
      </c>
      <c r="O389" s="59" t="s">
        <v>318</v>
      </c>
      <c r="P389" t="s">
        <v>321</v>
      </c>
      <c r="Q389" t="s">
        <v>338</v>
      </c>
      <c r="R389" s="60" t="str">
        <f>_xlfn.CONCAT(Tabla16[[#This Row],[ABR_01]],"00",Tabla16[[#This Row],[ABR_02]],Tabla16[[#This Row],[ZONA2]],,"0",Tabla16[[#This Row],[PARADA2]])</f>
        <v>AR00CT1006</v>
      </c>
      <c r="S389" s="60" t="s">
        <v>339</v>
      </c>
      <c r="T389" s="42" t="s">
        <v>324</v>
      </c>
      <c r="U389" s="42" t="s">
        <v>324</v>
      </c>
      <c r="V389" t="s">
        <v>850</v>
      </c>
    </row>
    <row r="390" spans="1:22" x14ac:dyDescent="0.25">
      <c r="A390" s="56" t="s">
        <v>325</v>
      </c>
      <c r="B390" s="38" t="s">
        <v>346</v>
      </c>
      <c r="C390" s="44" t="s">
        <v>156</v>
      </c>
      <c r="D390" s="39" t="s">
        <v>336</v>
      </c>
      <c r="E390" s="16" t="s">
        <v>34</v>
      </c>
      <c r="F390" s="12">
        <v>356</v>
      </c>
      <c r="G390" s="16">
        <v>952</v>
      </c>
      <c r="H390" s="40" t="s">
        <v>315</v>
      </c>
      <c r="I390" s="40" t="s">
        <v>337</v>
      </c>
      <c r="J390" s="41" t="s">
        <v>317</v>
      </c>
      <c r="K390" s="41" t="s">
        <v>347</v>
      </c>
      <c r="L390" s="57" t="s">
        <v>319</v>
      </c>
      <c r="M390" s="58" t="str">
        <f>Tabla16[[#This Row],[ABR_02]]</f>
        <v>CT</v>
      </c>
      <c r="N390" t="s">
        <v>320</v>
      </c>
      <c r="O390" s="59" t="s">
        <v>318</v>
      </c>
      <c r="P390" t="s">
        <v>321</v>
      </c>
      <c r="Q390" t="s">
        <v>338</v>
      </c>
      <c r="R390" s="60" t="str">
        <f>_xlfn.CONCAT(Tabla16[[#This Row],[ABR_01]],"00",Tabla16[[#This Row],[ABR_02]],Tabla16[[#This Row],[ZONA2]],,"0",Tabla16[[#This Row],[PARADA2]])</f>
        <v>AR00CT1007</v>
      </c>
      <c r="S390" s="60" t="s">
        <v>339</v>
      </c>
      <c r="T390" s="42" t="s">
        <v>324</v>
      </c>
      <c r="U390" s="42" t="s">
        <v>324</v>
      </c>
      <c r="V390" t="s">
        <v>850</v>
      </c>
    </row>
    <row r="391" spans="1:22" x14ac:dyDescent="0.25">
      <c r="A391" s="56" t="s">
        <v>325</v>
      </c>
      <c r="B391" s="38" t="s">
        <v>348</v>
      </c>
      <c r="C391" s="44" t="s">
        <v>160</v>
      </c>
      <c r="D391" s="39" t="s">
        <v>336</v>
      </c>
      <c r="E391" s="16" t="s">
        <v>34</v>
      </c>
      <c r="F391" s="12">
        <v>356</v>
      </c>
      <c r="G391" s="16">
        <v>960</v>
      </c>
      <c r="H391" s="40" t="s">
        <v>315</v>
      </c>
      <c r="I391" s="40" t="s">
        <v>337</v>
      </c>
      <c r="J391" s="41" t="s">
        <v>317</v>
      </c>
      <c r="K391" s="41" t="s">
        <v>349</v>
      </c>
      <c r="L391" s="57" t="s">
        <v>319</v>
      </c>
      <c r="M391" s="58" t="str">
        <f>Tabla16[[#This Row],[ABR_02]]</f>
        <v>CT</v>
      </c>
      <c r="N391" t="s">
        <v>320</v>
      </c>
      <c r="O391" s="59" t="s">
        <v>318</v>
      </c>
      <c r="P391" t="s">
        <v>321</v>
      </c>
      <c r="Q391" t="s">
        <v>338</v>
      </c>
      <c r="R391" s="60" t="str">
        <f>_xlfn.CONCAT(Tabla16[[#This Row],[ABR_01]],"00",Tabla16[[#This Row],[ABR_02]],Tabla16[[#This Row],[ZONA2]],,"0",Tabla16[[#This Row],[PARADA2]])</f>
        <v>AR00CT1008</v>
      </c>
      <c r="S391" s="60" t="s">
        <v>339</v>
      </c>
      <c r="T391" s="42" t="s">
        <v>324</v>
      </c>
      <c r="U391" s="42" t="s">
        <v>324</v>
      </c>
      <c r="V391" t="s">
        <v>850</v>
      </c>
    </row>
    <row r="392" spans="1:22" x14ac:dyDescent="0.25">
      <c r="A392" s="56" t="s">
        <v>325</v>
      </c>
      <c r="B392" s="38" t="s">
        <v>335</v>
      </c>
      <c r="C392" s="44" t="s">
        <v>52</v>
      </c>
      <c r="D392" s="39" t="s">
        <v>336</v>
      </c>
      <c r="E392" s="16" t="s">
        <v>34</v>
      </c>
      <c r="F392" s="12">
        <v>356</v>
      </c>
      <c r="G392" s="16">
        <v>950</v>
      </c>
      <c r="H392" s="40" t="s">
        <v>315</v>
      </c>
      <c r="I392" s="40" t="s">
        <v>337</v>
      </c>
      <c r="J392" s="41" t="s">
        <v>317</v>
      </c>
      <c r="K392" s="41" t="s">
        <v>318</v>
      </c>
      <c r="L392" s="57" t="s">
        <v>319</v>
      </c>
      <c r="M392" s="58" t="str">
        <f>Tabla16[[#This Row],[ABR_02]]</f>
        <v>CT</v>
      </c>
      <c r="N392" t="s">
        <v>320</v>
      </c>
      <c r="O392" s="59" t="s">
        <v>334</v>
      </c>
      <c r="P392" t="s">
        <v>650</v>
      </c>
      <c r="Q392" t="s">
        <v>651</v>
      </c>
      <c r="R392" s="60" t="str">
        <f>_xlfn.CONCAT(Tabla16[[#This Row],[ABR_01]],"00",Tabla16[[#This Row],[ABR_02]],Tabla16[[#This Row],[ZONA2]],,"0",Tabla16[[#This Row],[PARADA2]])</f>
        <v>AR00CT1001</v>
      </c>
      <c r="S392" s="60" t="s">
        <v>652</v>
      </c>
      <c r="T392" s="42" t="s">
        <v>324</v>
      </c>
      <c r="U392" s="53" t="s">
        <v>324</v>
      </c>
      <c r="V392" t="s">
        <v>851</v>
      </c>
    </row>
    <row r="393" spans="1:22" x14ac:dyDescent="0.25">
      <c r="A393" s="56" t="s">
        <v>325</v>
      </c>
      <c r="B393" s="38" t="s">
        <v>340</v>
      </c>
      <c r="C393" s="44" t="s">
        <v>68</v>
      </c>
      <c r="D393" s="39" t="s">
        <v>336</v>
      </c>
      <c r="E393" s="16" t="s">
        <v>34</v>
      </c>
      <c r="F393" s="12">
        <v>356</v>
      </c>
      <c r="G393" s="16">
        <v>966</v>
      </c>
      <c r="H393" s="40" t="s">
        <v>315</v>
      </c>
      <c r="I393" s="40" t="s">
        <v>337</v>
      </c>
      <c r="J393" s="41" t="s">
        <v>317</v>
      </c>
      <c r="K393" s="41" t="s">
        <v>331</v>
      </c>
      <c r="L393" s="57" t="s">
        <v>319</v>
      </c>
      <c r="M393" s="58" t="str">
        <f>Tabla16[[#This Row],[ABR_02]]</f>
        <v>CT</v>
      </c>
      <c r="N393" t="s">
        <v>320</v>
      </c>
      <c r="O393" s="59" t="s">
        <v>334</v>
      </c>
      <c r="P393" t="s">
        <v>650</v>
      </c>
      <c r="Q393" t="s">
        <v>651</v>
      </c>
      <c r="R393" s="60" t="str">
        <f>_xlfn.CONCAT(Tabla16[[#This Row],[ABR_01]],"00",Tabla16[[#This Row],[ABR_02]],Tabla16[[#This Row],[ZONA2]],,"0",Tabla16[[#This Row],[PARADA2]])</f>
        <v>AR00CT1002</v>
      </c>
      <c r="S393" s="60" t="s">
        <v>652</v>
      </c>
      <c r="T393" s="42" t="s">
        <v>324</v>
      </c>
      <c r="U393" s="53" t="s">
        <v>324</v>
      </c>
      <c r="V393" t="s">
        <v>851</v>
      </c>
    </row>
    <row r="394" spans="1:22" x14ac:dyDescent="0.25">
      <c r="A394" s="56" t="s">
        <v>325</v>
      </c>
      <c r="B394" s="38" t="s">
        <v>341</v>
      </c>
      <c r="C394" s="10" t="s">
        <v>199</v>
      </c>
      <c r="D394" s="39" t="s">
        <v>336</v>
      </c>
      <c r="E394" s="16" t="s">
        <v>34</v>
      </c>
      <c r="F394" s="12">
        <v>356</v>
      </c>
      <c r="G394" s="16">
        <v>953</v>
      </c>
      <c r="H394" s="40" t="s">
        <v>315</v>
      </c>
      <c r="I394" s="40" t="s">
        <v>337</v>
      </c>
      <c r="J394" s="41" t="s">
        <v>317</v>
      </c>
      <c r="K394" s="41" t="s">
        <v>332</v>
      </c>
      <c r="L394" s="57" t="s">
        <v>319</v>
      </c>
      <c r="M394" s="58" t="str">
        <f>Tabla16[[#This Row],[ABR_02]]</f>
        <v>CT</v>
      </c>
      <c r="N394" t="s">
        <v>320</v>
      </c>
      <c r="O394" s="59" t="s">
        <v>334</v>
      </c>
      <c r="P394" t="s">
        <v>650</v>
      </c>
      <c r="Q394" t="s">
        <v>651</v>
      </c>
      <c r="R394" s="60" t="str">
        <f>_xlfn.CONCAT(Tabla16[[#This Row],[ABR_01]],"00",Tabla16[[#This Row],[ABR_02]],Tabla16[[#This Row],[ZONA2]],,"0",Tabla16[[#This Row],[PARADA2]])</f>
        <v>AR00CT1003</v>
      </c>
      <c r="S394" s="60" t="s">
        <v>652</v>
      </c>
      <c r="T394" s="42" t="s">
        <v>324</v>
      </c>
      <c r="U394" s="53" t="s">
        <v>324</v>
      </c>
      <c r="V394" t="s">
        <v>851</v>
      </c>
    </row>
    <row r="395" spans="1:22" x14ac:dyDescent="0.25">
      <c r="A395" s="56" t="s">
        <v>325</v>
      </c>
      <c r="B395" s="38" t="s">
        <v>342</v>
      </c>
      <c r="C395" s="10" t="s">
        <v>342</v>
      </c>
      <c r="D395" s="39" t="s">
        <v>336</v>
      </c>
      <c r="E395" s="16" t="s">
        <v>34</v>
      </c>
      <c r="F395" s="12">
        <v>356</v>
      </c>
      <c r="G395" s="16">
        <v>964</v>
      </c>
      <c r="H395" s="40" t="s">
        <v>315</v>
      </c>
      <c r="I395" s="40" t="s">
        <v>337</v>
      </c>
      <c r="J395" s="41" t="s">
        <v>317</v>
      </c>
      <c r="K395" s="41" t="s">
        <v>334</v>
      </c>
      <c r="L395" s="57" t="s">
        <v>319</v>
      </c>
      <c r="M395" s="58" t="str">
        <f>Tabla16[[#This Row],[ABR_02]]</f>
        <v>CT</v>
      </c>
      <c r="N395" t="s">
        <v>320</v>
      </c>
      <c r="O395" s="59" t="s">
        <v>334</v>
      </c>
      <c r="P395" t="s">
        <v>650</v>
      </c>
      <c r="Q395" t="s">
        <v>651</v>
      </c>
      <c r="R395" s="60" t="str">
        <f>_xlfn.CONCAT(Tabla16[[#This Row],[ABR_01]],"00",Tabla16[[#This Row],[ABR_02]],Tabla16[[#This Row],[ZONA2]],,"0",Tabla16[[#This Row],[PARADA2]])</f>
        <v>AR00CT1004</v>
      </c>
      <c r="S395" s="60" t="s">
        <v>652</v>
      </c>
      <c r="T395" s="42" t="s">
        <v>324</v>
      </c>
      <c r="U395" s="53" t="s">
        <v>324</v>
      </c>
      <c r="V395" t="s">
        <v>851</v>
      </c>
    </row>
    <row r="396" spans="1:22" x14ac:dyDescent="0.25">
      <c r="A396" s="56" t="s">
        <v>325</v>
      </c>
      <c r="B396" s="38" t="s">
        <v>343</v>
      </c>
      <c r="C396" s="44" t="s">
        <v>113</v>
      </c>
      <c r="D396" s="39" t="s">
        <v>336</v>
      </c>
      <c r="E396" s="16" t="s">
        <v>34</v>
      </c>
      <c r="F396" s="12">
        <v>356</v>
      </c>
      <c r="G396" s="16">
        <v>962</v>
      </c>
      <c r="H396" s="40" t="s">
        <v>315</v>
      </c>
      <c r="I396" s="40" t="s">
        <v>337</v>
      </c>
      <c r="J396" s="41" t="s">
        <v>317</v>
      </c>
      <c r="K396" s="41" t="s">
        <v>344</v>
      </c>
      <c r="L396" s="57" t="s">
        <v>319</v>
      </c>
      <c r="M396" s="58" t="str">
        <f>Tabla16[[#This Row],[ABR_02]]</f>
        <v>CT</v>
      </c>
      <c r="N396" t="s">
        <v>320</v>
      </c>
      <c r="O396" s="59" t="s">
        <v>334</v>
      </c>
      <c r="P396" t="s">
        <v>650</v>
      </c>
      <c r="Q396" t="s">
        <v>651</v>
      </c>
      <c r="R396" s="60" t="str">
        <f>_xlfn.CONCAT(Tabla16[[#This Row],[ABR_01]],"00",Tabla16[[#This Row],[ABR_02]],Tabla16[[#This Row],[ZONA2]],,"0",Tabla16[[#This Row],[PARADA2]])</f>
        <v>AR00CT1005</v>
      </c>
      <c r="S396" s="60" t="s">
        <v>652</v>
      </c>
      <c r="T396" s="42" t="s">
        <v>324</v>
      </c>
      <c r="U396" s="53" t="s">
        <v>324</v>
      </c>
      <c r="V396" t="s">
        <v>851</v>
      </c>
    </row>
    <row r="397" spans="1:22" x14ac:dyDescent="0.25">
      <c r="A397" s="56" t="s">
        <v>325</v>
      </c>
      <c r="B397" s="38" t="s">
        <v>203</v>
      </c>
      <c r="C397" s="10" t="s">
        <v>203</v>
      </c>
      <c r="D397" s="39" t="s">
        <v>336</v>
      </c>
      <c r="E397" s="16" t="s">
        <v>34</v>
      </c>
      <c r="F397" s="12">
        <v>356</v>
      </c>
      <c r="G397" s="16">
        <v>954</v>
      </c>
      <c r="H397" s="40" t="s">
        <v>315</v>
      </c>
      <c r="I397" s="40" t="s">
        <v>337</v>
      </c>
      <c r="J397" s="41" t="s">
        <v>317</v>
      </c>
      <c r="K397" s="41" t="s">
        <v>345</v>
      </c>
      <c r="L397" s="57" t="s">
        <v>319</v>
      </c>
      <c r="M397" s="58" t="str">
        <f>Tabla16[[#This Row],[ABR_02]]</f>
        <v>CT</v>
      </c>
      <c r="N397" t="s">
        <v>320</v>
      </c>
      <c r="O397" s="59" t="s">
        <v>334</v>
      </c>
      <c r="P397" t="s">
        <v>650</v>
      </c>
      <c r="Q397" t="s">
        <v>651</v>
      </c>
      <c r="R397" s="60" t="str">
        <f>_xlfn.CONCAT(Tabla16[[#This Row],[ABR_01]],"00",Tabla16[[#This Row],[ABR_02]],Tabla16[[#This Row],[ZONA2]],,"0",Tabla16[[#This Row],[PARADA2]])</f>
        <v>AR00CT1006</v>
      </c>
      <c r="S397" s="60" t="s">
        <v>652</v>
      </c>
      <c r="T397" s="42" t="s">
        <v>324</v>
      </c>
      <c r="U397" s="53" t="s">
        <v>324</v>
      </c>
      <c r="V397" t="s">
        <v>851</v>
      </c>
    </row>
    <row r="398" spans="1:22" x14ac:dyDescent="0.25">
      <c r="A398" s="56" t="s">
        <v>325</v>
      </c>
      <c r="B398" s="38" t="s">
        <v>346</v>
      </c>
      <c r="C398" s="44" t="s">
        <v>156</v>
      </c>
      <c r="D398" s="39" t="s">
        <v>336</v>
      </c>
      <c r="E398" s="16" t="s">
        <v>34</v>
      </c>
      <c r="F398" s="12">
        <v>356</v>
      </c>
      <c r="G398" s="16">
        <v>952</v>
      </c>
      <c r="H398" s="40" t="s">
        <v>315</v>
      </c>
      <c r="I398" s="40" t="s">
        <v>337</v>
      </c>
      <c r="J398" s="41" t="s">
        <v>317</v>
      </c>
      <c r="K398" s="41" t="s">
        <v>347</v>
      </c>
      <c r="L398" s="57" t="s">
        <v>319</v>
      </c>
      <c r="M398" s="58" t="str">
        <f>Tabla16[[#This Row],[ABR_02]]</f>
        <v>CT</v>
      </c>
      <c r="N398" t="s">
        <v>320</v>
      </c>
      <c r="O398" s="59" t="s">
        <v>334</v>
      </c>
      <c r="P398" t="s">
        <v>650</v>
      </c>
      <c r="Q398" t="s">
        <v>651</v>
      </c>
      <c r="R398" s="60" t="str">
        <f>_xlfn.CONCAT(Tabla16[[#This Row],[ABR_01]],"00",Tabla16[[#This Row],[ABR_02]],Tabla16[[#This Row],[ZONA2]],,"0",Tabla16[[#This Row],[PARADA2]])</f>
        <v>AR00CT1007</v>
      </c>
      <c r="S398" s="60" t="s">
        <v>652</v>
      </c>
      <c r="T398" s="42" t="s">
        <v>324</v>
      </c>
      <c r="U398" s="53" t="s">
        <v>324</v>
      </c>
      <c r="V398" t="s">
        <v>851</v>
      </c>
    </row>
    <row r="399" spans="1:22" x14ac:dyDescent="0.25">
      <c r="A399" s="56" t="s">
        <v>325</v>
      </c>
      <c r="B399" s="38" t="s">
        <v>348</v>
      </c>
      <c r="C399" s="44" t="s">
        <v>160</v>
      </c>
      <c r="D399" s="39" t="s">
        <v>336</v>
      </c>
      <c r="E399" s="16" t="s">
        <v>34</v>
      </c>
      <c r="F399" s="12">
        <v>356</v>
      </c>
      <c r="G399" s="16">
        <v>960</v>
      </c>
      <c r="H399" s="40" t="s">
        <v>315</v>
      </c>
      <c r="I399" s="40" t="s">
        <v>337</v>
      </c>
      <c r="J399" s="41" t="s">
        <v>317</v>
      </c>
      <c r="K399" s="41" t="s">
        <v>349</v>
      </c>
      <c r="L399" s="57" t="s">
        <v>319</v>
      </c>
      <c r="M399" s="58" t="str">
        <f>Tabla16[[#This Row],[ABR_02]]</f>
        <v>CT</v>
      </c>
      <c r="N399" t="s">
        <v>320</v>
      </c>
      <c r="O399" s="59" t="s">
        <v>334</v>
      </c>
      <c r="P399" t="s">
        <v>650</v>
      </c>
      <c r="Q399" t="s">
        <v>651</v>
      </c>
      <c r="R399" s="60" t="str">
        <f>_xlfn.CONCAT(Tabla16[[#This Row],[ABR_01]],"00",Tabla16[[#This Row],[ABR_02]],Tabla16[[#This Row],[ZONA2]],,"0",Tabla16[[#This Row],[PARADA2]])</f>
        <v>AR00CT1008</v>
      </c>
      <c r="S399" s="60" t="s">
        <v>652</v>
      </c>
      <c r="T399" s="42" t="s">
        <v>324</v>
      </c>
      <c r="U399" s="53" t="s">
        <v>324</v>
      </c>
      <c r="V399" t="s">
        <v>851</v>
      </c>
    </row>
    <row r="400" spans="1:22" x14ac:dyDescent="0.25">
      <c r="A400" s="56" t="s">
        <v>325</v>
      </c>
      <c r="B400" s="38" t="s">
        <v>186</v>
      </c>
      <c r="C400" s="10" t="s">
        <v>186</v>
      </c>
      <c r="D400" s="39" t="s">
        <v>326</v>
      </c>
      <c r="E400" s="16" t="s">
        <v>30</v>
      </c>
      <c r="F400" s="43">
        <v>299</v>
      </c>
      <c r="G400" s="16">
        <v>906</v>
      </c>
      <c r="H400" s="40" t="s">
        <v>315</v>
      </c>
      <c r="I400" s="40" t="s">
        <v>327</v>
      </c>
      <c r="J400" s="41" t="s">
        <v>317</v>
      </c>
      <c r="K400" s="41" t="s">
        <v>318</v>
      </c>
      <c r="L400" s="57" t="s">
        <v>319</v>
      </c>
      <c r="M400" s="58" t="str">
        <f>Tabla16[[#This Row],[ABR_02]]</f>
        <v>NQ</v>
      </c>
      <c r="N400" t="s">
        <v>320</v>
      </c>
      <c r="O400" s="59" t="s">
        <v>318</v>
      </c>
      <c r="P400" t="s">
        <v>321</v>
      </c>
      <c r="Q400" t="s">
        <v>328</v>
      </c>
      <c r="R400" s="60" t="str">
        <f>_xlfn.CONCAT(Tabla16[[#This Row],[ABR_01]],"00",Tabla16[[#This Row],[ABR_02]],Tabla16[[#This Row],[ZONA2]],,"0",Tabla16[[#This Row],[PARADA2]])</f>
        <v>AR00NQ1001</v>
      </c>
      <c r="S400" s="60" t="s">
        <v>329</v>
      </c>
      <c r="T400" s="42" t="s">
        <v>324</v>
      </c>
      <c r="U400" s="42" t="s">
        <v>324</v>
      </c>
      <c r="V400" t="s">
        <v>850</v>
      </c>
    </row>
    <row r="401" spans="1:22" x14ac:dyDescent="0.25">
      <c r="A401" s="56" t="s">
        <v>325</v>
      </c>
      <c r="B401" s="38" t="s">
        <v>330</v>
      </c>
      <c r="C401" s="10" t="s">
        <v>330</v>
      </c>
      <c r="D401" s="39" t="s">
        <v>326</v>
      </c>
      <c r="E401" s="16" t="s">
        <v>30</v>
      </c>
      <c r="F401" s="43">
        <v>299</v>
      </c>
      <c r="G401" s="16">
        <v>904</v>
      </c>
      <c r="H401" s="40" t="s">
        <v>315</v>
      </c>
      <c r="I401" s="40" t="s">
        <v>327</v>
      </c>
      <c r="J401" s="41" t="s">
        <v>317</v>
      </c>
      <c r="K401" s="41" t="s">
        <v>331</v>
      </c>
      <c r="L401" s="57" t="s">
        <v>319</v>
      </c>
      <c r="M401" s="58" t="str">
        <f>Tabla16[[#This Row],[ABR_02]]</f>
        <v>NQ</v>
      </c>
      <c r="N401" t="s">
        <v>320</v>
      </c>
      <c r="O401" s="59" t="s">
        <v>318</v>
      </c>
      <c r="P401" t="s">
        <v>321</v>
      </c>
      <c r="Q401" t="s">
        <v>328</v>
      </c>
      <c r="R401" s="60" t="str">
        <f>_xlfn.CONCAT(Tabla16[[#This Row],[ABR_01]],"00",Tabla16[[#This Row],[ABR_02]],Tabla16[[#This Row],[ZONA2]],,"0",Tabla16[[#This Row],[PARADA2]])</f>
        <v>AR00NQ1002</v>
      </c>
      <c r="S401" s="60" t="s">
        <v>329</v>
      </c>
      <c r="T401" s="42" t="s">
        <v>324</v>
      </c>
      <c r="U401" s="42" t="s">
        <v>324</v>
      </c>
      <c r="V401" t="s">
        <v>850</v>
      </c>
    </row>
    <row r="402" spans="1:22" x14ac:dyDescent="0.25">
      <c r="A402" s="56" t="s">
        <v>325</v>
      </c>
      <c r="B402" s="38" t="s">
        <v>141</v>
      </c>
      <c r="C402" s="10" t="s">
        <v>141</v>
      </c>
      <c r="D402" s="39" t="s">
        <v>326</v>
      </c>
      <c r="E402" s="16" t="s">
        <v>30</v>
      </c>
      <c r="F402" s="43">
        <v>299</v>
      </c>
      <c r="G402" s="16">
        <v>920</v>
      </c>
      <c r="H402" s="40" t="s">
        <v>315</v>
      </c>
      <c r="I402" s="40" t="s">
        <v>327</v>
      </c>
      <c r="J402" s="41" t="s">
        <v>317</v>
      </c>
      <c r="K402" s="41" t="s">
        <v>332</v>
      </c>
      <c r="L402" s="57" t="s">
        <v>319</v>
      </c>
      <c r="M402" s="58" t="str">
        <f>Tabla16[[#This Row],[ABR_02]]</f>
        <v>NQ</v>
      </c>
      <c r="N402" t="s">
        <v>320</v>
      </c>
      <c r="O402" s="59" t="s">
        <v>318</v>
      </c>
      <c r="P402" t="s">
        <v>321</v>
      </c>
      <c r="Q402" t="s">
        <v>328</v>
      </c>
      <c r="R402" s="60" t="str">
        <f>_xlfn.CONCAT(Tabla16[[#This Row],[ABR_01]],"00",Tabla16[[#This Row],[ABR_02]],Tabla16[[#This Row],[ZONA2]],,"0",Tabla16[[#This Row],[PARADA2]])</f>
        <v>AR00NQ1003</v>
      </c>
      <c r="S402" s="60" t="s">
        <v>329</v>
      </c>
      <c r="T402" s="42" t="s">
        <v>324</v>
      </c>
      <c r="U402" s="42" t="s">
        <v>324</v>
      </c>
      <c r="V402" t="s">
        <v>850</v>
      </c>
    </row>
    <row r="403" spans="1:22" x14ac:dyDescent="0.25">
      <c r="A403" s="56" t="s">
        <v>325</v>
      </c>
      <c r="B403" s="38" t="s">
        <v>333</v>
      </c>
      <c r="C403" s="44" t="s">
        <v>174</v>
      </c>
      <c r="D403" s="39" t="s">
        <v>326</v>
      </c>
      <c r="E403" s="16" t="s">
        <v>30</v>
      </c>
      <c r="F403" s="43">
        <v>299</v>
      </c>
      <c r="G403" s="16">
        <v>914</v>
      </c>
      <c r="H403" s="40" t="s">
        <v>315</v>
      </c>
      <c r="I403" s="40" t="s">
        <v>327</v>
      </c>
      <c r="J403" s="41" t="s">
        <v>317</v>
      </c>
      <c r="K403" s="41" t="s">
        <v>334</v>
      </c>
      <c r="L403" s="57" t="s">
        <v>319</v>
      </c>
      <c r="M403" s="58" t="str">
        <f>Tabla16[[#This Row],[ABR_02]]</f>
        <v>NQ</v>
      </c>
      <c r="N403" t="s">
        <v>320</v>
      </c>
      <c r="O403" s="59" t="s">
        <v>318</v>
      </c>
      <c r="P403" t="s">
        <v>321</v>
      </c>
      <c r="Q403" t="s">
        <v>328</v>
      </c>
      <c r="R403" s="60" t="str">
        <f>_xlfn.CONCAT(Tabla16[[#This Row],[ABR_01]],"00",Tabla16[[#This Row],[ABR_02]],Tabla16[[#This Row],[ZONA2]],,"0",Tabla16[[#This Row],[PARADA2]])</f>
        <v>AR00NQ1004</v>
      </c>
      <c r="S403" s="60" t="s">
        <v>329</v>
      </c>
      <c r="T403" s="42" t="s">
        <v>324</v>
      </c>
      <c r="U403" s="42" t="s">
        <v>324</v>
      </c>
      <c r="V403" t="s">
        <v>850</v>
      </c>
    </row>
    <row r="404" spans="1:22" x14ac:dyDescent="0.25">
      <c r="A404" s="56" t="s">
        <v>325</v>
      </c>
      <c r="B404" s="38" t="s">
        <v>186</v>
      </c>
      <c r="C404" s="10" t="s">
        <v>186</v>
      </c>
      <c r="D404" s="39" t="s">
        <v>326</v>
      </c>
      <c r="E404" s="16" t="s">
        <v>30</v>
      </c>
      <c r="F404" s="54">
        <v>299</v>
      </c>
      <c r="G404" s="16">
        <v>906</v>
      </c>
      <c r="H404" s="40" t="s">
        <v>315</v>
      </c>
      <c r="I404" s="40" t="s">
        <v>327</v>
      </c>
      <c r="J404" s="41" t="s">
        <v>317</v>
      </c>
      <c r="K404" s="41" t="s">
        <v>318</v>
      </c>
      <c r="L404" s="57" t="s">
        <v>319</v>
      </c>
      <c r="M404" s="58" t="str">
        <f>Tabla16[[#This Row],[ABR_02]]</f>
        <v>NQ</v>
      </c>
      <c r="N404" t="s">
        <v>320</v>
      </c>
      <c r="O404" s="59" t="s">
        <v>334</v>
      </c>
      <c r="P404" t="s">
        <v>650</v>
      </c>
      <c r="Q404" t="s">
        <v>320</v>
      </c>
      <c r="R404" s="60" t="str">
        <f>_xlfn.CONCAT(Tabla16[[#This Row],[ABR_01]],"00",Tabla16[[#This Row],[ABR_02]],Tabla16[[#This Row],[ZONA2]],,"0",Tabla16[[#This Row],[PARADA2]])</f>
        <v>AR00NQ1001</v>
      </c>
      <c r="S404" s="60" t="s">
        <v>580</v>
      </c>
      <c r="T404" s="42" t="s">
        <v>324</v>
      </c>
      <c r="U404" s="53" t="s">
        <v>324</v>
      </c>
      <c r="V404" t="s">
        <v>851</v>
      </c>
    </row>
    <row r="405" spans="1:22" x14ac:dyDescent="0.25">
      <c r="A405" s="56" t="s">
        <v>325</v>
      </c>
      <c r="B405" s="38" t="s">
        <v>330</v>
      </c>
      <c r="C405" s="10" t="s">
        <v>48</v>
      </c>
      <c r="D405" s="39" t="s">
        <v>326</v>
      </c>
      <c r="E405" s="16" t="s">
        <v>30</v>
      </c>
      <c r="F405" s="54">
        <v>299</v>
      </c>
      <c r="G405" s="16">
        <v>904</v>
      </c>
      <c r="H405" s="40" t="s">
        <v>315</v>
      </c>
      <c r="I405" s="40" t="s">
        <v>327</v>
      </c>
      <c r="J405" s="41" t="s">
        <v>317</v>
      </c>
      <c r="K405" s="41" t="s">
        <v>331</v>
      </c>
      <c r="L405" s="57" t="s">
        <v>319</v>
      </c>
      <c r="M405" s="58" t="str">
        <f>Tabla16[[#This Row],[ABR_02]]</f>
        <v>NQ</v>
      </c>
      <c r="N405" t="s">
        <v>320</v>
      </c>
      <c r="O405" s="59" t="s">
        <v>334</v>
      </c>
      <c r="P405" t="s">
        <v>650</v>
      </c>
      <c r="Q405" t="s">
        <v>320</v>
      </c>
      <c r="R405" s="60" t="str">
        <f>_xlfn.CONCAT(Tabla16[[#This Row],[ABR_01]],"00",Tabla16[[#This Row],[ABR_02]],Tabla16[[#This Row],[ZONA2]],,"0",Tabla16[[#This Row],[PARADA2]])</f>
        <v>AR00NQ1002</v>
      </c>
      <c r="S405" s="60" t="s">
        <v>580</v>
      </c>
      <c r="T405" s="42" t="s">
        <v>324</v>
      </c>
      <c r="U405" s="53" t="s">
        <v>324</v>
      </c>
      <c r="V405" t="s">
        <v>851</v>
      </c>
    </row>
    <row r="406" spans="1:22" x14ac:dyDescent="0.25">
      <c r="A406" s="56" t="s">
        <v>325</v>
      </c>
      <c r="B406" s="38" t="s">
        <v>141</v>
      </c>
      <c r="C406" s="10" t="s">
        <v>141</v>
      </c>
      <c r="D406" s="39" t="s">
        <v>326</v>
      </c>
      <c r="E406" s="16" t="s">
        <v>30</v>
      </c>
      <c r="F406" s="54">
        <v>299</v>
      </c>
      <c r="G406" s="16">
        <v>920</v>
      </c>
      <c r="H406" s="40" t="s">
        <v>315</v>
      </c>
      <c r="I406" s="40" t="s">
        <v>327</v>
      </c>
      <c r="J406" s="41" t="s">
        <v>317</v>
      </c>
      <c r="K406" s="41" t="s">
        <v>332</v>
      </c>
      <c r="L406" s="57" t="s">
        <v>319</v>
      </c>
      <c r="M406" s="58" t="str">
        <f>Tabla16[[#This Row],[ABR_02]]</f>
        <v>NQ</v>
      </c>
      <c r="N406" t="s">
        <v>320</v>
      </c>
      <c r="O406" s="59" t="s">
        <v>334</v>
      </c>
      <c r="P406" t="s">
        <v>650</v>
      </c>
      <c r="Q406" t="s">
        <v>320</v>
      </c>
      <c r="R406" s="60" t="str">
        <f>_xlfn.CONCAT(Tabla16[[#This Row],[ABR_01]],"00",Tabla16[[#This Row],[ABR_02]],Tabla16[[#This Row],[ZONA2]],,"0",Tabla16[[#This Row],[PARADA2]])</f>
        <v>AR00NQ1003</v>
      </c>
      <c r="S406" s="60" t="s">
        <v>580</v>
      </c>
      <c r="T406" s="42" t="s">
        <v>324</v>
      </c>
      <c r="U406" s="53" t="s">
        <v>324</v>
      </c>
      <c r="V406" t="s">
        <v>851</v>
      </c>
    </row>
    <row r="407" spans="1:22" x14ac:dyDescent="0.25">
      <c r="A407" s="56" t="s">
        <v>325</v>
      </c>
      <c r="B407" s="38" t="s">
        <v>333</v>
      </c>
      <c r="C407" s="44" t="s">
        <v>174</v>
      </c>
      <c r="D407" s="39" t="s">
        <v>326</v>
      </c>
      <c r="E407" s="16" t="s">
        <v>30</v>
      </c>
      <c r="F407" s="54">
        <v>299</v>
      </c>
      <c r="G407" s="16">
        <v>914</v>
      </c>
      <c r="H407" s="40" t="s">
        <v>315</v>
      </c>
      <c r="I407" s="40" t="s">
        <v>327</v>
      </c>
      <c r="J407" s="41" t="s">
        <v>317</v>
      </c>
      <c r="K407" s="41" t="s">
        <v>334</v>
      </c>
      <c r="L407" s="57" t="s">
        <v>319</v>
      </c>
      <c r="M407" s="58" t="str">
        <f>Tabla16[[#This Row],[ABR_02]]</f>
        <v>NQ</v>
      </c>
      <c r="N407" t="s">
        <v>320</v>
      </c>
      <c r="O407" s="59" t="s">
        <v>334</v>
      </c>
      <c r="P407" t="s">
        <v>650</v>
      </c>
      <c r="Q407" t="s">
        <v>320</v>
      </c>
      <c r="R407" s="60" t="str">
        <f>_xlfn.CONCAT(Tabla16[[#This Row],[ABR_01]],"00",Tabla16[[#This Row],[ABR_02]],Tabla16[[#This Row],[ZONA2]],,"0",Tabla16[[#This Row],[PARADA2]])</f>
        <v>AR00NQ1004</v>
      </c>
      <c r="S407" s="60" t="s">
        <v>580</v>
      </c>
      <c r="T407" s="42" t="s">
        <v>324</v>
      </c>
      <c r="U407" s="53" t="s">
        <v>324</v>
      </c>
      <c r="V407" t="s">
        <v>851</v>
      </c>
    </row>
    <row r="408" spans="1:22" x14ac:dyDescent="0.25">
      <c r="A408" s="56" t="s">
        <v>312</v>
      </c>
      <c r="B408" s="38" t="s">
        <v>313</v>
      </c>
      <c r="C408" s="38" t="s">
        <v>313</v>
      </c>
      <c r="D408" s="336" t="s">
        <v>314</v>
      </c>
      <c r="E408" s="337"/>
      <c r="F408" s="338"/>
      <c r="G408" s="16"/>
      <c r="H408" s="40" t="s">
        <v>315</v>
      </c>
      <c r="I408" s="40" t="s">
        <v>316</v>
      </c>
      <c r="J408" s="41" t="s">
        <v>317</v>
      </c>
      <c r="K408" s="41" t="s">
        <v>318</v>
      </c>
      <c r="L408" s="57" t="s">
        <v>319</v>
      </c>
      <c r="M408" s="62" t="str">
        <f>Tabla16[[#This Row],[ABR_02]]</f>
        <v>UR</v>
      </c>
      <c r="N408" t="s">
        <v>320</v>
      </c>
      <c r="O408" s="59" t="s">
        <v>318</v>
      </c>
      <c r="P408" t="s">
        <v>321</v>
      </c>
      <c r="Q408" t="s">
        <v>322</v>
      </c>
      <c r="R408" s="60" t="str">
        <f>_xlfn.CONCAT(Tabla16[[#This Row],[ABR_01]],"00",Tabla16[[#This Row],[ABR_02]],Tabla16[[#This Row],[ZONA2]],,"0",Tabla16[[#This Row],[PARADA2]])</f>
        <v>AR00UR1001</v>
      </c>
      <c r="S408" s="60" t="s">
        <v>323</v>
      </c>
      <c r="T408" s="42" t="s">
        <v>324</v>
      </c>
      <c r="U408" s="42" t="s">
        <v>324</v>
      </c>
      <c r="V408" t="s">
        <v>852</v>
      </c>
    </row>
    <row r="409" spans="1:22" x14ac:dyDescent="0.25">
      <c r="A409" s="56" t="s">
        <v>312</v>
      </c>
      <c r="B409" s="38" t="s">
        <v>313</v>
      </c>
      <c r="C409" s="38" t="s">
        <v>313</v>
      </c>
      <c r="D409" s="336" t="s">
        <v>314</v>
      </c>
      <c r="E409" s="337"/>
      <c r="F409" s="338"/>
      <c r="G409" s="16"/>
      <c r="H409" s="40" t="s">
        <v>315</v>
      </c>
      <c r="I409" s="40" t="s">
        <v>316</v>
      </c>
      <c r="J409" s="41" t="s">
        <v>317</v>
      </c>
      <c r="K409" s="41" t="s">
        <v>318</v>
      </c>
      <c r="L409" s="57" t="s">
        <v>319</v>
      </c>
      <c r="M409" s="62" t="str">
        <f>Tabla16[[#This Row],[ABR_02]]</f>
        <v>UR</v>
      </c>
      <c r="N409" t="s">
        <v>320</v>
      </c>
      <c r="O409" s="59" t="s">
        <v>334</v>
      </c>
      <c r="P409" t="s">
        <v>650</v>
      </c>
      <c r="Q409" t="s">
        <v>322</v>
      </c>
      <c r="R409" s="60" t="str">
        <f>_xlfn.CONCAT(Tabla16[[#This Row],[ABR_01]],"00",Tabla16[[#This Row],[ABR_02]],Tabla16[[#This Row],[ZONA2]],,"0",Tabla16[[#This Row],[PARADA2]])</f>
        <v>AR00UR1001</v>
      </c>
      <c r="S409" s="60" t="s">
        <v>323</v>
      </c>
      <c r="T409" s="42" t="s">
        <v>324</v>
      </c>
      <c r="U409" s="53" t="s">
        <v>324</v>
      </c>
      <c r="V409" t="s">
        <v>852</v>
      </c>
    </row>
  </sheetData>
  <conditionalFormatting sqref="G1:G409">
    <cfRule type="duplicateValues" dxfId="17" priority="1"/>
  </conditionalFormatting>
  <pageMargins left="0.7" right="0.7" top="0.75" bottom="0.75" header="0.3" footer="0.3"/>
  <pageSetup paperSize="0" orientation="portrait" horizontalDpi="203" verticalDpi="20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N422"/>
  <sheetViews>
    <sheetView workbookViewId="0">
      <selection activeCell="B1" sqref="B1"/>
    </sheetView>
  </sheetViews>
  <sheetFormatPr baseColWidth="10" defaultRowHeight="15" x14ac:dyDescent="0.25"/>
  <cols>
    <col min="2" max="2" width="14.7109375" bestFit="1" customWidth="1"/>
    <col min="6" max="6" width="23.42578125" bestFit="1" customWidth="1"/>
    <col min="14" max="14" width="25.42578125" bestFit="1" customWidth="1"/>
  </cols>
  <sheetData>
    <row r="1" spans="1:14" ht="51" customHeight="1" x14ac:dyDescent="0.25">
      <c r="A1" s="26" t="s">
        <v>655</v>
      </c>
      <c r="B1" s="26" t="s">
        <v>656</v>
      </c>
      <c r="C1" s="27" t="s">
        <v>657</v>
      </c>
      <c r="D1" s="27" t="s">
        <v>658</v>
      </c>
      <c r="E1" s="27" t="s">
        <v>659</v>
      </c>
      <c r="F1" s="26" t="s">
        <v>660</v>
      </c>
      <c r="G1" s="26" t="s">
        <v>661</v>
      </c>
      <c r="H1" s="26" t="s">
        <v>662</v>
      </c>
      <c r="I1" s="28" t="s">
        <v>663</v>
      </c>
      <c r="J1" s="29" t="s">
        <v>664</v>
      </c>
    </row>
    <row r="2" spans="1:14" x14ac:dyDescent="0.25">
      <c r="A2" s="30" t="s">
        <v>315</v>
      </c>
      <c r="B2" s="30" t="s">
        <v>665</v>
      </c>
      <c r="C2" s="30" t="s">
        <v>318</v>
      </c>
      <c r="D2" s="30" t="s">
        <v>666</v>
      </c>
      <c r="E2" s="30" t="s">
        <v>315</v>
      </c>
      <c r="F2" s="30" t="s">
        <v>667</v>
      </c>
      <c r="G2" s="30"/>
      <c r="H2" s="30" t="s">
        <v>329</v>
      </c>
      <c r="I2" s="30"/>
      <c r="J2" s="31" t="s">
        <v>329</v>
      </c>
      <c r="N2" s="78" t="s">
        <v>791</v>
      </c>
    </row>
    <row r="3" spans="1:14" x14ac:dyDescent="0.25">
      <c r="A3" s="30" t="s">
        <v>315</v>
      </c>
      <c r="B3" s="30" t="s">
        <v>665</v>
      </c>
      <c r="C3" s="30" t="s">
        <v>318</v>
      </c>
      <c r="D3" s="30" t="s">
        <v>666</v>
      </c>
      <c r="E3" s="30" t="s">
        <v>315</v>
      </c>
      <c r="F3" s="30" t="s">
        <v>183</v>
      </c>
      <c r="G3" s="30"/>
      <c r="H3" s="30" t="s">
        <v>580</v>
      </c>
      <c r="I3" s="30"/>
      <c r="J3" s="31" t="s">
        <v>580</v>
      </c>
      <c r="N3" s="79" t="s">
        <v>29</v>
      </c>
    </row>
    <row r="4" spans="1:14" x14ac:dyDescent="0.25">
      <c r="A4" s="30" t="s">
        <v>315</v>
      </c>
      <c r="B4" s="30" t="s">
        <v>665</v>
      </c>
      <c r="C4" s="30" t="s">
        <v>318</v>
      </c>
      <c r="D4" s="30" t="s">
        <v>666</v>
      </c>
      <c r="E4" s="30" t="s">
        <v>315</v>
      </c>
      <c r="F4" s="30" t="s">
        <v>183</v>
      </c>
      <c r="G4" s="30" t="s">
        <v>668</v>
      </c>
      <c r="H4" s="30" t="s">
        <v>580</v>
      </c>
      <c r="I4" s="30"/>
      <c r="J4" s="31" t="s">
        <v>580</v>
      </c>
      <c r="N4" s="79" t="s">
        <v>176</v>
      </c>
    </row>
    <row r="5" spans="1:14" x14ac:dyDescent="0.25">
      <c r="A5" s="30" t="s">
        <v>315</v>
      </c>
      <c r="B5" s="30" t="s">
        <v>665</v>
      </c>
      <c r="C5" s="30" t="s">
        <v>318</v>
      </c>
      <c r="D5" s="30" t="s">
        <v>666</v>
      </c>
      <c r="E5" s="30" t="s">
        <v>315</v>
      </c>
      <c r="F5" s="30" t="s">
        <v>183</v>
      </c>
      <c r="G5" s="30" t="s">
        <v>669</v>
      </c>
      <c r="H5" s="30" t="s">
        <v>580</v>
      </c>
      <c r="I5" s="30"/>
      <c r="J5" s="31" t="s">
        <v>580</v>
      </c>
      <c r="N5" s="79" t="s">
        <v>181</v>
      </c>
    </row>
    <row r="6" spans="1:14" x14ac:dyDescent="0.25">
      <c r="A6" s="30" t="s">
        <v>315</v>
      </c>
      <c r="B6" s="30" t="s">
        <v>665</v>
      </c>
      <c r="C6" s="30" t="s">
        <v>318</v>
      </c>
      <c r="D6" s="30" t="s">
        <v>666</v>
      </c>
      <c r="E6" s="30" t="s">
        <v>315</v>
      </c>
      <c r="F6" s="30" t="s">
        <v>183</v>
      </c>
      <c r="G6" s="30" t="s">
        <v>670</v>
      </c>
      <c r="H6" s="30" t="s">
        <v>580</v>
      </c>
      <c r="I6" s="30"/>
      <c r="J6" s="31" t="s">
        <v>580</v>
      </c>
      <c r="N6" s="79" t="s">
        <v>184</v>
      </c>
    </row>
    <row r="7" spans="1:14" x14ac:dyDescent="0.25">
      <c r="A7" s="30" t="s">
        <v>315</v>
      </c>
      <c r="B7" s="30" t="s">
        <v>665</v>
      </c>
      <c r="C7" s="30" t="s">
        <v>318</v>
      </c>
      <c r="D7" s="30" t="s">
        <v>666</v>
      </c>
      <c r="E7" s="30" t="s">
        <v>315</v>
      </c>
      <c r="F7" s="30" t="s">
        <v>183</v>
      </c>
      <c r="G7" s="30" t="s">
        <v>671</v>
      </c>
      <c r="H7" s="30" t="s">
        <v>580</v>
      </c>
      <c r="I7" s="30"/>
      <c r="J7" s="31" t="s">
        <v>580</v>
      </c>
      <c r="N7" s="79" t="s">
        <v>207</v>
      </c>
    </row>
    <row r="8" spans="1:14" x14ac:dyDescent="0.25">
      <c r="A8" s="30" t="s">
        <v>315</v>
      </c>
      <c r="B8" s="30" t="s">
        <v>665</v>
      </c>
      <c r="C8" s="30" t="s">
        <v>318</v>
      </c>
      <c r="D8" s="30" t="s">
        <v>666</v>
      </c>
      <c r="E8" s="30" t="s">
        <v>315</v>
      </c>
      <c r="F8" s="30" t="s">
        <v>183</v>
      </c>
      <c r="G8" s="30" t="s">
        <v>672</v>
      </c>
      <c r="H8" s="30" t="s">
        <v>580</v>
      </c>
      <c r="I8" s="30"/>
      <c r="J8" s="31" t="s">
        <v>580</v>
      </c>
      <c r="N8" s="79" t="s">
        <v>254</v>
      </c>
    </row>
    <row r="9" spans="1:14" x14ac:dyDescent="0.25">
      <c r="A9" s="30" t="s">
        <v>315</v>
      </c>
      <c r="B9" s="30" t="s">
        <v>665</v>
      </c>
      <c r="C9" s="30" t="s">
        <v>318</v>
      </c>
      <c r="D9" s="30" t="s">
        <v>666</v>
      </c>
      <c r="E9" s="30" t="s">
        <v>315</v>
      </c>
      <c r="F9" s="30" t="s">
        <v>183</v>
      </c>
      <c r="G9" s="30" t="s">
        <v>673</v>
      </c>
      <c r="H9" s="30" t="s">
        <v>580</v>
      </c>
      <c r="I9" s="30"/>
      <c r="J9" s="31" t="s">
        <v>580</v>
      </c>
      <c r="N9" s="79" t="s">
        <v>259</v>
      </c>
    </row>
    <row r="10" spans="1:14" x14ac:dyDescent="0.25">
      <c r="A10" s="30" t="s">
        <v>315</v>
      </c>
      <c r="B10" s="30" t="s">
        <v>665</v>
      </c>
      <c r="C10" s="30" t="s">
        <v>318</v>
      </c>
      <c r="D10" s="30" t="s">
        <v>666</v>
      </c>
      <c r="E10" s="30" t="s">
        <v>315</v>
      </c>
      <c r="F10" s="30" t="s">
        <v>183</v>
      </c>
      <c r="G10" s="30" t="s">
        <v>674</v>
      </c>
      <c r="H10" s="30" t="s">
        <v>580</v>
      </c>
      <c r="I10" s="30"/>
      <c r="J10" s="31" t="s">
        <v>580</v>
      </c>
      <c r="N10" s="79" t="s">
        <v>260</v>
      </c>
    </row>
    <row r="11" spans="1:14" x14ac:dyDescent="0.25">
      <c r="A11" s="30" t="s">
        <v>315</v>
      </c>
      <c r="B11" s="30" t="s">
        <v>665</v>
      </c>
      <c r="C11" s="30" t="s">
        <v>318</v>
      </c>
      <c r="D11" s="30" t="s">
        <v>666</v>
      </c>
      <c r="E11" s="30" t="s">
        <v>315</v>
      </c>
      <c r="F11" s="30" t="s">
        <v>183</v>
      </c>
      <c r="G11" s="30" t="s">
        <v>675</v>
      </c>
      <c r="H11" s="30" t="s">
        <v>580</v>
      </c>
      <c r="I11" s="30"/>
      <c r="J11" s="31" t="s">
        <v>580</v>
      </c>
      <c r="N11" s="79" t="s">
        <v>792</v>
      </c>
    </row>
    <row r="12" spans="1:14" x14ac:dyDescent="0.25">
      <c r="A12" s="30" t="s">
        <v>315</v>
      </c>
      <c r="B12" s="30" t="s">
        <v>665</v>
      </c>
      <c r="C12" s="30" t="s">
        <v>318</v>
      </c>
      <c r="D12" s="30" t="s">
        <v>666</v>
      </c>
      <c r="E12" s="30" t="s">
        <v>315</v>
      </c>
      <c r="F12" s="30" t="s">
        <v>183</v>
      </c>
      <c r="G12" s="30" t="s">
        <v>676</v>
      </c>
      <c r="H12" s="30" t="s">
        <v>580</v>
      </c>
      <c r="I12" s="30"/>
      <c r="J12" s="31" t="s">
        <v>580</v>
      </c>
    </row>
    <row r="13" spans="1:14" x14ac:dyDescent="0.25">
      <c r="A13" s="30" t="s">
        <v>315</v>
      </c>
      <c r="B13" s="30" t="s">
        <v>665</v>
      </c>
      <c r="C13" s="30" t="s">
        <v>318</v>
      </c>
      <c r="D13" s="30" t="s">
        <v>666</v>
      </c>
      <c r="E13" s="30" t="s">
        <v>315</v>
      </c>
      <c r="F13" s="30" t="s">
        <v>183</v>
      </c>
      <c r="G13" s="30" t="s">
        <v>677</v>
      </c>
      <c r="H13" s="30" t="s">
        <v>580</v>
      </c>
      <c r="I13" s="30"/>
      <c r="J13" s="31" t="s">
        <v>580</v>
      </c>
    </row>
    <row r="14" spans="1:14" x14ac:dyDescent="0.25">
      <c r="A14" s="30" t="s">
        <v>315</v>
      </c>
      <c r="B14" s="30" t="s">
        <v>665</v>
      </c>
      <c r="C14" s="30" t="s">
        <v>318</v>
      </c>
      <c r="D14" s="30" t="s">
        <v>666</v>
      </c>
      <c r="E14" s="30" t="s">
        <v>315</v>
      </c>
      <c r="F14" s="30" t="s">
        <v>220</v>
      </c>
      <c r="G14" s="30"/>
      <c r="H14" s="30" t="s">
        <v>580</v>
      </c>
      <c r="I14" s="30"/>
      <c r="J14" s="31" t="s">
        <v>580</v>
      </c>
    </row>
    <row r="15" spans="1:14" x14ac:dyDescent="0.25">
      <c r="A15" s="30" t="s">
        <v>315</v>
      </c>
      <c r="B15" s="30" t="s">
        <v>665</v>
      </c>
      <c r="C15" s="30" t="s">
        <v>318</v>
      </c>
      <c r="D15" s="30" t="s">
        <v>666</v>
      </c>
      <c r="E15" s="30" t="s">
        <v>315</v>
      </c>
      <c r="F15" s="30" t="s">
        <v>179</v>
      </c>
      <c r="G15" s="30"/>
      <c r="H15" s="30" t="s">
        <v>580</v>
      </c>
      <c r="I15" s="30"/>
      <c r="J15" s="31" t="s">
        <v>580</v>
      </c>
    </row>
    <row r="16" spans="1:14" x14ac:dyDescent="0.25">
      <c r="A16" s="30" t="s">
        <v>315</v>
      </c>
      <c r="B16" s="30" t="s">
        <v>665</v>
      </c>
      <c r="C16" s="30" t="s">
        <v>318</v>
      </c>
      <c r="D16" s="30" t="s">
        <v>666</v>
      </c>
      <c r="E16" s="30" t="s">
        <v>315</v>
      </c>
      <c r="F16" s="30" t="s">
        <v>222</v>
      </c>
      <c r="G16" s="30"/>
      <c r="H16" s="30" t="s">
        <v>580</v>
      </c>
      <c r="I16" s="30"/>
      <c r="J16" s="31" t="s">
        <v>580</v>
      </c>
    </row>
    <row r="17" spans="1:10" x14ac:dyDescent="0.25">
      <c r="A17" s="30" t="s">
        <v>315</v>
      </c>
      <c r="B17" s="30" t="s">
        <v>665</v>
      </c>
      <c r="C17" s="30" t="s">
        <v>318</v>
      </c>
      <c r="D17" s="30" t="s">
        <v>666</v>
      </c>
      <c r="E17" s="30" t="s">
        <v>315</v>
      </c>
      <c r="F17" s="30" t="s">
        <v>214</v>
      </c>
      <c r="G17" s="30"/>
      <c r="H17" s="30" t="s">
        <v>580</v>
      </c>
      <c r="I17" s="30"/>
      <c r="J17" s="31" t="s">
        <v>580</v>
      </c>
    </row>
    <row r="18" spans="1:10" x14ac:dyDescent="0.25">
      <c r="A18" s="30" t="s">
        <v>315</v>
      </c>
      <c r="B18" s="30" t="s">
        <v>665</v>
      </c>
      <c r="C18" s="30" t="s">
        <v>318</v>
      </c>
      <c r="D18" s="30" t="s">
        <v>666</v>
      </c>
      <c r="E18" s="30" t="s">
        <v>315</v>
      </c>
      <c r="F18" s="30" t="s">
        <v>212</v>
      </c>
      <c r="G18" s="30"/>
      <c r="H18" s="30" t="s">
        <v>580</v>
      </c>
      <c r="I18" s="30"/>
      <c r="J18" s="31" t="s">
        <v>580</v>
      </c>
    </row>
    <row r="19" spans="1:10" x14ac:dyDescent="0.25">
      <c r="A19" s="30" t="s">
        <v>315</v>
      </c>
      <c r="B19" s="30" t="s">
        <v>665</v>
      </c>
      <c r="C19" s="30" t="s">
        <v>318</v>
      </c>
      <c r="D19" s="30" t="s">
        <v>666</v>
      </c>
      <c r="E19" s="30" t="s">
        <v>315</v>
      </c>
      <c r="F19" s="30" t="s">
        <v>218</v>
      </c>
      <c r="G19" s="30"/>
      <c r="H19" s="30" t="s">
        <v>580</v>
      </c>
      <c r="I19" s="30"/>
      <c r="J19" s="31" t="s">
        <v>580</v>
      </c>
    </row>
    <row r="20" spans="1:10" x14ac:dyDescent="0.25">
      <c r="A20" s="30" t="s">
        <v>315</v>
      </c>
      <c r="B20" s="30" t="s">
        <v>665</v>
      </c>
      <c r="C20" s="30" t="s">
        <v>318</v>
      </c>
      <c r="D20" s="30" t="s">
        <v>666</v>
      </c>
      <c r="E20" s="30" t="s">
        <v>315</v>
      </c>
      <c r="F20" s="30" t="s">
        <v>216</v>
      </c>
      <c r="G20" s="30"/>
      <c r="H20" s="30" t="s">
        <v>580</v>
      </c>
      <c r="I20" s="30"/>
      <c r="J20" s="31" t="s">
        <v>580</v>
      </c>
    </row>
    <row r="21" spans="1:10" x14ac:dyDescent="0.25">
      <c r="A21" s="30" t="s">
        <v>315</v>
      </c>
      <c r="B21" s="30" t="s">
        <v>665</v>
      </c>
      <c r="C21" s="30" t="s">
        <v>318</v>
      </c>
      <c r="D21" s="30" t="s">
        <v>666</v>
      </c>
      <c r="E21" s="30" t="s">
        <v>315</v>
      </c>
      <c r="F21" s="30" t="s">
        <v>678</v>
      </c>
      <c r="G21" s="30"/>
      <c r="H21" s="30" t="s">
        <v>580</v>
      </c>
      <c r="I21" s="30"/>
      <c r="J21" s="31" t="s">
        <v>379</v>
      </c>
    </row>
    <row r="22" spans="1:10" x14ac:dyDescent="0.25">
      <c r="A22" s="30" t="s">
        <v>315</v>
      </c>
      <c r="B22" s="30" t="s">
        <v>665</v>
      </c>
      <c r="C22" s="30" t="s">
        <v>318</v>
      </c>
      <c r="D22" s="30" t="s">
        <v>666</v>
      </c>
      <c r="E22" s="30" t="s">
        <v>315</v>
      </c>
      <c r="F22" s="30" t="s">
        <v>679</v>
      </c>
      <c r="G22" s="30"/>
      <c r="H22" s="30" t="s">
        <v>580</v>
      </c>
      <c r="I22" s="30"/>
      <c r="J22" s="31" t="s">
        <v>379</v>
      </c>
    </row>
    <row r="23" spans="1:10" x14ac:dyDescent="0.25">
      <c r="A23" s="30" t="s">
        <v>315</v>
      </c>
      <c r="B23" s="30" t="s">
        <v>665</v>
      </c>
      <c r="C23" s="30" t="s">
        <v>318</v>
      </c>
      <c r="D23" s="30" t="s">
        <v>666</v>
      </c>
      <c r="E23" s="30" t="s">
        <v>315</v>
      </c>
      <c r="F23" s="30" t="s">
        <v>209</v>
      </c>
      <c r="G23" s="30"/>
      <c r="H23" s="30" t="s">
        <v>580</v>
      </c>
      <c r="I23" s="30"/>
      <c r="J23" s="31" t="s">
        <v>379</v>
      </c>
    </row>
    <row r="24" spans="1:10" x14ac:dyDescent="0.25">
      <c r="A24" s="30" t="s">
        <v>315</v>
      </c>
      <c r="B24" s="30" t="s">
        <v>665</v>
      </c>
      <c r="C24" s="30" t="s">
        <v>318</v>
      </c>
      <c r="D24" s="30" t="s">
        <v>666</v>
      </c>
      <c r="E24" s="30" t="s">
        <v>315</v>
      </c>
      <c r="F24" s="30" t="s">
        <v>89</v>
      </c>
      <c r="G24" s="30"/>
      <c r="H24" s="30" t="s">
        <v>580</v>
      </c>
      <c r="I24" s="30"/>
      <c r="J24" s="31" t="s">
        <v>379</v>
      </c>
    </row>
    <row r="25" spans="1:10" x14ac:dyDescent="0.25">
      <c r="A25" s="30" t="s">
        <v>315</v>
      </c>
      <c r="B25" s="30" t="s">
        <v>665</v>
      </c>
      <c r="C25" s="30" t="s">
        <v>318</v>
      </c>
      <c r="D25" s="30" t="s">
        <v>666</v>
      </c>
      <c r="E25" s="30" t="s">
        <v>315</v>
      </c>
      <c r="F25" s="30" t="s">
        <v>680</v>
      </c>
      <c r="G25" s="30"/>
      <c r="H25" s="30" t="s">
        <v>580</v>
      </c>
      <c r="I25" s="30"/>
      <c r="J25" s="31" t="s">
        <v>379</v>
      </c>
    </row>
    <row r="26" spans="1:10" x14ac:dyDescent="0.25">
      <c r="A26" s="30" t="s">
        <v>315</v>
      </c>
      <c r="B26" s="30" t="s">
        <v>665</v>
      </c>
      <c r="C26" s="30" t="s">
        <v>318</v>
      </c>
      <c r="D26" s="30" t="s">
        <v>666</v>
      </c>
      <c r="E26" s="30" t="s">
        <v>315</v>
      </c>
      <c r="F26" s="30" t="s">
        <v>256</v>
      </c>
      <c r="G26" s="30"/>
      <c r="H26" s="30" t="s">
        <v>580</v>
      </c>
      <c r="I26" s="30"/>
      <c r="J26" s="31" t="s">
        <v>379</v>
      </c>
    </row>
    <row r="27" spans="1:10" x14ac:dyDescent="0.25">
      <c r="A27" s="30" t="s">
        <v>315</v>
      </c>
      <c r="B27" s="30" t="s">
        <v>665</v>
      </c>
      <c r="C27" s="30" t="s">
        <v>318</v>
      </c>
      <c r="D27" s="30" t="s">
        <v>666</v>
      </c>
      <c r="E27" s="30" t="s">
        <v>315</v>
      </c>
      <c r="F27" s="30" t="s">
        <v>681</v>
      </c>
      <c r="G27" s="30"/>
      <c r="H27" s="30" t="s">
        <v>580</v>
      </c>
      <c r="I27" s="30"/>
      <c r="J27" s="31" t="s">
        <v>379</v>
      </c>
    </row>
    <row r="28" spans="1:10" x14ac:dyDescent="0.25">
      <c r="A28" s="30" t="s">
        <v>315</v>
      </c>
      <c r="B28" s="30" t="s">
        <v>665</v>
      </c>
      <c r="C28" s="30" t="s">
        <v>318</v>
      </c>
      <c r="D28" s="30" t="s">
        <v>666</v>
      </c>
      <c r="E28" s="30" t="s">
        <v>315</v>
      </c>
      <c r="F28" s="30" t="s">
        <v>682</v>
      </c>
      <c r="G28" s="30"/>
      <c r="H28" s="30" t="s">
        <v>580</v>
      </c>
      <c r="I28" s="30"/>
      <c r="J28" s="31" t="s">
        <v>379</v>
      </c>
    </row>
    <row r="29" spans="1:10" x14ac:dyDescent="0.25">
      <c r="A29" s="30" t="s">
        <v>315</v>
      </c>
      <c r="B29" s="30" t="s">
        <v>665</v>
      </c>
      <c r="C29" s="30" t="s">
        <v>318</v>
      </c>
      <c r="D29" s="30" t="s">
        <v>666</v>
      </c>
      <c r="E29" s="30" t="s">
        <v>315</v>
      </c>
      <c r="F29" s="30" t="s">
        <v>683</v>
      </c>
      <c r="G29" s="30"/>
      <c r="H29" s="30" t="s">
        <v>580</v>
      </c>
      <c r="I29" s="30"/>
      <c r="J29" s="31" t="s">
        <v>379</v>
      </c>
    </row>
    <row r="30" spans="1:10" x14ac:dyDescent="0.25">
      <c r="A30" s="30" t="s">
        <v>315</v>
      </c>
      <c r="B30" s="30" t="s">
        <v>665</v>
      </c>
      <c r="C30" s="30" t="s">
        <v>318</v>
      </c>
      <c r="D30" s="30" t="s">
        <v>666</v>
      </c>
      <c r="E30" s="30" t="s">
        <v>315</v>
      </c>
      <c r="F30" s="30" t="s">
        <v>684</v>
      </c>
      <c r="G30" s="30"/>
      <c r="H30" s="30" t="s">
        <v>580</v>
      </c>
      <c r="I30" s="30"/>
      <c r="J30" s="31" t="s">
        <v>379</v>
      </c>
    </row>
    <row r="31" spans="1:10" x14ac:dyDescent="0.25">
      <c r="A31" s="30" t="s">
        <v>315</v>
      </c>
      <c r="B31" s="30" t="s">
        <v>665</v>
      </c>
      <c r="C31" s="30" t="s">
        <v>318</v>
      </c>
      <c r="D31" s="30" t="s">
        <v>666</v>
      </c>
      <c r="E31" s="30" t="s">
        <v>315</v>
      </c>
      <c r="F31" s="30" t="s">
        <v>685</v>
      </c>
      <c r="G31" s="30"/>
      <c r="H31" s="30" t="s">
        <v>580</v>
      </c>
      <c r="I31" s="30"/>
      <c r="J31" s="31" t="s">
        <v>379</v>
      </c>
    </row>
    <row r="32" spans="1:10" x14ac:dyDescent="0.25">
      <c r="A32" s="30" t="s">
        <v>315</v>
      </c>
      <c r="B32" s="30" t="s">
        <v>665</v>
      </c>
      <c r="C32" s="30" t="s">
        <v>318</v>
      </c>
      <c r="D32" s="30" t="s">
        <v>666</v>
      </c>
      <c r="E32" s="30" t="s">
        <v>315</v>
      </c>
      <c r="F32" s="30" t="s">
        <v>686</v>
      </c>
      <c r="G32" s="30"/>
      <c r="H32" s="30" t="s">
        <v>580</v>
      </c>
      <c r="I32" s="30"/>
      <c r="J32" s="31" t="s">
        <v>379</v>
      </c>
    </row>
    <row r="33" spans="1:10" x14ac:dyDescent="0.25">
      <c r="A33" s="30" t="s">
        <v>315</v>
      </c>
      <c r="B33" s="30" t="s">
        <v>665</v>
      </c>
      <c r="C33" s="30" t="s">
        <v>318</v>
      </c>
      <c r="D33" s="30" t="s">
        <v>666</v>
      </c>
      <c r="E33" s="30" t="s">
        <v>315</v>
      </c>
      <c r="F33" s="30" t="s">
        <v>687</v>
      </c>
      <c r="G33" s="30"/>
      <c r="H33" s="30" t="s">
        <v>580</v>
      </c>
      <c r="I33" s="30"/>
      <c r="J33" s="31" t="s">
        <v>379</v>
      </c>
    </row>
    <row r="34" spans="1:10" x14ac:dyDescent="0.25">
      <c r="A34" s="30" t="s">
        <v>315</v>
      </c>
      <c r="B34" s="30" t="s">
        <v>665</v>
      </c>
      <c r="C34" s="30" t="s">
        <v>318</v>
      </c>
      <c r="D34" s="30" t="s">
        <v>666</v>
      </c>
      <c r="E34" s="30" t="s">
        <v>315</v>
      </c>
      <c r="F34" s="30" t="s">
        <v>248</v>
      </c>
      <c r="G34" s="30"/>
      <c r="H34" s="30" t="s">
        <v>580</v>
      </c>
      <c r="I34" s="30"/>
      <c r="J34" s="31" t="s">
        <v>379</v>
      </c>
    </row>
    <row r="35" spans="1:10" x14ac:dyDescent="0.25">
      <c r="A35" s="30" t="s">
        <v>315</v>
      </c>
      <c r="B35" s="30" t="s">
        <v>665</v>
      </c>
      <c r="C35" s="30" t="s">
        <v>318</v>
      </c>
      <c r="D35" s="30" t="s">
        <v>666</v>
      </c>
      <c r="E35" s="30" t="s">
        <v>315</v>
      </c>
      <c r="F35" s="30" t="s">
        <v>688</v>
      </c>
      <c r="G35" s="30"/>
      <c r="H35" s="30" t="s">
        <v>580</v>
      </c>
      <c r="I35" s="30"/>
      <c r="J35" s="31" t="s">
        <v>379</v>
      </c>
    </row>
    <row r="36" spans="1:10" x14ac:dyDescent="0.25">
      <c r="A36" s="30" t="s">
        <v>315</v>
      </c>
      <c r="B36" s="30" t="s">
        <v>665</v>
      </c>
      <c r="C36" s="30" t="s">
        <v>318</v>
      </c>
      <c r="D36" s="30" t="s">
        <v>666</v>
      </c>
      <c r="E36" s="30" t="s">
        <v>315</v>
      </c>
      <c r="F36" s="30" t="s">
        <v>250</v>
      </c>
      <c r="G36" s="30"/>
      <c r="H36" s="30" t="s">
        <v>580</v>
      </c>
      <c r="I36" s="30"/>
      <c r="J36" s="31" t="s">
        <v>379</v>
      </c>
    </row>
    <row r="37" spans="1:10" x14ac:dyDescent="0.25">
      <c r="A37" s="30" t="s">
        <v>315</v>
      </c>
      <c r="B37" s="30" t="s">
        <v>665</v>
      </c>
      <c r="C37" s="30" t="s">
        <v>318</v>
      </c>
      <c r="D37" s="30" t="s">
        <v>666</v>
      </c>
      <c r="E37" s="30" t="s">
        <v>315</v>
      </c>
      <c r="F37" s="30" t="s">
        <v>689</v>
      </c>
      <c r="G37" s="30"/>
      <c r="H37" s="30" t="s">
        <v>580</v>
      </c>
      <c r="I37" s="30"/>
      <c r="J37" s="31" t="s">
        <v>379</v>
      </c>
    </row>
    <row r="38" spans="1:10" x14ac:dyDescent="0.25">
      <c r="A38" s="30" t="s">
        <v>315</v>
      </c>
      <c r="B38" s="30" t="s">
        <v>665</v>
      </c>
      <c r="C38" s="30" t="s">
        <v>318</v>
      </c>
      <c r="D38" s="30" t="s">
        <v>666</v>
      </c>
      <c r="E38" s="30" t="s">
        <v>315</v>
      </c>
      <c r="F38" s="30" t="s">
        <v>192</v>
      </c>
      <c r="G38" s="30"/>
      <c r="H38" s="30" t="s">
        <v>580</v>
      </c>
      <c r="I38" s="30"/>
      <c r="J38" s="31" t="s">
        <v>379</v>
      </c>
    </row>
    <row r="39" spans="1:10" x14ac:dyDescent="0.25">
      <c r="A39" s="30" t="s">
        <v>315</v>
      </c>
      <c r="B39" s="30" t="s">
        <v>665</v>
      </c>
      <c r="C39" s="30" t="s">
        <v>318</v>
      </c>
      <c r="D39" s="30" t="s">
        <v>666</v>
      </c>
      <c r="E39" s="30" t="s">
        <v>315</v>
      </c>
      <c r="F39" s="30" t="s">
        <v>690</v>
      </c>
      <c r="G39" s="30"/>
      <c r="H39" s="30" t="s">
        <v>580</v>
      </c>
      <c r="I39" s="30"/>
      <c r="J39" s="31" t="s">
        <v>379</v>
      </c>
    </row>
    <row r="40" spans="1:10" x14ac:dyDescent="0.25">
      <c r="A40" s="30" t="s">
        <v>315</v>
      </c>
      <c r="B40" s="30" t="s">
        <v>665</v>
      </c>
      <c r="C40" s="30" t="s">
        <v>318</v>
      </c>
      <c r="D40" s="30" t="s">
        <v>666</v>
      </c>
      <c r="E40" s="30" t="s">
        <v>315</v>
      </c>
      <c r="F40" s="30" t="s">
        <v>691</v>
      </c>
      <c r="G40" s="30"/>
      <c r="H40" s="30" t="s">
        <v>580</v>
      </c>
      <c r="I40" s="30"/>
      <c r="J40" s="31" t="s">
        <v>379</v>
      </c>
    </row>
    <row r="41" spans="1:10" x14ac:dyDescent="0.25">
      <c r="A41" s="30" t="s">
        <v>315</v>
      </c>
      <c r="B41" s="30" t="s">
        <v>665</v>
      </c>
      <c r="C41" s="30" t="s">
        <v>318</v>
      </c>
      <c r="D41" s="30" t="s">
        <v>666</v>
      </c>
      <c r="E41" s="30" t="s">
        <v>315</v>
      </c>
      <c r="F41" s="30" t="s">
        <v>692</v>
      </c>
      <c r="G41" s="30"/>
      <c r="H41" s="30" t="s">
        <v>580</v>
      </c>
      <c r="I41" s="30"/>
      <c r="J41" s="31" t="s">
        <v>379</v>
      </c>
    </row>
    <row r="42" spans="1:10" x14ac:dyDescent="0.25">
      <c r="A42" s="30" t="s">
        <v>315</v>
      </c>
      <c r="B42" s="30" t="s">
        <v>665</v>
      </c>
      <c r="C42" s="30" t="s">
        <v>318</v>
      </c>
      <c r="D42" s="30" t="s">
        <v>666</v>
      </c>
      <c r="E42" s="30" t="s">
        <v>315</v>
      </c>
      <c r="F42" s="30" t="s">
        <v>83</v>
      </c>
      <c r="G42" s="30"/>
      <c r="H42" s="30" t="s">
        <v>580</v>
      </c>
      <c r="I42" s="30"/>
      <c r="J42" s="31" t="s">
        <v>379</v>
      </c>
    </row>
    <row r="43" spans="1:10" x14ac:dyDescent="0.25">
      <c r="A43" s="30" t="s">
        <v>315</v>
      </c>
      <c r="B43" s="30" t="s">
        <v>665</v>
      </c>
      <c r="C43" s="30" t="s">
        <v>318</v>
      </c>
      <c r="D43" s="30" t="s">
        <v>666</v>
      </c>
      <c r="E43" s="30" t="s">
        <v>315</v>
      </c>
      <c r="F43" s="30" t="s">
        <v>693</v>
      </c>
      <c r="G43" s="30"/>
      <c r="H43" s="30" t="s">
        <v>580</v>
      </c>
      <c r="I43" s="30"/>
      <c r="J43" s="31" t="s">
        <v>379</v>
      </c>
    </row>
    <row r="44" spans="1:10" x14ac:dyDescent="0.25">
      <c r="A44" s="30" t="s">
        <v>315</v>
      </c>
      <c r="B44" s="30" t="s">
        <v>665</v>
      </c>
      <c r="C44" s="30" t="s">
        <v>318</v>
      </c>
      <c r="D44" s="30" t="s">
        <v>666</v>
      </c>
      <c r="E44" s="30" t="s">
        <v>315</v>
      </c>
      <c r="F44" s="30" t="s">
        <v>694</v>
      </c>
      <c r="G44" s="30"/>
      <c r="H44" s="30" t="s">
        <v>580</v>
      </c>
      <c r="I44" s="30"/>
      <c r="J44" s="31" t="s">
        <v>379</v>
      </c>
    </row>
    <row r="45" spans="1:10" x14ac:dyDescent="0.25">
      <c r="A45" s="30" t="s">
        <v>315</v>
      </c>
      <c r="B45" s="30" t="s">
        <v>665</v>
      </c>
      <c r="C45" s="30" t="s">
        <v>318</v>
      </c>
      <c r="D45" s="30" t="s">
        <v>666</v>
      </c>
      <c r="E45" s="30" t="s">
        <v>315</v>
      </c>
      <c r="F45" s="30" t="s">
        <v>252</v>
      </c>
      <c r="G45" s="30"/>
      <c r="H45" s="30" t="s">
        <v>580</v>
      </c>
      <c r="I45" s="30"/>
      <c r="J45" s="31" t="s">
        <v>379</v>
      </c>
    </row>
    <row r="46" spans="1:10" x14ac:dyDescent="0.25">
      <c r="A46" s="30" t="s">
        <v>315</v>
      </c>
      <c r="B46" s="30" t="s">
        <v>665</v>
      </c>
      <c r="C46" s="30" t="s">
        <v>318</v>
      </c>
      <c r="D46" s="30" t="s">
        <v>666</v>
      </c>
      <c r="E46" s="30" t="s">
        <v>315</v>
      </c>
      <c r="F46" s="30" t="s">
        <v>695</v>
      </c>
      <c r="G46" s="30"/>
      <c r="H46" s="30" t="s">
        <v>580</v>
      </c>
      <c r="I46" s="30"/>
      <c r="J46" s="31" t="s">
        <v>379</v>
      </c>
    </row>
    <row r="47" spans="1:10" x14ac:dyDescent="0.25">
      <c r="A47" s="30" t="s">
        <v>315</v>
      </c>
      <c r="B47" s="30" t="s">
        <v>665</v>
      </c>
      <c r="C47" s="30" t="s">
        <v>318</v>
      </c>
      <c r="D47" s="30" t="s">
        <v>666</v>
      </c>
      <c r="E47" s="30" t="s">
        <v>315</v>
      </c>
      <c r="F47" s="30" t="s">
        <v>99</v>
      </c>
      <c r="G47" s="30"/>
      <c r="H47" s="30" t="s">
        <v>580</v>
      </c>
      <c r="I47" s="30"/>
      <c r="J47" s="31" t="s">
        <v>379</v>
      </c>
    </row>
    <row r="48" spans="1:10" x14ac:dyDescent="0.25">
      <c r="A48" s="30" t="s">
        <v>315</v>
      </c>
      <c r="B48" s="30" t="s">
        <v>665</v>
      </c>
      <c r="C48" s="30" t="s">
        <v>318</v>
      </c>
      <c r="D48" s="30" t="s">
        <v>666</v>
      </c>
      <c r="E48" s="30" t="s">
        <v>315</v>
      </c>
      <c r="F48" s="30" t="s">
        <v>696</v>
      </c>
      <c r="G48" s="30"/>
      <c r="H48" s="30" t="s">
        <v>580</v>
      </c>
      <c r="I48" s="30"/>
      <c r="J48" s="31" t="s">
        <v>379</v>
      </c>
    </row>
    <row r="49" spans="1:10" x14ac:dyDescent="0.25">
      <c r="A49" s="30" t="s">
        <v>315</v>
      </c>
      <c r="B49" s="30" t="s">
        <v>665</v>
      </c>
      <c r="C49" s="30" t="s">
        <v>318</v>
      </c>
      <c r="D49" s="30" t="s">
        <v>666</v>
      </c>
      <c r="E49" s="30" t="s">
        <v>315</v>
      </c>
      <c r="F49" s="30" t="s">
        <v>198</v>
      </c>
      <c r="G49" s="30"/>
      <c r="H49" s="30" t="s">
        <v>580</v>
      </c>
      <c r="I49" s="30"/>
      <c r="J49" s="31" t="s">
        <v>379</v>
      </c>
    </row>
    <row r="50" spans="1:10" x14ac:dyDescent="0.25">
      <c r="A50" s="30" t="s">
        <v>315</v>
      </c>
      <c r="B50" s="30" t="s">
        <v>665</v>
      </c>
      <c r="C50" s="30" t="s">
        <v>318</v>
      </c>
      <c r="D50" s="30" t="s">
        <v>666</v>
      </c>
      <c r="E50" s="30" t="s">
        <v>315</v>
      </c>
      <c r="F50" s="30" t="s">
        <v>697</v>
      </c>
      <c r="G50" s="30"/>
      <c r="H50" s="30" t="s">
        <v>580</v>
      </c>
      <c r="I50" s="30"/>
      <c r="J50" s="31" t="s">
        <v>379</v>
      </c>
    </row>
    <row r="51" spans="1:10" x14ac:dyDescent="0.25">
      <c r="A51" s="30" t="s">
        <v>315</v>
      </c>
      <c r="B51" s="30" t="s">
        <v>665</v>
      </c>
      <c r="C51" s="30" t="s">
        <v>318</v>
      </c>
      <c r="D51" s="30" t="s">
        <v>666</v>
      </c>
      <c r="E51" s="30" t="s">
        <v>315</v>
      </c>
      <c r="F51" s="30" t="s">
        <v>159</v>
      </c>
      <c r="G51" s="30"/>
      <c r="H51" s="30" t="s">
        <v>580</v>
      </c>
      <c r="I51" s="30"/>
      <c r="J51" s="31" t="s">
        <v>379</v>
      </c>
    </row>
    <row r="52" spans="1:10" x14ac:dyDescent="0.25">
      <c r="A52" s="30" t="s">
        <v>315</v>
      </c>
      <c r="B52" s="30" t="s">
        <v>665</v>
      </c>
      <c r="C52" s="30" t="s">
        <v>318</v>
      </c>
      <c r="D52" s="30" t="s">
        <v>666</v>
      </c>
      <c r="E52" s="30" t="s">
        <v>315</v>
      </c>
      <c r="F52" s="30" t="s">
        <v>206</v>
      </c>
      <c r="G52" s="30"/>
      <c r="H52" s="30" t="s">
        <v>580</v>
      </c>
      <c r="I52" s="30"/>
      <c r="J52" s="31" t="s">
        <v>379</v>
      </c>
    </row>
    <row r="53" spans="1:10" x14ac:dyDescent="0.25">
      <c r="A53" s="30" t="s">
        <v>315</v>
      </c>
      <c r="B53" s="30" t="s">
        <v>665</v>
      </c>
      <c r="C53" s="30" t="s">
        <v>318</v>
      </c>
      <c r="D53" s="30" t="s">
        <v>666</v>
      </c>
      <c r="E53" s="30" t="s">
        <v>315</v>
      </c>
      <c r="F53" s="30" t="s">
        <v>698</v>
      </c>
      <c r="G53" s="30"/>
      <c r="H53" s="30" t="s">
        <v>580</v>
      </c>
      <c r="I53" s="30"/>
      <c r="J53" s="31" t="s">
        <v>379</v>
      </c>
    </row>
    <row r="54" spans="1:10" x14ac:dyDescent="0.25">
      <c r="A54" s="30" t="s">
        <v>315</v>
      </c>
      <c r="B54" s="30" t="s">
        <v>665</v>
      </c>
      <c r="C54" s="30" t="s">
        <v>318</v>
      </c>
      <c r="D54" s="30" t="s">
        <v>666</v>
      </c>
      <c r="E54" s="30" t="s">
        <v>315</v>
      </c>
      <c r="F54" s="30" t="s">
        <v>699</v>
      </c>
      <c r="G54" s="30"/>
      <c r="H54" s="30" t="s">
        <v>580</v>
      </c>
      <c r="I54" s="30"/>
      <c r="J54" s="31" t="s">
        <v>379</v>
      </c>
    </row>
    <row r="55" spans="1:10" x14ac:dyDescent="0.25">
      <c r="A55" s="30" t="s">
        <v>315</v>
      </c>
      <c r="B55" s="30" t="s">
        <v>665</v>
      </c>
      <c r="C55" s="30" t="s">
        <v>318</v>
      </c>
      <c r="D55" s="30" t="s">
        <v>666</v>
      </c>
      <c r="E55" s="30" t="s">
        <v>315</v>
      </c>
      <c r="F55" s="30" t="s">
        <v>700</v>
      </c>
      <c r="G55" s="30"/>
      <c r="H55" s="30" t="s">
        <v>652</v>
      </c>
      <c r="I55" s="30"/>
      <c r="J55" s="31" t="s">
        <v>379</v>
      </c>
    </row>
    <row r="56" spans="1:10" x14ac:dyDescent="0.25">
      <c r="A56" s="30" t="s">
        <v>315</v>
      </c>
      <c r="B56" s="30" t="s">
        <v>665</v>
      </c>
      <c r="C56" s="30" t="s">
        <v>318</v>
      </c>
      <c r="D56" s="30" t="s">
        <v>666</v>
      </c>
      <c r="E56" s="30" t="s">
        <v>315</v>
      </c>
      <c r="F56" s="30" t="s">
        <v>32</v>
      </c>
      <c r="G56" s="30"/>
      <c r="H56" s="30" t="s">
        <v>580</v>
      </c>
      <c r="I56" s="30"/>
      <c r="J56" s="31" t="s">
        <v>329</v>
      </c>
    </row>
    <row r="57" spans="1:10" x14ac:dyDescent="0.25">
      <c r="A57" s="30" t="s">
        <v>315</v>
      </c>
      <c r="B57" s="30" t="s">
        <v>665</v>
      </c>
      <c r="C57" s="30" t="s">
        <v>318</v>
      </c>
      <c r="D57" s="30" t="s">
        <v>666</v>
      </c>
      <c r="E57" s="30" t="s">
        <v>315</v>
      </c>
      <c r="F57" s="30" t="s">
        <v>44</v>
      </c>
      <c r="G57" s="30"/>
      <c r="H57" s="30" t="s">
        <v>652</v>
      </c>
      <c r="I57" s="30"/>
      <c r="J57" s="31" t="s">
        <v>329</v>
      </c>
    </row>
    <row r="58" spans="1:10" x14ac:dyDescent="0.25">
      <c r="A58" s="30" t="s">
        <v>315</v>
      </c>
      <c r="B58" s="30" t="s">
        <v>665</v>
      </c>
      <c r="C58" s="30" t="s">
        <v>318</v>
      </c>
      <c r="D58" s="30" t="s">
        <v>666</v>
      </c>
      <c r="E58" s="30" t="s">
        <v>315</v>
      </c>
      <c r="F58" s="30" t="s">
        <v>701</v>
      </c>
      <c r="G58" s="30"/>
      <c r="H58" s="30" t="s">
        <v>580</v>
      </c>
      <c r="I58" s="30"/>
      <c r="J58" s="31" t="s">
        <v>329</v>
      </c>
    </row>
    <row r="59" spans="1:10" x14ac:dyDescent="0.25">
      <c r="A59" s="30" t="s">
        <v>315</v>
      </c>
      <c r="B59" s="30" t="s">
        <v>665</v>
      </c>
      <c r="C59" s="30" t="s">
        <v>318</v>
      </c>
      <c r="D59" s="30" t="s">
        <v>666</v>
      </c>
      <c r="E59" s="30" t="s">
        <v>315</v>
      </c>
      <c r="F59" s="30" t="s">
        <v>702</v>
      </c>
      <c r="G59" s="30"/>
      <c r="H59" s="30" t="s">
        <v>580</v>
      </c>
      <c r="I59" s="30"/>
      <c r="J59" s="31" t="s">
        <v>329</v>
      </c>
    </row>
    <row r="60" spans="1:10" x14ac:dyDescent="0.25">
      <c r="A60" s="30" t="s">
        <v>315</v>
      </c>
      <c r="B60" s="30" t="s">
        <v>665</v>
      </c>
      <c r="C60" s="30" t="s">
        <v>318</v>
      </c>
      <c r="D60" s="30" t="s">
        <v>666</v>
      </c>
      <c r="E60" s="30" t="s">
        <v>315</v>
      </c>
      <c r="F60" s="30" t="s">
        <v>703</v>
      </c>
      <c r="G60" s="30"/>
      <c r="H60" s="30" t="s">
        <v>580</v>
      </c>
      <c r="I60" s="30"/>
      <c r="J60" s="31" t="s">
        <v>329</v>
      </c>
    </row>
    <row r="61" spans="1:10" x14ac:dyDescent="0.25">
      <c r="A61" s="30" t="s">
        <v>315</v>
      </c>
      <c r="B61" s="30" t="s">
        <v>665</v>
      </c>
      <c r="C61" s="30" t="s">
        <v>318</v>
      </c>
      <c r="D61" s="30" t="s">
        <v>666</v>
      </c>
      <c r="E61" s="30" t="s">
        <v>315</v>
      </c>
      <c r="F61" s="30" t="s">
        <v>230</v>
      </c>
      <c r="G61" s="30"/>
      <c r="H61" s="30" t="s">
        <v>580</v>
      </c>
      <c r="I61" s="30"/>
      <c r="J61" s="31" t="s">
        <v>329</v>
      </c>
    </row>
    <row r="62" spans="1:10" x14ac:dyDescent="0.25">
      <c r="A62" s="30" t="s">
        <v>315</v>
      </c>
      <c r="B62" s="30" t="s">
        <v>665</v>
      </c>
      <c r="C62" s="30" t="s">
        <v>318</v>
      </c>
      <c r="D62" s="30" t="s">
        <v>666</v>
      </c>
      <c r="E62" s="30" t="s">
        <v>315</v>
      </c>
      <c r="F62" s="30" t="s">
        <v>224</v>
      </c>
      <c r="G62" s="30"/>
      <c r="H62" s="30" t="s">
        <v>580</v>
      </c>
      <c r="I62" s="30"/>
      <c r="J62" s="31" t="s">
        <v>329</v>
      </c>
    </row>
    <row r="63" spans="1:10" x14ac:dyDescent="0.25">
      <c r="A63" s="30" t="s">
        <v>315</v>
      </c>
      <c r="B63" s="30" t="s">
        <v>665</v>
      </c>
      <c r="C63" s="30" t="s">
        <v>318</v>
      </c>
      <c r="D63" s="30" t="s">
        <v>666</v>
      </c>
      <c r="E63" s="30" t="s">
        <v>315</v>
      </c>
      <c r="F63" s="30" t="s">
        <v>226</v>
      </c>
      <c r="G63" s="30"/>
      <c r="H63" s="30" t="s">
        <v>580</v>
      </c>
      <c r="I63" s="30"/>
      <c r="J63" s="31" t="s">
        <v>329</v>
      </c>
    </row>
    <row r="64" spans="1:10" x14ac:dyDescent="0.25">
      <c r="A64" s="30" t="s">
        <v>315</v>
      </c>
      <c r="B64" s="30" t="s">
        <v>665</v>
      </c>
      <c r="C64" s="30" t="s">
        <v>318</v>
      </c>
      <c r="D64" s="30" t="s">
        <v>666</v>
      </c>
      <c r="E64" s="30" t="s">
        <v>315</v>
      </c>
      <c r="F64" s="30" t="s">
        <v>704</v>
      </c>
      <c r="G64" s="30"/>
      <c r="H64" s="30" t="s">
        <v>580</v>
      </c>
      <c r="I64" s="30"/>
      <c r="J64" s="31" t="s">
        <v>329</v>
      </c>
    </row>
    <row r="65" spans="1:10" x14ac:dyDescent="0.25">
      <c r="A65" s="30" t="s">
        <v>315</v>
      </c>
      <c r="B65" s="30" t="s">
        <v>665</v>
      </c>
      <c r="C65" s="30" t="s">
        <v>318</v>
      </c>
      <c r="D65" s="30" t="s">
        <v>666</v>
      </c>
      <c r="E65" s="30" t="s">
        <v>315</v>
      </c>
      <c r="F65" s="30" t="s">
        <v>60</v>
      </c>
      <c r="G65" s="30"/>
      <c r="H65" s="30" t="s">
        <v>580</v>
      </c>
      <c r="I65" s="30"/>
      <c r="J65" s="31" t="s">
        <v>329</v>
      </c>
    </row>
    <row r="66" spans="1:10" x14ac:dyDescent="0.25">
      <c r="A66" s="30" t="s">
        <v>315</v>
      </c>
      <c r="B66" s="30" t="s">
        <v>665</v>
      </c>
      <c r="C66" s="30" t="s">
        <v>318</v>
      </c>
      <c r="D66" s="30" t="s">
        <v>666</v>
      </c>
      <c r="E66" s="30" t="s">
        <v>315</v>
      </c>
      <c r="F66" s="30" t="s">
        <v>705</v>
      </c>
      <c r="G66" s="30"/>
      <c r="H66" s="30" t="s">
        <v>580</v>
      </c>
      <c r="I66" s="30"/>
      <c r="J66" s="31" t="s">
        <v>329</v>
      </c>
    </row>
    <row r="67" spans="1:10" x14ac:dyDescent="0.25">
      <c r="A67" s="30" t="s">
        <v>315</v>
      </c>
      <c r="B67" s="30" t="s">
        <v>665</v>
      </c>
      <c r="C67" s="30" t="s">
        <v>318</v>
      </c>
      <c r="D67" s="30" t="s">
        <v>666</v>
      </c>
      <c r="E67" s="30" t="s">
        <v>315</v>
      </c>
      <c r="F67" s="30" t="s">
        <v>706</v>
      </c>
      <c r="G67" s="30"/>
      <c r="H67" s="30" t="s">
        <v>580</v>
      </c>
      <c r="I67" s="30"/>
      <c r="J67" s="31" t="s">
        <v>329</v>
      </c>
    </row>
    <row r="68" spans="1:10" x14ac:dyDescent="0.25">
      <c r="A68" s="30" t="s">
        <v>315</v>
      </c>
      <c r="B68" s="30" t="s">
        <v>665</v>
      </c>
      <c r="C68" s="30" t="s">
        <v>318</v>
      </c>
      <c r="D68" s="30" t="s">
        <v>666</v>
      </c>
      <c r="E68" s="30" t="s">
        <v>315</v>
      </c>
      <c r="F68" s="30" t="s">
        <v>707</v>
      </c>
      <c r="G68" s="30"/>
      <c r="H68" s="30" t="s">
        <v>580</v>
      </c>
      <c r="I68" s="30"/>
      <c r="J68" s="31" t="s">
        <v>329</v>
      </c>
    </row>
    <row r="69" spans="1:10" x14ac:dyDescent="0.25">
      <c r="A69" s="30" t="s">
        <v>315</v>
      </c>
      <c r="B69" s="30" t="s">
        <v>665</v>
      </c>
      <c r="C69" s="30" t="s">
        <v>318</v>
      </c>
      <c r="D69" s="30" t="s">
        <v>666</v>
      </c>
      <c r="E69" s="30" t="s">
        <v>315</v>
      </c>
      <c r="F69" s="30" t="s">
        <v>708</v>
      </c>
      <c r="G69" s="30"/>
      <c r="H69" s="30" t="s">
        <v>580</v>
      </c>
      <c r="I69" s="30"/>
      <c r="J69" s="31" t="s">
        <v>329</v>
      </c>
    </row>
    <row r="70" spans="1:10" x14ac:dyDescent="0.25">
      <c r="A70" s="30" t="s">
        <v>315</v>
      </c>
      <c r="B70" s="30" t="s">
        <v>665</v>
      </c>
      <c r="C70" s="30" t="s">
        <v>318</v>
      </c>
      <c r="D70" s="30" t="s">
        <v>666</v>
      </c>
      <c r="E70" s="30" t="s">
        <v>315</v>
      </c>
      <c r="F70" s="30" t="s">
        <v>709</v>
      </c>
      <c r="G70" s="30"/>
      <c r="H70" s="30" t="s">
        <v>580</v>
      </c>
      <c r="I70" s="30"/>
      <c r="J70" s="31" t="s">
        <v>329</v>
      </c>
    </row>
    <row r="71" spans="1:10" x14ac:dyDescent="0.25">
      <c r="A71" s="30" t="s">
        <v>315</v>
      </c>
      <c r="B71" s="30" t="s">
        <v>665</v>
      </c>
      <c r="C71" s="30" t="s">
        <v>318</v>
      </c>
      <c r="D71" s="30" t="s">
        <v>666</v>
      </c>
      <c r="E71" s="30" t="s">
        <v>315</v>
      </c>
      <c r="F71" s="30" t="s">
        <v>710</v>
      </c>
      <c r="G71" s="30"/>
      <c r="H71" s="30" t="s">
        <v>580</v>
      </c>
      <c r="I71" s="30"/>
      <c r="J71" s="31" t="s">
        <v>329</v>
      </c>
    </row>
    <row r="72" spans="1:10" x14ac:dyDescent="0.25">
      <c r="A72" s="30" t="s">
        <v>315</v>
      </c>
      <c r="B72" s="30" t="s">
        <v>665</v>
      </c>
      <c r="C72" s="30" t="s">
        <v>318</v>
      </c>
      <c r="D72" s="30" t="s">
        <v>666</v>
      </c>
      <c r="E72" s="30" t="s">
        <v>315</v>
      </c>
      <c r="F72" s="30" t="s">
        <v>711</v>
      </c>
      <c r="G72" s="30"/>
      <c r="H72" s="30" t="s">
        <v>580</v>
      </c>
      <c r="I72" s="30"/>
      <c r="J72" s="31" t="s">
        <v>329</v>
      </c>
    </row>
    <row r="73" spans="1:10" x14ac:dyDescent="0.25">
      <c r="A73" s="30" t="s">
        <v>315</v>
      </c>
      <c r="B73" s="30" t="s">
        <v>665</v>
      </c>
      <c r="C73" s="30" t="s">
        <v>318</v>
      </c>
      <c r="D73" s="30" t="s">
        <v>666</v>
      </c>
      <c r="E73" s="30" t="s">
        <v>315</v>
      </c>
      <c r="F73" s="30" t="s">
        <v>712</v>
      </c>
      <c r="G73" s="30"/>
      <c r="H73" s="30" t="s">
        <v>580</v>
      </c>
      <c r="I73" s="30"/>
      <c r="J73" s="31" t="s">
        <v>329</v>
      </c>
    </row>
    <row r="74" spans="1:10" x14ac:dyDescent="0.25">
      <c r="A74" s="30" t="s">
        <v>315</v>
      </c>
      <c r="B74" s="30" t="s">
        <v>665</v>
      </c>
      <c r="C74" s="30" t="s">
        <v>318</v>
      </c>
      <c r="D74" s="30" t="s">
        <v>666</v>
      </c>
      <c r="E74" s="30" t="s">
        <v>315</v>
      </c>
      <c r="F74" s="30" t="s">
        <v>120</v>
      </c>
      <c r="G74" s="30"/>
      <c r="H74" s="30" t="s">
        <v>580</v>
      </c>
      <c r="I74" s="30"/>
      <c r="J74" s="31" t="s">
        <v>329</v>
      </c>
    </row>
    <row r="75" spans="1:10" x14ac:dyDescent="0.25">
      <c r="A75" s="30" t="s">
        <v>315</v>
      </c>
      <c r="B75" s="30" t="s">
        <v>665</v>
      </c>
      <c r="C75" s="30" t="s">
        <v>318</v>
      </c>
      <c r="D75" s="30" t="s">
        <v>666</v>
      </c>
      <c r="E75" s="30" t="s">
        <v>315</v>
      </c>
      <c r="F75" s="30" t="s">
        <v>228</v>
      </c>
      <c r="G75" s="30"/>
      <c r="H75" s="30" t="s">
        <v>580</v>
      </c>
      <c r="I75" s="30"/>
      <c r="J75" s="31" t="s">
        <v>329</v>
      </c>
    </row>
    <row r="76" spans="1:10" x14ac:dyDescent="0.25">
      <c r="A76" s="30" t="s">
        <v>315</v>
      </c>
      <c r="B76" s="30" t="s">
        <v>665</v>
      </c>
      <c r="C76" s="30" t="s">
        <v>318</v>
      </c>
      <c r="D76" s="30" t="s">
        <v>666</v>
      </c>
      <c r="E76" s="30" t="s">
        <v>315</v>
      </c>
      <c r="F76" s="30" t="s">
        <v>134</v>
      </c>
      <c r="G76" s="30"/>
      <c r="H76" s="30" t="s">
        <v>580</v>
      </c>
      <c r="I76" s="30"/>
      <c r="J76" s="31" t="s">
        <v>329</v>
      </c>
    </row>
    <row r="77" spans="1:10" x14ac:dyDescent="0.25">
      <c r="A77" s="30" t="s">
        <v>315</v>
      </c>
      <c r="B77" s="30" t="s">
        <v>665</v>
      </c>
      <c r="C77" s="30" t="s">
        <v>318</v>
      </c>
      <c r="D77" s="30" t="s">
        <v>666</v>
      </c>
      <c r="E77" s="30" t="s">
        <v>315</v>
      </c>
      <c r="F77" s="30" t="s">
        <v>713</v>
      </c>
      <c r="G77" s="30"/>
      <c r="H77" s="30" t="s">
        <v>580</v>
      </c>
      <c r="I77" s="30"/>
      <c r="J77" s="31" t="s">
        <v>329</v>
      </c>
    </row>
    <row r="78" spans="1:10" x14ac:dyDescent="0.25">
      <c r="A78" s="30" t="s">
        <v>315</v>
      </c>
      <c r="B78" s="30" t="s">
        <v>665</v>
      </c>
      <c r="C78" s="30" t="s">
        <v>318</v>
      </c>
      <c r="D78" s="30" t="s">
        <v>666</v>
      </c>
      <c r="E78" s="30" t="s">
        <v>315</v>
      </c>
      <c r="F78" s="30" t="s">
        <v>714</v>
      </c>
      <c r="G78" s="30"/>
      <c r="H78" s="30" t="s">
        <v>580</v>
      </c>
      <c r="I78" s="30"/>
      <c r="J78" s="31" t="s">
        <v>329</v>
      </c>
    </row>
    <row r="79" spans="1:10" x14ac:dyDescent="0.25">
      <c r="A79" s="30" t="s">
        <v>315</v>
      </c>
      <c r="B79" s="30" t="s">
        <v>665</v>
      </c>
      <c r="C79" s="30" t="s">
        <v>318</v>
      </c>
      <c r="D79" s="30" t="s">
        <v>666</v>
      </c>
      <c r="E79" s="30" t="s">
        <v>315</v>
      </c>
      <c r="F79" s="30" t="s">
        <v>715</v>
      </c>
      <c r="G79" s="30"/>
      <c r="H79" s="30" t="s">
        <v>580</v>
      </c>
      <c r="I79" s="30"/>
      <c r="J79" s="31" t="s">
        <v>329</v>
      </c>
    </row>
    <row r="80" spans="1:10" x14ac:dyDescent="0.25">
      <c r="A80" s="30" t="s">
        <v>315</v>
      </c>
      <c r="B80" s="30" t="s">
        <v>665</v>
      </c>
      <c r="C80" s="30" t="s">
        <v>318</v>
      </c>
      <c r="D80" s="30" t="s">
        <v>666</v>
      </c>
      <c r="E80" s="30" t="s">
        <v>315</v>
      </c>
      <c r="F80" s="30" t="s">
        <v>716</v>
      </c>
      <c r="G80" s="30"/>
      <c r="H80" s="30" t="s">
        <v>580</v>
      </c>
      <c r="I80" s="30"/>
      <c r="J80" s="31" t="s">
        <v>329</v>
      </c>
    </row>
    <row r="81" spans="1:10" x14ac:dyDescent="0.25">
      <c r="A81" s="30" t="s">
        <v>315</v>
      </c>
      <c r="B81" s="30" t="s">
        <v>665</v>
      </c>
      <c r="C81" s="30" t="s">
        <v>318</v>
      </c>
      <c r="D81" s="30" t="s">
        <v>666</v>
      </c>
      <c r="E81" s="30" t="s">
        <v>315</v>
      </c>
      <c r="F81" s="30" t="s">
        <v>717</v>
      </c>
      <c r="G81" s="30"/>
      <c r="H81" s="30" t="s">
        <v>580</v>
      </c>
      <c r="I81" s="30"/>
      <c r="J81" s="31" t="s">
        <v>329</v>
      </c>
    </row>
    <row r="82" spans="1:10" x14ac:dyDescent="0.25">
      <c r="A82" s="30" t="s">
        <v>315</v>
      </c>
      <c r="B82" s="30" t="s">
        <v>665</v>
      </c>
      <c r="C82" s="30" t="s">
        <v>318</v>
      </c>
      <c r="D82" s="30" t="s">
        <v>666</v>
      </c>
      <c r="E82" s="30" t="s">
        <v>315</v>
      </c>
      <c r="F82" s="30" t="s">
        <v>169</v>
      </c>
      <c r="G82" s="30"/>
      <c r="H82" s="30" t="s">
        <v>580</v>
      </c>
      <c r="I82" s="30"/>
      <c r="J82" s="31" t="s">
        <v>329</v>
      </c>
    </row>
    <row r="83" spans="1:10" x14ac:dyDescent="0.25">
      <c r="A83" s="30" t="s">
        <v>315</v>
      </c>
      <c r="B83" s="30" t="s">
        <v>665</v>
      </c>
      <c r="C83" s="30" t="s">
        <v>318</v>
      </c>
      <c r="D83" s="30" t="s">
        <v>666</v>
      </c>
      <c r="E83" s="30" t="s">
        <v>315</v>
      </c>
      <c r="F83" s="30" t="s">
        <v>718</v>
      </c>
      <c r="G83" s="30"/>
      <c r="H83" s="30" t="s">
        <v>652</v>
      </c>
      <c r="I83" s="30"/>
      <c r="J83" s="31" t="s">
        <v>329</v>
      </c>
    </row>
    <row r="84" spans="1:10" x14ac:dyDescent="0.25">
      <c r="A84" s="30" t="s">
        <v>315</v>
      </c>
      <c r="B84" s="30" t="s">
        <v>665</v>
      </c>
      <c r="C84" s="30" t="s">
        <v>318</v>
      </c>
      <c r="D84" s="30" t="s">
        <v>666</v>
      </c>
      <c r="E84" s="30" t="s">
        <v>315</v>
      </c>
      <c r="F84" s="30" t="s">
        <v>97</v>
      </c>
      <c r="G84" s="30"/>
      <c r="H84" s="30" t="s">
        <v>652</v>
      </c>
      <c r="I84" s="30"/>
      <c r="J84" s="31" t="s">
        <v>329</v>
      </c>
    </row>
    <row r="85" spans="1:10" x14ac:dyDescent="0.25">
      <c r="A85" s="30" t="s">
        <v>315</v>
      </c>
      <c r="B85" s="30" t="s">
        <v>665</v>
      </c>
      <c r="C85" s="30" t="s">
        <v>318</v>
      </c>
      <c r="D85" s="30" t="s">
        <v>666</v>
      </c>
      <c r="E85" s="30" t="s">
        <v>315</v>
      </c>
      <c r="F85" s="30" t="s">
        <v>719</v>
      </c>
      <c r="G85" s="30"/>
      <c r="H85" s="30" t="s">
        <v>652</v>
      </c>
      <c r="I85" s="30"/>
      <c r="J85" s="31" t="s">
        <v>329</v>
      </c>
    </row>
    <row r="86" spans="1:10" x14ac:dyDescent="0.25">
      <c r="A86" s="30" t="s">
        <v>315</v>
      </c>
      <c r="B86" s="30" t="s">
        <v>665</v>
      </c>
      <c r="C86" s="30" t="s">
        <v>318</v>
      </c>
      <c r="D86" s="30" t="s">
        <v>666</v>
      </c>
      <c r="E86" s="30" t="s">
        <v>315</v>
      </c>
      <c r="F86" s="30" t="s">
        <v>118</v>
      </c>
      <c r="G86" s="30"/>
      <c r="H86" s="30" t="s">
        <v>652</v>
      </c>
      <c r="I86" s="30"/>
      <c r="J86" s="31" t="s">
        <v>329</v>
      </c>
    </row>
    <row r="87" spans="1:10" x14ac:dyDescent="0.25">
      <c r="A87" s="30" t="s">
        <v>315</v>
      </c>
      <c r="B87" s="30" t="s">
        <v>665</v>
      </c>
      <c r="C87" s="30" t="s">
        <v>318</v>
      </c>
      <c r="D87" s="30" t="s">
        <v>666</v>
      </c>
      <c r="E87" s="30" t="s">
        <v>315</v>
      </c>
      <c r="F87" s="30" t="s">
        <v>720</v>
      </c>
      <c r="G87" s="30"/>
      <c r="H87" s="30" t="s">
        <v>652</v>
      </c>
      <c r="I87" s="30"/>
      <c r="J87" s="31" t="s">
        <v>329</v>
      </c>
    </row>
    <row r="88" spans="1:10" x14ac:dyDescent="0.25">
      <c r="A88" s="30" t="s">
        <v>315</v>
      </c>
      <c r="B88" s="30" t="s">
        <v>665</v>
      </c>
      <c r="C88" s="30" t="s">
        <v>318</v>
      </c>
      <c r="D88" s="30" t="s">
        <v>666</v>
      </c>
      <c r="E88" s="30" t="s">
        <v>315</v>
      </c>
      <c r="F88" s="30" t="s">
        <v>246</v>
      </c>
      <c r="G88" s="30"/>
      <c r="H88" s="30" t="s">
        <v>652</v>
      </c>
      <c r="I88" s="30"/>
      <c r="J88" s="31" t="s">
        <v>329</v>
      </c>
    </row>
    <row r="89" spans="1:10" x14ac:dyDescent="0.25">
      <c r="A89" s="30" t="s">
        <v>315</v>
      </c>
      <c r="B89" s="30" t="s">
        <v>665</v>
      </c>
      <c r="C89" s="30" t="s">
        <v>318</v>
      </c>
      <c r="D89" s="30" t="s">
        <v>666</v>
      </c>
      <c r="E89" s="30" t="s">
        <v>315</v>
      </c>
      <c r="F89" s="30" t="s">
        <v>721</v>
      </c>
      <c r="G89" s="30"/>
      <c r="H89" s="30" t="s">
        <v>652</v>
      </c>
      <c r="I89" s="30"/>
      <c r="J89" s="31" t="s">
        <v>329</v>
      </c>
    </row>
    <row r="90" spans="1:10" x14ac:dyDescent="0.25">
      <c r="A90" s="30" t="s">
        <v>315</v>
      </c>
      <c r="B90" s="30" t="s">
        <v>665</v>
      </c>
      <c r="C90" s="30" t="s">
        <v>318</v>
      </c>
      <c r="D90" s="30" t="s">
        <v>666</v>
      </c>
      <c r="E90" s="30" t="s">
        <v>315</v>
      </c>
      <c r="F90" s="30" t="s">
        <v>722</v>
      </c>
      <c r="G90" s="30"/>
      <c r="H90" s="30" t="s">
        <v>652</v>
      </c>
      <c r="I90" s="30"/>
      <c r="J90" s="31" t="s">
        <v>329</v>
      </c>
    </row>
    <row r="91" spans="1:10" x14ac:dyDescent="0.25">
      <c r="A91" s="30" t="s">
        <v>315</v>
      </c>
      <c r="B91" s="30" t="s">
        <v>665</v>
      </c>
      <c r="C91" s="30" t="s">
        <v>318</v>
      </c>
      <c r="D91" s="30" t="s">
        <v>666</v>
      </c>
      <c r="E91" s="30" t="s">
        <v>315</v>
      </c>
      <c r="F91" s="30" t="s">
        <v>53</v>
      </c>
      <c r="G91" s="30"/>
      <c r="H91" s="30" t="s">
        <v>652</v>
      </c>
      <c r="I91" s="30"/>
      <c r="J91" s="31" t="s">
        <v>339</v>
      </c>
    </row>
    <row r="92" spans="1:10" x14ac:dyDescent="0.25">
      <c r="A92" s="30" t="s">
        <v>315</v>
      </c>
      <c r="B92" s="30" t="s">
        <v>665</v>
      </c>
      <c r="C92" s="30" t="s">
        <v>318</v>
      </c>
      <c r="D92" s="30" t="s">
        <v>666</v>
      </c>
      <c r="E92" s="30" t="s">
        <v>315</v>
      </c>
      <c r="F92" s="30" t="s">
        <v>69</v>
      </c>
      <c r="G92" s="30"/>
      <c r="H92" s="30" t="s">
        <v>652</v>
      </c>
      <c r="I92" s="30"/>
      <c r="J92" s="31" t="s">
        <v>339</v>
      </c>
    </row>
    <row r="93" spans="1:10" x14ac:dyDescent="0.25">
      <c r="A93" s="30" t="s">
        <v>315</v>
      </c>
      <c r="B93" s="30" t="s">
        <v>665</v>
      </c>
      <c r="C93" s="30" t="s">
        <v>318</v>
      </c>
      <c r="D93" s="30" t="s">
        <v>666</v>
      </c>
      <c r="E93" s="30" t="s">
        <v>315</v>
      </c>
      <c r="F93" s="30" t="s">
        <v>200</v>
      </c>
      <c r="G93" s="30"/>
      <c r="H93" s="30" t="s">
        <v>652</v>
      </c>
      <c r="I93" s="30"/>
      <c r="J93" s="31" t="s">
        <v>339</v>
      </c>
    </row>
    <row r="94" spans="1:10" x14ac:dyDescent="0.25">
      <c r="A94" s="30" t="s">
        <v>315</v>
      </c>
      <c r="B94" s="30" t="s">
        <v>665</v>
      </c>
      <c r="C94" s="30" t="s">
        <v>318</v>
      </c>
      <c r="D94" s="30" t="s">
        <v>666</v>
      </c>
      <c r="E94" s="30" t="s">
        <v>315</v>
      </c>
      <c r="F94" s="30" t="s">
        <v>110</v>
      </c>
      <c r="G94" s="30"/>
      <c r="H94" s="30" t="s">
        <v>652</v>
      </c>
      <c r="I94" s="30"/>
      <c r="J94" s="31" t="s">
        <v>339</v>
      </c>
    </row>
    <row r="95" spans="1:10" x14ac:dyDescent="0.25">
      <c r="A95" s="30" t="s">
        <v>315</v>
      </c>
      <c r="B95" s="30" t="s">
        <v>665</v>
      </c>
      <c r="C95" s="30" t="s">
        <v>318</v>
      </c>
      <c r="D95" s="30" t="s">
        <v>666</v>
      </c>
      <c r="E95" s="30" t="s">
        <v>315</v>
      </c>
      <c r="F95" s="30" t="s">
        <v>114</v>
      </c>
      <c r="G95" s="30"/>
      <c r="H95" s="30" t="s">
        <v>652</v>
      </c>
      <c r="I95" s="30"/>
      <c r="J95" s="31" t="s">
        <v>339</v>
      </c>
    </row>
    <row r="96" spans="1:10" x14ac:dyDescent="0.25">
      <c r="A96" s="30" t="s">
        <v>315</v>
      </c>
      <c r="B96" s="30" t="s">
        <v>665</v>
      </c>
      <c r="C96" s="30" t="s">
        <v>318</v>
      </c>
      <c r="D96" s="30" t="s">
        <v>666</v>
      </c>
      <c r="E96" s="30" t="s">
        <v>315</v>
      </c>
      <c r="F96" s="30" t="s">
        <v>204</v>
      </c>
      <c r="G96" s="30"/>
      <c r="H96" s="30" t="s">
        <v>652</v>
      </c>
      <c r="I96" s="30"/>
      <c r="J96" s="31" t="s">
        <v>339</v>
      </c>
    </row>
    <row r="97" spans="1:10" x14ac:dyDescent="0.25">
      <c r="A97" s="30" t="s">
        <v>315</v>
      </c>
      <c r="B97" s="30" t="s">
        <v>665</v>
      </c>
      <c r="C97" s="30" t="s">
        <v>318</v>
      </c>
      <c r="D97" s="30" t="s">
        <v>666</v>
      </c>
      <c r="E97" s="30" t="s">
        <v>315</v>
      </c>
      <c r="F97" s="30" t="s">
        <v>157</v>
      </c>
      <c r="G97" s="30"/>
      <c r="H97" s="30" t="s">
        <v>652</v>
      </c>
      <c r="I97" s="30"/>
      <c r="J97" s="31" t="s">
        <v>339</v>
      </c>
    </row>
    <row r="98" spans="1:10" x14ac:dyDescent="0.25">
      <c r="A98" s="30" t="s">
        <v>315</v>
      </c>
      <c r="B98" s="30" t="s">
        <v>665</v>
      </c>
      <c r="C98" s="30" t="s">
        <v>318</v>
      </c>
      <c r="D98" s="30" t="s">
        <v>666</v>
      </c>
      <c r="E98" s="30" t="s">
        <v>315</v>
      </c>
      <c r="F98" s="30" t="s">
        <v>161</v>
      </c>
      <c r="G98" s="30"/>
      <c r="H98" s="30" t="s">
        <v>652</v>
      </c>
      <c r="I98" s="30"/>
      <c r="J98" s="31" t="s">
        <v>339</v>
      </c>
    </row>
    <row r="99" spans="1:10" x14ac:dyDescent="0.25">
      <c r="A99" s="30" t="s">
        <v>315</v>
      </c>
      <c r="B99" s="30" t="s">
        <v>665</v>
      </c>
      <c r="C99" s="30" t="s">
        <v>318</v>
      </c>
      <c r="D99" s="30" t="s">
        <v>666</v>
      </c>
      <c r="E99" s="30" t="s">
        <v>315</v>
      </c>
      <c r="F99" s="30" t="s">
        <v>723</v>
      </c>
      <c r="G99" s="30"/>
      <c r="H99" s="30" t="s">
        <v>580</v>
      </c>
      <c r="I99" s="30"/>
      <c r="J99" s="31" t="s">
        <v>379</v>
      </c>
    </row>
    <row r="100" spans="1:10" x14ac:dyDescent="0.25">
      <c r="A100" s="30" t="s">
        <v>315</v>
      </c>
      <c r="B100" s="30" t="s">
        <v>665</v>
      </c>
      <c r="C100" s="30" t="s">
        <v>318</v>
      </c>
      <c r="D100" s="30" t="s">
        <v>666</v>
      </c>
      <c r="E100" s="30" t="s">
        <v>315</v>
      </c>
      <c r="F100" s="30" t="s">
        <v>724</v>
      </c>
      <c r="G100" s="30"/>
      <c r="H100" s="30" t="s">
        <v>580</v>
      </c>
      <c r="I100" s="30"/>
      <c r="J100" s="31" t="s">
        <v>379</v>
      </c>
    </row>
    <row r="101" spans="1:10" x14ac:dyDescent="0.25">
      <c r="A101" s="30" t="s">
        <v>315</v>
      </c>
      <c r="B101" s="30" t="s">
        <v>665</v>
      </c>
      <c r="C101" s="30" t="s">
        <v>318</v>
      </c>
      <c r="D101" s="30" t="s">
        <v>666</v>
      </c>
      <c r="E101" s="30" t="s">
        <v>315</v>
      </c>
      <c r="F101" s="30" t="s">
        <v>725</v>
      </c>
      <c r="G101" s="30"/>
      <c r="H101" s="30" t="s">
        <v>580</v>
      </c>
      <c r="I101" s="30"/>
      <c r="J101" s="31" t="s">
        <v>379</v>
      </c>
    </row>
    <row r="102" spans="1:10" x14ac:dyDescent="0.25">
      <c r="A102" s="30" t="s">
        <v>315</v>
      </c>
      <c r="B102" s="30" t="s">
        <v>665</v>
      </c>
      <c r="C102" s="30" t="s">
        <v>318</v>
      </c>
      <c r="D102" s="30" t="s">
        <v>666</v>
      </c>
      <c r="E102" s="30" t="s">
        <v>315</v>
      </c>
      <c r="F102" s="30" t="s">
        <v>57</v>
      </c>
      <c r="G102" s="30"/>
      <c r="H102" s="30" t="s">
        <v>580</v>
      </c>
      <c r="I102" s="30"/>
      <c r="J102" s="31" t="s">
        <v>379</v>
      </c>
    </row>
    <row r="103" spans="1:10" x14ac:dyDescent="0.25">
      <c r="A103" s="30" t="s">
        <v>315</v>
      </c>
      <c r="B103" s="30" t="s">
        <v>665</v>
      </c>
      <c r="C103" s="30" t="s">
        <v>318</v>
      </c>
      <c r="D103" s="30" t="s">
        <v>666</v>
      </c>
      <c r="E103" s="30" t="s">
        <v>315</v>
      </c>
      <c r="F103" s="30" t="s">
        <v>726</v>
      </c>
      <c r="G103" s="30"/>
      <c r="H103" s="30" t="s">
        <v>580</v>
      </c>
      <c r="I103" s="30"/>
      <c r="J103" s="31" t="s">
        <v>379</v>
      </c>
    </row>
    <row r="104" spans="1:10" x14ac:dyDescent="0.25">
      <c r="A104" s="30" t="s">
        <v>315</v>
      </c>
      <c r="B104" s="30" t="s">
        <v>665</v>
      </c>
      <c r="C104" s="30" t="s">
        <v>318</v>
      </c>
      <c r="D104" s="30" t="s">
        <v>666</v>
      </c>
      <c r="E104" s="30" t="s">
        <v>315</v>
      </c>
      <c r="F104" s="30" t="s">
        <v>727</v>
      </c>
      <c r="G104" s="30"/>
      <c r="H104" s="30" t="s">
        <v>580</v>
      </c>
      <c r="I104" s="30"/>
      <c r="J104" s="31" t="s">
        <v>379</v>
      </c>
    </row>
    <row r="105" spans="1:10" x14ac:dyDescent="0.25">
      <c r="A105" s="30" t="s">
        <v>315</v>
      </c>
      <c r="B105" s="30" t="s">
        <v>665</v>
      </c>
      <c r="C105" s="30" t="s">
        <v>318</v>
      </c>
      <c r="D105" s="30" t="s">
        <v>666</v>
      </c>
      <c r="E105" s="30" t="s">
        <v>315</v>
      </c>
      <c r="F105" s="30" t="s">
        <v>728</v>
      </c>
      <c r="G105" s="30"/>
      <c r="H105" s="30" t="s">
        <v>580</v>
      </c>
      <c r="I105" s="30"/>
      <c r="J105" s="31" t="s">
        <v>379</v>
      </c>
    </row>
    <row r="106" spans="1:10" x14ac:dyDescent="0.25">
      <c r="A106" s="30" t="s">
        <v>315</v>
      </c>
      <c r="B106" s="30" t="s">
        <v>665</v>
      </c>
      <c r="C106" s="30" t="s">
        <v>318</v>
      </c>
      <c r="D106" s="30" t="s">
        <v>666</v>
      </c>
      <c r="E106" s="30" t="s">
        <v>315</v>
      </c>
      <c r="F106" s="30" t="s">
        <v>80</v>
      </c>
      <c r="G106" s="30"/>
      <c r="H106" s="30" t="s">
        <v>580</v>
      </c>
      <c r="I106" s="30"/>
      <c r="J106" s="31" t="s">
        <v>379</v>
      </c>
    </row>
    <row r="107" spans="1:10" x14ac:dyDescent="0.25">
      <c r="A107" s="30" t="s">
        <v>315</v>
      </c>
      <c r="B107" s="30" t="s">
        <v>665</v>
      </c>
      <c r="C107" s="30" t="s">
        <v>318</v>
      </c>
      <c r="D107" s="30" t="s">
        <v>666</v>
      </c>
      <c r="E107" s="30" t="s">
        <v>315</v>
      </c>
      <c r="F107" s="30" t="s">
        <v>729</v>
      </c>
      <c r="G107" s="30"/>
      <c r="H107" s="30" t="s">
        <v>580</v>
      </c>
      <c r="I107" s="30"/>
      <c r="J107" s="31" t="s">
        <v>379</v>
      </c>
    </row>
    <row r="108" spans="1:10" x14ac:dyDescent="0.25">
      <c r="A108" s="30" t="s">
        <v>315</v>
      </c>
      <c r="B108" s="30" t="s">
        <v>665</v>
      </c>
      <c r="C108" s="30" t="s">
        <v>318</v>
      </c>
      <c r="D108" s="30" t="s">
        <v>666</v>
      </c>
      <c r="E108" s="30" t="s">
        <v>315</v>
      </c>
      <c r="F108" s="30" t="s">
        <v>730</v>
      </c>
      <c r="G108" s="30"/>
      <c r="H108" s="30" t="s">
        <v>580</v>
      </c>
      <c r="I108" s="30"/>
      <c r="J108" s="31" t="s">
        <v>379</v>
      </c>
    </row>
    <row r="109" spans="1:10" x14ac:dyDescent="0.25">
      <c r="A109" s="30" t="s">
        <v>315</v>
      </c>
      <c r="B109" s="30" t="s">
        <v>665</v>
      </c>
      <c r="C109" s="30" t="s">
        <v>318</v>
      </c>
      <c r="D109" s="30" t="s">
        <v>666</v>
      </c>
      <c r="E109" s="30" t="s">
        <v>315</v>
      </c>
      <c r="F109" s="30" t="s">
        <v>731</v>
      </c>
      <c r="G109" s="30"/>
      <c r="H109" s="30" t="s">
        <v>580</v>
      </c>
      <c r="I109" s="30"/>
      <c r="J109" s="31" t="s">
        <v>379</v>
      </c>
    </row>
    <row r="110" spans="1:10" x14ac:dyDescent="0.25">
      <c r="A110" s="30" t="s">
        <v>315</v>
      </c>
      <c r="B110" s="30" t="s">
        <v>665</v>
      </c>
      <c r="C110" s="30" t="s">
        <v>318</v>
      </c>
      <c r="D110" s="30" t="s">
        <v>666</v>
      </c>
      <c r="E110" s="30" t="s">
        <v>315</v>
      </c>
      <c r="F110" s="30" t="s">
        <v>732</v>
      </c>
      <c r="G110" s="30"/>
      <c r="H110" s="30" t="s">
        <v>580</v>
      </c>
      <c r="I110" s="30"/>
      <c r="J110" s="31" t="s">
        <v>379</v>
      </c>
    </row>
    <row r="111" spans="1:10" x14ac:dyDescent="0.25">
      <c r="A111" s="30" t="s">
        <v>315</v>
      </c>
      <c r="B111" s="30" t="s">
        <v>665</v>
      </c>
      <c r="C111" s="30" t="s">
        <v>318</v>
      </c>
      <c r="D111" s="30" t="s">
        <v>666</v>
      </c>
      <c r="E111" s="30" t="s">
        <v>315</v>
      </c>
      <c r="F111" s="30" t="s">
        <v>733</v>
      </c>
      <c r="G111" s="30"/>
      <c r="H111" s="30" t="s">
        <v>580</v>
      </c>
      <c r="I111" s="30"/>
      <c r="J111" s="31" t="s">
        <v>379</v>
      </c>
    </row>
    <row r="112" spans="1:10" x14ac:dyDescent="0.25">
      <c r="A112" s="30" t="s">
        <v>315</v>
      </c>
      <c r="B112" s="30" t="s">
        <v>665</v>
      </c>
      <c r="C112" s="30" t="s">
        <v>318</v>
      </c>
      <c r="D112" s="30" t="s">
        <v>666</v>
      </c>
      <c r="E112" s="30" t="s">
        <v>315</v>
      </c>
      <c r="F112" s="30" t="s">
        <v>734</v>
      </c>
      <c r="G112" s="30"/>
      <c r="H112" s="30" t="s">
        <v>580</v>
      </c>
      <c r="I112" s="30"/>
      <c r="J112" s="31" t="s">
        <v>379</v>
      </c>
    </row>
    <row r="113" spans="1:10" x14ac:dyDescent="0.25">
      <c r="A113" s="30" t="s">
        <v>315</v>
      </c>
      <c r="B113" s="30" t="s">
        <v>665</v>
      </c>
      <c r="C113" s="30" t="s">
        <v>318</v>
      </c>
      <c r="D113" s="30" t="s">
        <v>666</v>
      </c>
      <c r="E113" s="30" t="s">
        <v>315</v>
      </c>
      <c r="F113" s="30" t="s">
        <v>244</v>
      </c>
      <c r="G113" s="30"/>
      <c r="H113" s="30" t="s">
        <v>580</v>
      </c>
      <c r="I113" s="30"/>
      <c r="J113" s="31" t="s">
        <v>379</v>
      </c>
    </row>
    <row r="114" spans="1:10" x14ac:dyDescent="0.25">
      <c r="A114" s="30" t="s">
        <v>315</v>
      </c>
      <c r="B114" s="30" t="s">
        <v>665</v>
      </c>
      <c r="C114" s="30" t="s">
        <v>318</v>
      </c>
      <c r="D114" s="30" t="s">
        <v>666</v>
      </c>
      <c r="E114" s="30" t="s">
        <v>315</v>
      </c>
      <c r="F114" s="30" t="s">
        <v>735</v>
      </c>
      <c r="G114" s="30"/>
      <c r="H114" s="30" t="s">
        <v>323</v>
      </c>
      <c r="I114" s="30"/>
      <c r="J114" s="31" t="s">
        <v>323</v>
      </c>
    </row>
    <row r="115" spans="1:10" x14ac:dyDescent="0.25">
      <c r="A115" s="30" t="s">
        <v>315</v>
      </c>
      <c r="B115" s="30" t="s">
        <v>665</v>
      </c>
      <c r="C115" s="30" t="s">
        <v>318</v>
      </c>
      <c r="D115" s="30" t="s">
        <v>666</v>
      </c>
      <c r="E115" s="30" t="s">
        <v>315</v>
      </c>
      <c r="F115" s="30" t="s">
        <v>736</v>
      </c>
      <c r="G115" s="30"/>
      <c r="H115" s="30" t="s">
        <v>652</v>
      </c>
      <c r="I115" s="30"/>
      <c r="J115" s="31" t="s">
        <v>329</v>
      </c>
    </row>
    <row r="116" spans="1:10" x14ac:dyDescent="0.25">
      <c r="A116" s="30" t="s">
        <v>315</v>
      </c>
      <c r="B116" s="30" t="s">
        <v>665</v>
      </c>
      <c r="C116" s="30" t="s">
        <v>318</v>
      </c>
      <c r="D116" s="30" t="s">
        <v>666</v>
      </c>
      <c r="E116" s="30" t="s">
        <v>315</v>
      </c>
      <c r="F116" s="30" t="s">
        <v>72</v>
      </c>
      <c r="G116" s="30"/>
      <c r="H116" s="30" t="s">
        <v>652</v>
      </c>
      <c r="I116" s="30"/>
      <c r="J116" s="31" t="s">
        <v>329</v>
      </c>
    </row>
    <row r="117" spans="1:10" x14ac:dyDescent="0.25">
      <c r="A117" s="30" t="s">
        <v>315</v>
      </c>
      <c r="B117" s="30" t="s">
        <v>665</v>
      </c>
      <c r="C117" s="30" t="s">
        <v>318</v>
      </c>
      <c r="D117" s="30" t="s">
        <v>666</v>
      </c>
      <c r="E117" s="30" t="s">
        <v>315</v>
      </c>
      <c r="F117" s="30" t="s">
        <v>737</v>
      </c>
      <c r="G117" s="30"/>
      <c r="H117" s="30" t="s">
        <v>652</v>
      </c>
      <c r="I117" s="30"/>
      <c r="J117" s="31" t="s">
        <v>329</v>
      </c>
    </row>
    <row r="118" spans="1:10" x14ac:dyDescent="0.25">
      <c r="A118" s="30" t="s">
        <v>315</v>
      </c>
      <c r="B118" s="30" t="s">
        <v>665</v>
      </c>
      <c r="C118" s="30" t="s">
        <v>318</v>
      </c>
      <c r="D118" s="30" t="s">
        <v>666</v>
      </c>
      <c r="E118" s="30" t="s">
        <v>315</v>
      </c>
      <c r="F118" s="30" t="s">
        <v>738</v>
      </c>
      <c r="G118" s="30"/>
      <c r="H118" s="30" t="s">
        <v>652</v>
      </c>
      <c r="I118" s="30"/>
      <c r="J118" s="31" t="s">
        <v>329</v>
      </c>
    </row>
    <row r="119" spans="1:10" x14ac:dyDescent="0.25">
      <c r="A119" s="30" t="s">
        <v>315</v>
      </c>
      <c r="B119" s="30" t="s">
        <v>665</v>
      </c>
      <c r="C119" s="30" t="s">
        <v>318</v>
      </c>
      <c r="D119" s="30" t="s">
        <v>666</v>
      </c>
      <c r="E119" s="30" t="s">
        <v>315</v>
      </c>
      <c r="F119" s="30" t="s">
        <v>739</v>
      </c>
      <c r="G119" s="30"/>
      <c r="H119" s="30" t="s">
        <v>652</v>
      </c>
      <c r="I119" s="30"/>
      <c r="J119" s="31" t="s">
        <v>329</v>
      </c>
    </row>
    <row r="120" spans="1:10" x14ac:dyDescent="0.25">
      <c r="A120" s="30" t="s">
        <v>315</v>
      </c>
      <c r="B120" s="30" t="s">
        <v>665</v>
      </c>
      <c r="C120" s="30" t="s">
        <v>318</v>
      </c>
      <c r="D120" s="30" t="s">
        <v>666</v>
      </c>
      <c r="E120" s="30" t="s">
        <v>315</v>
      </c>
      <c r="F120" s="30" t="s">
        <v>740</v>
      </c>
      <c r="G120" s="30"/>
      <c r="H120" s="30" t="s">
        <v>652</v>
      </c>
      <c r="I120" s="30"/>
      <c r="J120" s="31" t="s">
        <v>329</v>
      </c>
    </row>
    <row r="121" spans="1:10" x14ac:dyDescent="0.25">
      <c r="A121" s="30" t="s">
        <v>315</v>
      </c>
      <c r="B121" s="30" t="s">
        <v>665</v>
      </c>
      <c r="C121" s="30" t="s">
        <v>318</v>
      </c>
      <c r="D121" s="30" t="s">
        <v>666</v>
      </c>
      <c r="E121" s="30" t="s">
        <v>315</v>
      </c>
      <c r="F121" s="30" t="s">
        <v>150</v>
      </c>
      <c r="G121" s="30"/>
      <c r="H121" s="30" t="s">
        <v>652</v>
      </c>
      <c r="I121" s="30"/>
      <c r="J121" s="31" t="s">
        <v>329</v>
      </c>
    </row>
    <row r="122" spans="1:10" x14ac:dyDescent="0.25">
      <c r="A122" s="30" t="s">
        <v>315</v>
      </c>
      <c r="B122" s="30" t="s">
        <v>665</v>
      </c>
      <c r="C122" s="30" t="s">
        <v>318</v>
      </c>
      <c r="D122" s="30" t="s">
        <v>666</v>
      </c>
      <c r="E122" s="30" t="s">
        <v>315</v>
      </c>
      <c r="F122" s="30" t="s">
        <v>76</v>
      </c>
      <c r="G122" s="30"/>
      <c r="H122" s="30" t="s">
        <v>580</v>
      </c>
      <c r="I122" s="30"/>
      <c r="J122" s="31" t="s">
        <v>379</v>
      </c>
    </row>
    <row r="123" spans="1:10" x14ac:dyDescent="0.25">
      <c r="A123" s="30" t="s">
        <v>315</v>
      </c>
      <c r="B123" s="30" t="s">
        <v>665</v>
      </c>
      <c r="C123" s="30" t="s">
        <v>318</v>
      </c>
      <c r="D123" s="30" t="s">
        <v>666</v>
      </c>
      <c r="E123" s="30" t="s">
        <v>315</v>
      </c>
      <c r="F123" s="30" t="s">
        <v>741</v>
      </c>
      <c r="G123" s="30"/>
      <c r="H123" s="30" t="s">
        <v>580</v>
      </c>
      <c r="I123" s="30"/>
      <c r="J123" s="31" t="s">
        <v>379</v>
      </c>
    </row>
    <row r="124" spans="1:10" x14ac:dyDescent="0.25">
      <c r="A124" s="30" t="s">
        <v>315</v>
      </c>
      <c r="B124" s="30" t="s">
        <v>665</v>
      </c>
      <c r="C124" s="30" t="s">
        <v>318</v>
      </c>
      <c r="D124" s="30" t="s">
        <v>666</v>
      </c>
      <c r="E124" s="30" t="s">
        <v>315</v>
      </c>
      <c r="F124" s="30" t="s">
        <v>742</v>
      </c>
      <c r="G124" s="30"/>
      <c r="H124" s="30" t="s">
        <v>580</v>
      </c>
      <c r="I124" s="30"/>
      <c r="J124" s="31" t="s">
        <v>379</v>
      </c>
    </row>
    <row r="125" spans="1:10" x14ac:dyDescent="0.25">
      <c r="A125" s="30" t="s">
        <v>315</v>
      </c>
      <c r="B125" s="30" t="s">
        <v>665</v>
      </c>
      <c r="C125" s="30" t="s">
        <v>318</v>
      </c>
      <c r="D125" s="30" t="s">
        <v>666</v>
      </c>
      <c r="E125" s="30" t="s">
        <v>315</v>
      </c>
      <c r="F125" s="30" t="s">
        <v>153</v>
      </c>
      <c r="G125" s="30"/>
      <c r="H125" s="30" t="s">
        <v>580</v>
      </c>
      <c r="I125" s="30"/>
      <c r="J125" s="31" t="s">
        <v>379</v>
      </c>
    </row>
    <row r="126" spans="1:10" x14ac:dyDescent="0.25">
      <c r="A126" s="30" t="s">
        <v>315</v>
      </c>
      <c r="B126" s="30" t="s">
        <v>665</v>
      </c>
      <c r="C126" s="30" t="s">
        <v>318</v>
      </c>
      <c r="D126" s="30" t="s">
        <v>666</v>
      </c>
      <c r="E126" s="30" t="s">
        <v>315</v>
      </c>
      <c r="F126" s="30" t="s">
        <v>743</v>
      </c>
      <c r="G126" s="30"/>
      <c r="H126" s="30" t="s">
        <v>580</v>
      </c>
      <c r="I126" s="30"/>
      <c r="J126" s="31" t="s">
        <v>329</v>
      </c>
    </row>
    <row r="127" spans="1:10" x14ac:dyDescent="0.25">
      <c r="A127" s="30" t="s">
        <v>315</v>
      </c>
      <c r="B127" s="30" t="s">
        <v>665</v>
      </c>
      <c r="C127" s="30" t="s">
        <v>318</v>
      </c>
      <c r="D127" s="30" t="s">
        <v>666</v>
      </c>
      <c r="E127" s="30" t="s">
        <v>315</v>
      </c>
      <c r="F127" s="30" t="s">
        <v>86</v>
      </c>
      <c r="G127" s="30"/>
      <c r="H127" s="30" t="s">
        <v>580</v>
      </c>
      <c r="I127" s="30"/>
      <c r="J127" s="31" t="s">
        <v>329</v>
      </c>
    </row>
    <row r="128" spans="1:10" x14ac:dyDescent="0.25">
      <c r="A128" s="30" t="s">
        <v>315</v>
      </c>
      <c r="B128" s="30" t="s">
        <v>665</v>
      </c>
      <c r="C128" s="30" t="s">
        <v>318</v>
      </c>
      <c r="D128" s="30" t="s">
        <v>666</v>
      </c>
      <c r="E128" s="30" t="s">
        <v>315</v>
      </c>
      <c r="F128" s="30" t="s">
        <v>744</v>
      </c>
      <c r="G128" s="30"/>
      <c r="H128" s="30" t="s">
        <v>652</v>
      </c>
      <c r="I128" s="30"/>
      <c r="J128" s="31" t="s">
        <v>329</v>
      </c>
    </row>
    <row r="129" spans="1:10" x14ac:dyDescent="0.25">
      <c r="A129" s="30" t="s">
        <v>315</v>
      </c>
      <c r="B129" s="30" t="s">
        <v>665</v>
      </c>
      <c r="C129" s="30" t="s">
        <v>318</v>
      </c>
      <c r="D129" s="30" t="s">
        <v>666</v>
      </c>
      <c r="E129" s="30" t="s">
        <v>315</v>
      </c>
      <c r="F129" s="30" t="s">
        <v>745</v>
      </c>
      <c r="G129" s="30"/>
      <c r="H129" s="30" t="s">
        <v>652</v>
      </c>
      <c r="I129" s="30"/>
      <c r="J129" s="31" t="s">
        <v>329</v>
      </c>
    </row>
    <row r="130" spans="1:10" x14ac:dyDescent="0.25">
      <c r="A130" s="30" t="s">
        <v>315</v>
      </c>
      <c r="B130" s="30" t="s">
        <v>665</v>
      </c>
      <c r="C130" s="30" t="s">
        <v>318</v>
      </c>
      <c r="D130" s="30" t="s">
        <v>666</v>
      </c>
      <c r="E130" s="30" t="s">
        <v>315</v>
      </c>
      <c r="F130" s="30" t="s">
        <v>746</v>
      </c>
      <c r="G130" s="30"/>
      <c r="H130" s="30" t="s">
        <v>652</v>
      </c>
      <c r="I130" s="30"/>
      <c r="J130" s="31" t="s">
        <v>329</v>
      </c>
    </row>
    <row r="131" spans="1:10" x14ac:dyDescent="0.25">
      <c r="A131" s="30" t="s">
        <v>315</v>
      </c>
      <c r="B131" s="30" t="s">
        <v>665</v>
      </c>
      <c r="C131" s="30" t="s">
        <v>318</v>
      </c>
      <c r="D131" s="30" t="s">
        <v>666</v>
      </c>
      <c r="E131" s="30" t="s">
        <v>315</v>
      </c>
      <c r="F131" s="30" t="s">
        <v>747</v>
      </c>
      <c r="G131" s="30"/>
      <c r="H131" s="30" t="s">
        <v>652</v>
      </c>
      <c r="I131" s="30"/>
      <c r="J131" s="31" t="s">
        <v>329</v>
      </c>
    </row>
    <row r="132" spans="1:10" x14ac:dyDescent="0.25">
      <c r="A132" s="30" t="s">
        <v>315</v>
      </c>
      <c r="B132" s="30" t="s">
        <v>665</v>
      </c>
      <c r="C132" s="30" t="s">
        <v>318</v>
      </c>
      <c r="D132" s="30" t="s">
        <v>666</v>
      </c>
      <c r="E132" s="30" t="s">
        <v>315</v>
      </c>
      <c r="F132" s="30" t="s">
        <v>106</v>
      </c>
      <c r="G132" s="30"/>
      <c r="H132" s="30" t="s">
        <v>652</v>
      </c>
      <c r="I132" s="30"/>
      <c r="J132" s="31" t="s">
        <v>329</v>
      </c>
    </row>
    <row r="133" spans="1:10" x14ac:dyDescent="0.25">
      <c r="A133" s="30" t="s">
        <v>315</v>
      </c>
      <c r="B133" s="30" t="s">
        <v>665</v>
      </c>
      <c r="C133" s="30" t="s">
        <v>318</v>
      </c>
      <c r="D133" s="30" t="s">
        <v>666</v>
      </c>
      <c r="E133" s="30" t="s">
        <v>315</v>
      </c>
      <c r="F133" s="30" t="s">
        <v>748</v>
      </c>
      <c r="G133" s="30"/>
      <c r="H133" s="30" t="s">
        <v>652</v>
      </c>
      <c r="I133" s="30"/>
      <c r="J133" s="31" t="s">
        <v>329</v>
      </c>
    </row>
    <row r="134" spans="1:10" x14ac:dyDescent="0.25">
      <c r="A134" s="30" t="s">
        <v>315</v>
      </c>
      <c r="B134" s="30" t="s">
        <v>665</v>
      </c>
      <c r="C134" s="30" t="s">
        <v>318</v>
      </c>
      <c r="D134" s="30" t="s">
        <v>666</v>
      </c>
      <c r="E134" s="30" t="s">
        <v>315</v>
      </c>
      <c r="F134" s="30" t="s">
        <v>749</v>
      </c>
      <c r="G134" s="30"/>
      <c r="H134" s="30" t="s">
        <v>652</v>
      </c>
      <c r="I134" s="30"/>
      <c r="J134" s="31" t="s">
        <v>329</v>
      </c>
    </row>
    <row r="135" spans="1:10" x14ac:dyDescent="0.25">
      <c r="A135" s="30" t="s">
        <v>315</v>
      </c>
      <c r="B135" s="30" t="s">
        <v>665</v>
      </c>
      <c r="C135" s="30" t="s">
        <v>318</v>
      </c>
      <c r="D135" s="30" t="s">
        <v>666</v>
      </c>
      <c r="E135" s="30" t="s">
        <v>315</v>
      </c>
      <c r="F135" s="30" t="s">
        <v>232</v>
      </c>
      <c r="G135" s="30"/>
      <c r="H135" s="30" t="s">
        <v>652</v>
      </c>
      <c r="I135" s="30"/>
      <c r="J135" s="31" t="s">
        <v>329</v>
      </c>
    </row>
    <row r="136" spans="1:10" x14ac:dyDescent="0.25">
      <c r="A136" s="30" t="s">
        <v>315</v>
      </c>
      <c r="B136" s="30" t="s">
        <v>665</v>
      </c>
      <c r="C136" s="30" t="s">
        <v>318</v>
      </c>
      <c r="D136" s="30" t="s">
        <v>666</v>
      </c>
      <c r="E136" s="30" t="s">
        <v>315</v>
      </c>
      <c r="F136" s="30" t="s">
        <v>750</v>
      </c>
      <c r="G136" s="30"/>
      <c r="H136" s="30" t="s">
        <v>652</v>
      </c>
      <c r="I136" s="30"/>
      <c r="J136" s="31" t="s">
        <v>329</v>
      </c>
    </row>
    <row r="137" spans="1:10" x14ac:dyDescent="0.25">
      <c r="A137" s="30" t="s">
        <v>315</v>
      </c>
      <c r="B137" s="30" t="s">
        <v>665</v>
      </c>
      <c r="C137" s="30" t="s">
        <v>318</v>
      </c>
      <c r="D137" s="30" t="s">
        <v>666</v>
      </c>
      <c r="E137" s="30" t="s">
        <v>315</v>
      </c>
      <c r="F137" s="30" t="s">
        <v>234</v>
      </c>
      <c r="G137" s="30"/>
      <c r="H137" s="30" t="s">
        <v>652</v>
      </c>
      <c r="I137" s="30"/>
      <c r="J137" s="31" t="s">
        <v>329</v>
      </c>
    </row>
    <row r="138" spans="1:10" x14ac:dyDescent="0.25">
      <c r="A138" s="30" t="s">
        <v>315</v>
      </c>
      <c r="B138" s="30" t="s">
        <v>665</v>
      </c>
      <c r="C138" s="30" t="s">
        <v>318</v>
      </c>
      <c r="D138" s="30" t="s">
        <v>666</v>
      </c>
      <c r="E138" s="30" t="s">
        <v>315</v>
      </c>
      <c r="F138" s="30" t="s">
        <v>236</v>
      </c>
      <c r="G138" s="30"/>
      <c r="H138" s="30" t="s">
        <v>652</v>
      </c>
      <c r="I138" s="30"/>
      <c r="J138" s="31" t="s">
        <v>329</v>
      </c>
    </row>
    <row r="139" spans="1:10" x14ac:dyDescent="0.25">
      <c r="A139" s="30" t="s">
        <v>315</v>
      </c>
      <c r="B139" s="30" t="s">
        <v>665</v>
      </c>
      <c r="C139" s="30" t="s">
        <v>318</v>
      </c>
      <c r="D139" s="30" t="s">
        <v>666</v>
      </c>
      <c r="E139" s="30" t="s">
        <v>315</v>
      </c>
      <c r="F139" s="30" t="s">
        <v>238</v>
      </c>
      <c r="G139" s="30"/>
      <c r="H139" s="30" t="s">
        <v>652</v>
      </c>
      <c r="I139" s="30"/>
      <c r="J139" s="31" t="s">
        <v>329</v>
      </c>
    </row>
    <row r="140" spans="1:10" x14ac:dyDescent="0.25">
      <c r="A140" s="30" t="s">
        <v>315</v>
      </c>
      <c r="B140" s="30" t="s">
        <v>665</v>
      </c>
      <c r="C140" s="30" t="s">
        <v>318</v>
      </c>
      <c r="D140" s="30" t="s">
        <v>666</v>
      </c>
      <c r="E140" s="30" t="s">
        <v>315</v>
      </c>
      <c r="F140" s="30" t="s">
        <v>92</v>
      </c>
      <c r="G140" s="30"/>
      <c r="H140" s="30" t="s">
        <v>652</v>
      </c>
      <c r="I140" s="30"/>
      <c r="J140" s="31" t="s">
        <v>329</v>
      </c>
    </row>
    <row r="141" spans="1:10" x14ac:dyDescent="0.25">
      <c r="A141" s="30" t="s">
        <v>315</v>
      </c>
      <c r="B141" s="30" t="s">
        <v>665</v>
      </c>
      <c r="C141" s="30" t="s">
        <v>318</v>
      </c>
      <c r="D141" s="30" t="s">
        <v>666</v>
      </c>
      <c r="E141" s="30" t="s">
        <v>315</v>
      </c>
      <c r="F141" s="30" t="s">
        <v>751</v>
      </c>
      <c r="G141" s="30"/>
      <c r="H141" s="30" t="s">
        <v>652</v>
      </c>
      <c r="I141" s="30"/>
      <c r="J141" s="31" t="s">
        <v>329</v>
      </c>
    </row>
    <row r="142" spans="1:10" x14ac:dyDescent="0.25">
      <c r="A142" s="30" t="s">
        <v>315</v>
      </c>
      <c r="B142" s="30" t="s">
        <v>665</v>
      </c>
      <c r="C142" s="30" t="s">
        <v>318</v>
      </c>
      <c r="D142" s="30" t="s">
        <v>666</v>
      </c>
      <c r="E142" s="30" t="s">
        <v>315</v>
      </c>
      <c r="F142" s="30" t="s">
        <v>240</v>
      </c>
      <c r="G142" s="30"/>
      <c r="H142" s="30" t="s">
        <v>652</v>
      </c>
      <c r="I142" s="30"/>
      <c r="J142" s="31" t="s">
        <v>329</v>
      </c>
    </row>
    <row r="143" spans="1:10" x14ac:dyDescent="0.25">
      <c r="A143" s="30" t="s">
        <v>315</v>
      </c>
      <c r="B143" s="30" t="s">
        <v>665</v>
      </c>
      <c r="C143" s="30" t="s">
        <v>318</v>
      </c>
      <c r="D143" s="30" t="s">
        <v>666</v>
      </c>
      <c r="E143" s="30" t="s">
        <v>315</v>
      </c>
      <c r="F143" s="30" t="s">
        <v>752</v>
      </c>
      <c r="G143" s="30"/>
      <c r="H143" s="30" t="s">
        <v>652</v>
      </c>
      <c r="I143" s="30"/>
      <c r="J143" s="31" t="s">
        <v>329</v>
      </c>
    </row>
    <row r="144" spans="1:10" x14ac:dyDescent="0.25">
      <c r="A144" s="30" t="s">
        <v>315</v>
      </c>
      <c r="B144" s="30" t="s">
        <v>665</v>
      </c>
      <c r="C144" s="30" t="s">
        <v>318</v>
      </c>
      <c r="D144" s="30" t="s">
        <v>666</v>
      </c>
      <c r="E144" s="30" t="s">
        <v>315</v>
      </c>
      <c r="F144" s="30" t="s">
        <v>147</v>
      </c>
      <c r="G144" s="30"/>
      <c r="H144" s="30" t="s">
        <v>652</v>
      </c>
      <c r="I144" s="30"/>
      <c r="J144" s="31" t="s">
        <v>329</v>
      </c>
    </row>
    <row r="145" spans="1:10" x14ac:dyDescent="0.25">
      <c r="A145" s="30" t="s">
        <v>315</v>
      </c>
      <c r="B145" s="30" t="s">
        <v>665</v>
      </c>
      <c r="C145" s="30" t="s">
        <v>318</v>
      </c>
      <c r="D145" s="30" t="s">
        <v>666</v>
      </c>
      <c r="E145" s="30" t="s">
        <v>315</v>
      </c>
      <c r="F145" s="30" t="s">
        <v>753</v>
      </c>
      <c r="G145" s="30"/>
      <c r="H145" s="30" t="s">
        <v>652</v>
      </c>
      <c r="I145" s="30"/>
      <c r="J145" s="31" t="s">
        <v>329</v>
      </c>
    </row>
    <row r="146" spans="1:10" x14ac:dyDescent="0.25">
      <c r="A146" s="30" t="s">
        <v>315</v>
      </c>
      <c r="B146" s="30" t="s">
        <v>665</v>
      </c>
      <c r="C146" s="30" t="s">
        <v>318</v>
      </c>
      <c r="D146" s="30" t="s">
        <v>666</v>
      </c>
      <c r="E146" s="30" t="s">
        <v>315</v>
      </c>
      <c r="F146" s="30" t="s">
        <v>187</v>
      </c>
      <c r="G146" s="30"/>
      <c r="H146" s="30" t="s">
        <v>580</v>
      </c>
      <c r="I146" s="30"/>
      <c r="J146" s="31" t="s">
        <v>329</v>
      </c>
    </row>
    <row r="147" spans="1:10" x14ac:dyDescent="0.25">
      <c r="A147" s="30" t="s">
        <v>315</v>
      </c>
      <c r="B147" s="30" t="s">
        <v>665</v>
      </c>
      <c r="C147" s="30" t="s">
        <v>318</v>
      </c>
      <c r="D147" s="30" t="s">
        <v>666</v>
      </c>
      <c r="E147" s="30" t="s">
        <v>315</v>
      </c>
      <c r="F147" s="30" t="s">
        <v>94</v>
      </c>
      <c r="G147" s="30"/>
      <c r="H147" s="30" t="s">
        <v>580</v>
      </c>
      <c r="I147" s="30"/>
      <c r="J147" s="31" t="s">
        <v>329</v>
      </c>
    </row>
    <row r="148" spans="1:10" x14ac:dyDescent="0.25">
      <c r="A148" s="30" t="s">
        <v>315</v>
      </c>
      <c r="B148" s="30" t="s">
        <v>665</v>
      </c>
      <c r="C148" s="30" t="s">
        <v>318</v>
      </c>
      <c r="D148" s="30" t="s">
        <v>666</v>
      </c>
      <c r="E148" s="30" t="s">
        <v>315</v>
      </c>
      <c r="F148" s="30" t="s">
        <v>142</v>
      </c>
      <c r="G148" s="30"/>
      <c r="H148" s="30" t="s">
        <v>580</v>
      </c>
      <c r="I148" s="30"/>
      <c r="J148" s="31" t="s">
        <v>329</v>
      </c>
    </row>
    <row r="149" spans="1:10" x14ac:dyDescent="0.25">
      <c r="A149" s="30" t="s">
        <v>315</v>
      </c>
      <c r="B149" s="30" t="s">
        <v>665</v>
      </c>
      <c r="C149" s="30" t="s">
        <v>318</v>
      </c>
      <c r="D149" s="30" t="s">
        <v>666</v>
      </c>
      <c r="E149" s="30" t="s">
        <v>315</v>
      </c>
      <c r="F149" s="30" t="s">
        <v>175</v>
      </c>
      <c r="G149" s="30"/>
      <c r="H149" s="30" t="s">
        <v>580</v>
      </c>
      <c r="I149" s="30"/>
      <c r="J149" s="31" t="s">
        <v>329</v>
      </c>
    </row>
    <row r="150" spans="1:10" x14ac:dyDescent="0.25">
      <c r="A150" s="30" t="s">
        <v>315</v>
      </c>
      <c r="B150" s="30" t="s">
        <v>665</v>
      </c>
      <c r="C150" s="30" t="s">
        <v>318</v>
      </c>
      <c r="D150" s="30" t="s">
        <v>666</v>
      </c>
      <c r="E150" s="30" t="s">
        <v>315</v>
      </c>
      <c r="F150" s="30" t="s">
        <v>47</v>
      </c>
      <c r="G150" s="30"/>
      <c r="H150" s="30" t="s">
        <v>580</v>
      </c>
      <c r="I150" s="30"/>
      <c r="J150" s="31" t="s">
        <v>329</v>
      </c>
    </row>
    <row r="151" spans="1:10" x14ac:dyDescent="0.25">
      <c r="A151" s="30" t="s">
        <v>315</v>
      </c>
      <c r="B151" s="30" t="s">
        <v>665</v>
      </c>
      <c r="C151" s="30" t="s">
        <v>318</v>
      </c>
      <c r="D151" s="30" t="s">
        <v>666</v>
      </c>
      <c r="E151" s="30" t="s">
        <v>315</v>
      </c>
      <c r="F151" s="30" t="s">
        <v>190</v>
      </c>
      <c r="G151" s="30"/>
      <c r="H151" s="30" t="s">
        <v>580</v>
      </c>
      <c r="I151" s="30"/>
      <c r="J151" s="31" t="s">
        <v>329</v>
      </c>
    </row>
    <row r="152" spans="1:10" x14ac:dyDescent="0.25">
      <c r="A152" s="30" t="s">
        <v>315</v>
      </c>
      <c r="B152" s="30" t="s">
        <v>665</v>
      </c>
      <c r="C152" s="30" t="s">
        <v>318</v>
      </c>
      <c r="D152" s="30" t="s">
        <v>666</v>
      </c>
      <c r="E152" s="30" t="s">
        <v>315</v>
      </c>
      <c r="F152" s="30" t="s">
        <v>65</v>
      </c>
      <c r="G152" s="30"/>
      <c r="H152" s="30" t="s">
        <v>580</v>
      </c>
      <c r="I152" s="30"/>
      <c r="J152" s="31" t="s">
        <v>329</v>
      </c>
    </row>
    <row r="153" spans="1:10" x14ac:dyDescent="0.25">
      <c r="A153" s="30" t="s">
        <v>315</v>
      </c>
      <c r="B153" s="30" t="s">
        <v>665</v>
      </c>
      <c r="C153" s="30" t="s">
        <v>318</v>
      </c>
      <c r="D153" s="30" t="s">
        <v>666</v>
      </c>
      <c r="E153" s="30" t="s">
        <v>315</v>
      </c>
      <c r="F153" s="30" t="s">
        <v>78</v>
      </c>
      <c r="G153" s="30"/>
      <c r="H153" s="30" t="s">
        <v>580</v>
      </c>
      <c r="I153" s="30"/>
      <c r="J153" s="31" t="s">
        <v>329</v>
      </c>
    </row>
    <row r="154" spans="1:10" x14ac:dyDescent="0.25">
      <c r="A154" s="30" t="s">
        <v>315</v>
      </c>
      <c r="B154" s="30" t="s">
        <v>665</v>
      </c>
      <c r="C154" s="30" t="s">
        <v>318</v>
      </c>
      <c r="D154" s="30" t="s">
        <v>666</v>
      </c>
      <c r="E154" s="30" t="s">
        <v>315</v>
      </c>
      <c r="F154" s="30" t="s">
        <v>754</v>
      </c>
      <c r="G154" s="30"/>
      <c r="H154" s="30" t="s">
        <v>580</v>
      </c>
      <c r="I154" s="30"/>
      <c r="J154" s="31" t="s">
        <v>329</v>
      </c>
    </row>
    <row r="155" spans="1:10" x14ac:dyDescent="0.25">
      <c r="A155" s="30" t="s">
        <v>315</v>
      </c>
      <c r="B155" s="30" t="s">
        <v>665</v>
      </c>
      <c r="C155" s="30" t="s">
        <v>318</v>
      </c>
      <c r="D155" s="30" t="s">
        <v>666</v>
      </c>
      <c r="E155" s="30" t="s">
        <v>315</v>
      </c>
      <c r="F155" s="30" t="s">
        <v>133</v>
      </c>
      <c r="G155" s="30"/>
      <c r="H155" s="30" t="s">
        <v>580</v>
      </c>
      <c r="I155" s="30"/>
      <c r="J155" s="31" t="s">
        <v>329</v>
      </c>
    </row>
    <row r="156" spans="1:10" x14ac:dyDescent="0.25">
      <c r="A156" s="30" t="s">
        <v>315</v>
      </c>
      <c r="B156" s="30" t="s">
        <v>665</v>
      </c>
      <c r="C156" s="30" t="s">
        <v>318</v>
      </c>
      <c r="D156" s="30" t="s">
        <v>666</v>
      </c>
      <c r="E156" s="30" t="s">
        <v>315</v>
      </c>
      <c r="F156" s="30" t="s">
        <v>167</v>
      </c>
      <c r="G156" s="30"/>
      <c r="H156" s="30" t="s">
        <v>580</v>
      </c>
      <c r="I156" s="30"/>
      <c r="J156" s="31" t="s">
        <v>329</v>
      </c>
    </row>
    <row r="157" spans="1:10" x14ac:dyDescent="0.25">
      <c r="A157" s="30" t="s">
        <v>315</v>
      </c>
      <c r="B157" s="30" t="s">
        <v>665</v>
      </c>
      <c r="C157" s="30" t="s">
        <v>318</v>
      </c>
      <c r="D157" s="30" t="s">
        <v>666</v>
      </c>
      <c r="E157" s="30" t="s">
        <v>315</v>
      </c>
      <c r="F157" s="30" t="s">
        <v>173</v>
      </c>
      <c r="G157" s="30"/>
      <c r="H157" s="30" t="s">
        <v>580</v>
      </c>
      <c r="I157" s="30"/>
      <c r="J157" s="31" t="s">
        <v>329</v>
      </c>
    </row>
    <row r="158" spans="1:10" x14ac:dyDescent="0.25">
      <c r="A158" s="30" t="s">
        <v>315</v>
      </c>
      <c r="B158" s="30" t="s">
        <v>665</v>
      </c>
      <c r="C158" s="30" t="s">
        <v>318</v>
      </c>
      <c r="D158" s="30" t="s">
        <v>666</v>
      </c>
      <c r="E158" s="30" t="s">
        <v>315</v>
      </c>
      <c r="F158" s="30" t="s">
        <v>755</v>
      </c>
      <c r="G158" s="30"/>
      <c r="H158" s="30" t="s">
        <v>652</v>
      </c>
      <c r="I158" s="30"/>
      <c r="J158" s="31" t="s">
        <v>329</v>
      </c>
    </row>
    <row r="159" spans="1:10" x14ac:dyDescent="0.25">
      <c r="A159" s="30" t="s">
        <v>315</v>
      </c>
      <c r="B159" s="30" t="s">
        <v>665</v>
      </c>
      <c r="C159" s="30" t="s">
        <v>318</v>
      </c>
      <c r="D159" s="30" t="s">
        <v>666</v>
      </c>
      <c r="E159" s="30" t="s">
        <v>315</v>
      </c>
      <c r="F159" s="30" t="s">
        <v>756</v>
      </c>
      <c r="G159" s="30"/>
      <c r="H159" s="30" t="s">
        <v>652</v>
      </c>
      <c r="I159" s="30"/>
      <c r="J159" s="31" t="s">
        <v>329</v>
      </c>
    </row>
    <row r="160" spans="1:10" x14ac:dyDescent="0.25">
      <c r="A160" s="30" t="s">
        <v>315</v>
      </c>
      <c r="B160" s="30" t="s">
        <v>665</v>
      </c>
      <c r="C160" s="30" t="s">
        <v>318</v>
      </c>
      <c r="D160" s="30" t="s">
        <v>666</v>
      </c>
      <c r="E160" s="30" t="s">
        <v>315</v>
      </c>
      <c r="F160" s="30" t="s">
        <v>131</v>
      </c>
      <c r="G160" s="30"/>
      <c r="H160" s="30" t="s">
        <v>652</v>
      </c>
      <c r="I160" s="30"/>
      <c r="J160" s="31" t="s">
        <v>329</v>
      </c>
    </row>
    <row r="161" spans="1:10" x14ac:dyDescent="0.25">
      <c r="A161" s="30" t="s">
        <v>315</v>
      </c>
      <c r="B161" s="30" t="s">
        <v>665</v>
      </c>
      <c r="C161" s="30" t="s">
        <v>318</v>
      </c>
      <c r="D161" s="30" t="s">
        <v>666</v>
      </c>
      <c r="E161" s="30" t="s">
        <v>315</v>
      </c>
      <c r="F161" s="30" t="s">
        <v>37</v>
      </c>
      <c r="G161" s="30"/>
      <c r="H161" s="30" t="s">
        <v>580</v>
      </c>
      <c r="I161" s="30"/>
      <c r="J161" s="31" t="s">
        <v>339</v>
      </c>
    </row>
    <row r="162" spans="1:10" x14ac:dyDescent="0.25">
      <c r="A162" s="30" t="s">
        <v>315</v>
      </c>
      <c r="B162" s="30" t="s">
        <v>665</v>
      </c>
      <c r="C162" s="30" t="s">
        <v>318</v>
      </c>
      <c r="D162" s="30" t="s">
        <v>666</v>
      </c>
      <c r="E162" s="30" t="s">
        <v>315</v>
      </c>
      <c r="F162" s="30" t="s">
        <v>62</v>
      </c>
      <c r="G162" s="30"/>
      <c r="H162" s="30" t="s">
        <v>580</v>
      </c>
      <c r="I162" s="30"/>
      <c r="J162" s="31" t="s">
        <v>339</v>
      </c>
    </row>
    <row r="163" spans="1:10" x14ac:dyDescent="0.25">
      <c r="A163" s="30" t="s">
        <v>315</v>
      </c>
      <c r="B163" s="30" t="s">
        <v>665</v>
      </c>
      <c r="C163" s="30" t="s">
        <v>318</v>
      </c>
      <c r="D163" s="30" t="s">
        <v>666</v>
      </c>
      <c r="E163" s="30" t="s">
        <v>315</v>
      </c>
      <c r="F163" s="30" t="s">
        <v>67</v>
      </c>
      <c r="G163" s="30"/>
      <c r="H163" s="30" t="s">
        <v>580</v>
      </c>
      <c r="I163" s="30"/>
      <c r="J163" s="31" t="s">
        <v>339</v>
      </c>
    </row>
    <row r="164" spans="1:10" x14ac:dyDescent="0.25">
      <c r="A164" s="30" t="s">
        <v>315</v>
      </c>
      <c r="B164" s="30" t="s">
        <v>665</v>
      </c>
      <c r="C164" s="30" t="s">
        <v>318</v>
      </c>
      <c r="D164" s="30" t="s">
        <v>666</v>
      </c>
      <c r="E164" s="30" t="s">
        <v>315</v>
      </c>
      <c r="F164" s="30" t="s">
        <v>194</v>
      </c>
      <c r="G164" s="30"/>
      <c r="H164" s="30" t="s">
        <v>580</v>
      </c>
      <c r="I164" s="30"/>
      <c r="J164" s="31" t="s">
        <v>339</v>
      </c>
    </row>
    <row r="165" spans="1:10" x14ac:dyDescent="0.25">
      <c r="A165" s="30" t="s">
        <v>315</v>
      </c>
      <c r="B165" s="30" t="s">
        <v>665</v>
      </c>
      <c r="C165" s="30" t="s">
        <v>318</v>
      </c>
      <c r="D165" s="30" t="s">
        <v>666</v>
      </c>
      <c r="E165" s="30" t="s">
        <v>315</v>
      </c>
      <c r="F165" s="30" t="s">
        <v>196</v>
      </c>
      <c r="G165" s="30"/>
      <c r="H165" s="30" t="s">
        <v>580</v>
      </c>
      <c r="I165" s="30"/>
      <c r="J165" s="31" t="s">
        <v>339</v>
      </c>
    </row>
    <row r="166" spans="1:10" x14ac:dyDescent="0.25">
      <c r="A166" s="30" t="s">
        <v>315</v>
      </c>
      <c r="B166" s="30" t="s">
        <v>665</v>
      </c>
      <c r="C166" s="30" t="s">
        <v>318</v>
      </c>
      <c r="D166" s="30" t="s">
        <v>666</v>
      </c>
      <c r="E166" s="30" t="s">
        <v>315</v>
      </c>
      <c r="F166" s="30" t="s">
        <v>757</v>
      </c>
      <c r="G166" s="30"/>
      <c r="H166" s="30" t="s">
        <v>580</v>
      </c>
      <c r="I166" s="30"/>
      <c r="J166" s="31" t="s">
        <v>339</v>
      </c>
    </row>
    <row r="167" spans="1:10" x14ac:dyDescent="0.25">
      <c r="A167" s="30" t="s">
        <v>315</v>
      </c>
      <c r="B167" s="30" t="s">
        <v>665</v>
      </c>
      <c r="C167" s="30" t="s">
        <v>318</v>
      </c>
      <c r="D167" s="30" t="s">
        <v>666</v>
      </c>
      <c r="E167" s="30" t="s">
        <v>315</v>
      </c>
      <c r="F167" s="30" t="s">
        <v>101</v>
      </c>
      <c r="G167" s="30"/>
      <c r="H167" s="30" t="s">
        <v>580</v>
      </c>
      <c r="I167" s="30"/>
      <c r="J167" s="31" t="s">
        <v>339</v>
      </c>
    </row>
    <row r="168" spans="1:10" x14ac:dyDescent="0.25">
      <c r="A168" s="30" t="s">
        <v>315</v>
      </c>
      <c r="B168" s="30" t="s">
        <v>665</v>
      </c>
      <c r="C168" s="30" t="s">
        <v>318</v>
      </c>
      <c r="D168" s="30" t="s">
        <v>666</v>
      </c>
      <c r="E168" s="30" t="s">
        <v>315</v>
      </c>
      <c r="F168" s="30" t="s">
        <v>103</v>
      </c>
      <c r="G168" s="30"/>
      <c r="H168" s="30" t="s">
        <v>580</v>
      </c>
      <c r="I168" s="30"/>
      <c r="J168" s="31" t="s">
        <v>339</v>
      </c>
    </row>
    <row r="169" spans="1:10" x14ac:dyDescent="0.25">
      <c r="A169" s="30" t="s">
        <v>315</v>
      </c>
      <c r="B169" s="30" t="s">
        <v>665</v>
      </c>
      <c r="C169" s="30" t="s">
        <v>318</v>
      </c>
      <c r="D169" s="30" t="s">
        <v>666</v>
      </c>
      <c r="E169" s="30" t="s">
        <v>315</v>
      </c>
      <c r="F169" s="30" t="s">
        <v>108</v>
      </c>
      <c r="G169" s="30"/>
      <c r="H169" s="30" t="s">
        <v>580</v>
      </c>
      <c r="I169" s="30"/>
      <c r="J169" s="31" t="s">
        <v>339</v>
      </c>
    </row>
    <row r="170" spans="1:10" x14ac:dyDescent="0.25">
      <c r="A170" s="30" t="s">
        <v>315</v>
      </c>
      <c r="B170" s="30" t="s">
        <v>665</v>
      </c>
      <c r="C170" s="30" t="s">
        <v>318</v>
      </c>
      <c r="D170" s="30" t="s">
        <v>666</v>
      </c>
      <c r="E170" s="30" t="s">
        <v>315</v>
      </c>
      <c r="F170" s="30" t="s">
        <v>202</v>
      </c>
      <c r="G170" s="30"/>
      <c r="H170" s="30" t="s">
        <v>580</v>
      </c>
      <c r="I170" s="30"/>
      <c r="J170" s="31" t="s">
        <v>339</v>
      </c>
    </row>
    <row r="171" spans="1:10" x14ac:dyDescent="0.25">
      <c r="A171" s="30" t="s">
        <v>315</v>
      </c>
      <c r="B171" s="30" t="s">
        <v>665</v>
      </c>
      <c r="C171" s="30" t="s">
        <v>318</v>
      </c>
      <c r="D171" s="30" t="s">
        <v>666</v>
      </c>
      <c r="E171" s="30" t="s">
        <v>315</v>
      </c>
      <c r="F171" s="30" t="s">
        <v>112</v>
      </c>
      <c r="G171" s="30"/>
      <c r="H171" s="30" t="s">
        <v>580</v>
      </c>
      <c r="I171" s="30"/>
      <c r="J171" s="31" t="s">
        <v>339</v>
      </c>
    </row>
    <row r="172" spans="1:10" x14ac:dyDescent="0.25">
      <c r="A172" s="30" t="s">
        <v>315</v>
      </c>
      <c r="B172" s="30" t="s">
        <v>665</v>
      </c>
      <c r="C172" s="30" t="s">
        <v>318</v>
      </c>
      <c r="D172" s="30" t="s">
        <v>666</v>
      </c>
      <c r="E172" s="30" t="s">
        <v>315</v>
      </c>
      <c r="F172" s="30" t="s">
        <v>122</v>
      </c>
      <c r="G172" s="30"/>
      <c r="H172" s="30" t="s">
        <v>580</v>
      </c>
      <c r="I172" s="30"/>
      <c r="J172" s="31" t="s">
        <v>339</v>
      </c>
    </row>
    <row r="173" spans="1:10" x14ac:dyDescent="0.25">
      <c r="A173" s="30" t="s">
        <v>315</v>
      </c>
      <c r="B173" s="30" t="s">
        <v>665</v>
      </c>
      <c r="C173" s="30" t="s">
        <v>318</v>
      </c>
      <c r="D173" s="30" t="s">
        <v>666</v>
      </c>
      <c r="E173" s="30" t="s">
        <v>315</v>
      </c>
      <c r="F173" s="30" t="s">
        <v>127</v>
      </c>
      <c r="G173" s="30"/>
      <c r="H173" s="30" t="s">
        <v>580</v>
      </c>
      <c r="I173" s="30"/>
      <c r="J173" s="31" t="s">
        <v>339</v>
      </c>
    </row>
    <row r="174" spans="1:10" x14ac:dyDescent="0.25">
      <c r="A174" s="30" t="s">
        <v>315</v>
      </c>
      <c r="B174" s="30" t="s">
        <v>665</v>
      </c>
      <c r="C174" s="30" t="s">
        <v>318</v>
      </c>
      <c r="D174" s="30" t="s">
        <v>666</v>
      </c>
      <c r="E174" s="30" t="s">
        <v>315</v>
      </c>
      <c r="F174" s="30" t="s">
        <v>758</v>
      </c>
      <c r="G174" s="30"/>
      <c r="H174" s="30" t="s">
        <v>652</v>
      </c>
      <c r="I174" s="30"/>
      <c r="J174" s="31" t="s">
        <v>329</v>
      </c>
    </row>
    <row r="175" spans="1:10" x14ac:dyDescent="0.25">
      <c r="A175" s="30" t="s">
        <v>315</v>
      </c>
      <c r="B175" s="30" t="s">
        <v>665</v>
      </c>
      <c r="C175" s="30" t="s">
        <v>318</v>
      </c>
      <c r="D175" s="30" t="s">
        <v>666</v>
      </c>
      <c r="E175" s="30" t="s">
        <v>315</v>
      </c>
      <c r="F175" s="30" t="s">
        <v>155</v>
      </c>
      <c r="G175" s="30"/>
      <c r="H175" s="30" t="s">
        <v>652</v>
      </c>
      <c r="I175" s="30"/>
      <c r="J175" s="31" t="s">
        <v>329</v>
      </c>
    </row>
    <row r="176" spans="1:10" x14ac:dyDescent="0.25">
      <c r="A176" s="30" t="s">
        <v>315</v>
      </c>
      <c r="B176" s="30" t="s">
        <v>665</v>
      </c>
      <c r="C176" s="30" t="s">
        <v>318</v>
      </c>
      <c r="D176" s="30" t="s">
        <v>666</v>
      </c>
      <c r="E176" s="30" t="s">
        <v>315</v>
      </c>
      <c r="F176" s="30" t="s">
        <v>759</v>
      </c>
      <c r="G176" s="30"/>
      <c r="H176" s="30" t="s">
        <v>580</v>
      </c>
      <c r="I176" s="30"/>
      <c r="J176" s="31" t="s">
        <v>379</v>
      </c>
    </row>
    <row r="177" spans="1:10" x14ac:dyDescent="0.25">
      <c r="A177" s="30" t="s">
        <v>315</v>
      </c>
      <c r="B177" s="30" t="s">
        <v>665</v>
      </c>
      <c r="C177" s="30" t="s">
        <v>318</v>
      </c>
      <c r="D177" s="30" t="s">
        <v>666</v>
      </c>
      <c r="E177" s="30" t="s">
        <v>315</v>
      </c>
      <c r="F177" s="30" t="s">
        <v>760</v>
      </c>
      <c r="G177" s="30"/>
      <c r="H177" s="30" t="s">
        <v>580</v>
      </c>
      <c r="I177" s="30"/>
      <c r="J177" s="31" t="s">
        <v>379</v>
      </c>
    </row>
    <row r="178" spans="1:10" x14ac:dyDescent="0.25">
      <c r="A178" s="30" t="s">
        <v>315</v>
      </c>
      <c r="B178" s="30" t="s">
        <v>665</v>
      </c>
      <c r="C178" s="30" t="s">
        <v>318</v>
      </c>
      <c r="D178" s="30" t="s">
        <v>666</v>
      </c>
      <c r="E178" s="30" t="s">
        <v>315</v>
      </c>
      <c r="F178" s="30" t="s">
        <v>761</v>
      </c>
      <c r="G178" s="30"/>
      <c r="H178" s="30" t="s">
        <v>580</v>
      </c>
      <c r="I178" s="30"/>
      <c r="J178" s="31" t="s">
        <v>379</v>
      </c>
    </row>
    <row r="179" spans="1:10" x14ac:dyDescent="0.25">
      <c r="A179" s="30" t="s">
        <v>315</v>
      </c>
      <c r="B179" s="30" t="s">
        <v>665</v>
      </c>
      <c r="C179" s="30" t="s">
        <v>318</v>
      </c>
      <c r="D179" s="30" t="s">
        <v>666</v>
      </c>
      <c r="E179" s="30" t="s">
        <v>315</v>
      </c>
      <c r="F179" s="30" t="s">
        <v>41</v>
      </c>
      <c r="G179" s="30"/>
      <c r="H179" s="30" t="s">
        <v>580</v>
      </c>
      <c r="I179" s="30"/>
      <c r="J179" s="31" t="s">
        <v>379</v>
      </c>
    </row>
    <row r="180" spans="1:10" x14ac:dyDescent="0.25">
      <c r="A180" s="30" t="s">
        <v>315</v>
      </c>
      <c r="B180" s="30" t="s">
        <v>665</v>
      </c>
      <c r="C180" s="30" t="s">
        <v>318</v>
      </c>
      <c r="D180" s="30" t="s">
        <v>666</v>
      </c>
      <c r="E180" s="30" t="s">
        <v>315</v>
      </c>
      <c r="F180" s="30" t="s">
        <v>762</v>
      </c>
      <c r="G180" s="30"/>
      <c r="H180" s="30" t="s">
        <v>580</v>
      </c>
      <c r="I180" s="30"/>
      <c r="J180" s="31" t="s">
        <v>379</v>
      </c>
    </row>
    <row r="181" spans="1:10" x14ac:dyDescent="0.25">
      <c r="A181" s="30" t="s">
        <v>315</v>
      </c>
      <c r="B181" s="30" t="s">
        <v>665</v>
      </c>
      <c r="C181" s="30" t="s">
        <v>318</v>
      </c>
      <c r="D181" s="30" t="s">
        <v>666</v>
      </c>
      <c r="E181" s="30" t="s">
        <v>315</v>
      </c>
      <c r="F181" s="30" t="s">
        <v>763</v>
      </c>
      <c r="G181" s="30"/>
      <c r="H181" s="30" t="s">
        <v>580</v>
      </c>
      <c r="I181" s="30"/>
      <c r="J181" s="31" t="s">
        <v>379</v>
      </c>
    </row>
    <row r="182" spans="1:10" x14ac:dyDescent="0.25">
      <c r="A182" s="30" t="s">
        <v>315</v>
      </c>
      <c r="B182" s="30" t="s">
        <v>665</v>
      </c>
      <c r="C182" s="30" t="s">
        <v>318</v>
      </c>
      <c r="D182" s="30" t="s">
        <v>666</v>
      </c>
      <c r="E182" s="30" t="s">
        <v>315</v>
      </c>
      <c r="F182" s="30" t="s">
        <v>764</v>
      </c>
      <c r="G182" s="30"/>
      <c r="H182" s="30" t="s">
        <v>580</v>
      </c>
      <c r="I182" s="30"/>
      <c r="J182" s="31" t="s">
        <v>379</v>
      </c>
    </row>
    <row r="183" spans="1:10" x14ac:dyDescent="0.25">
      <c r="A183" s="30" t="s">
        <v>315</v>
      </c>
      <c r="B183" s="30" t="s">
        <v>665</v>
      </c>
      <c r="C183" s="30" t="s">
        <v>318</v>
      </c>
      <c r="D183" s="30" t="s">
        <v>666</v>
      </c>
      <c r="E183" s="30" t="s">
        <v>315</v>
      </c>
      <c r="F183" s="30" t="s">
        <v>765</v>
      </c>
      <c r="G183" s="30"/>
      <c r="H183" s="30" t="s">
        <v>580</v>
      </c>
      <c r="I183" s="30"/>
      <c r="J183" s="31" t="s">
        <v>379</v>
      </c>
    </row>
    <row r="184" spans="1:10" x14ac:dyDescent="0.25">
      <c r="A184" s="30" t="s">
        <v>315</v>
      </c>
      <c r="B184" s="30" t="s">
        <v>665</v>
      </c>
      <c r="C184" s="30" t="s">
        <v>318</v>
      </c>
      <c r="D184" s="30" t="s">
        <v>666</v>
      </c>
      <c r="E184" s="30" t="s">
        <v>315</v>
      </c>
      <c r="F184" s="30" t="s">
        <v>766</v>
      </c>
      <c r="G184" s="30"/>
      <c r="H184" s="30" t="s">
        <v>580</v>
      </c>
      <c r="I184" s="30"/>
      <c r="J184" s="31" t="s">
        <v>379</v>
      </c>
    </row>
    <row r="185" spans="1:10" x14ac:dyDescent="0.25">
      <c r="A185" s="30" t="s">
        <v>315</v>
      </c>
      <c r="B185" s="30" t="s">
        <v>665</v>
      </c>
      <c r="C185" s="30" t="s">
        <v>318</v>
      </c>
      <c r="D185" s="30" t="s">
        <v>666</v>
      </c>
      <c r="E185" s="30" t="s">
        <v>315</v>
      </c>
      <c r="F185" s="30" t="s">
        <v>258</v>
      </c>
      <c r="G185" s="30"/>
      <c r="H185" s="30" t="s">
        <v>580</v>
      </c>
      <c r="I185" s="30"/>
      <c r="J185" s="31" t="s">
        <v>379</v>
      </c>
    </row>
    <row r="186" spans="1:10" x14ac:dyDescent="0.25">
      <c r="A186" s="30" t="s">
        <v>315</v>
      </c>
      <c r="B186" s="30" t="s">
        <v>665</v>
      </c>
      <c r="C186" s="30" t="s">
        <v>318</v>
      </c>
      <c r="D186" s="30" t="s">
        <v>666</v>
      </c>
      <c r="E186" s="30" t="s">
        <v>315</v>
      </c>
      <c r="F186" s="30" t="s">
        <v>767</v>
      </c>
      <c r="G186" s="30"/>
      <c r="H186" s="30" t="s">
        <v>580</v>
      </c>
      <c r="I186" s="30"/>
      <c r="J186" s="31" t="s">
        <v>379</v>
      </c>
    </row>
    <row r="187" spans="1:10" x14ac:dyDescent="0.25">
      <c r="A187" s="30" t="s">
        <v>315</v>
      </c>
      <c r="B187" s="30" t="s">
        <v>665</v>
      </c>
      <c r="C187" s="30" t="s">
        <v>318</v>
      </c>
      <c r="D187" s="30" t="s">
        <v>666</v>
      </c>
      <c r="E187" s="30" t="s">
        <v>315</v>
      </c>
      <c r="F187" s="30" t="s">
        <v>768</v>
      </c>
      <c r="G187" s="30"/>
      <c r="H187" s="30" t="s">
        <v>580</v>
      </c>
      <c r="I187" s="30"/>
      <c r="J187" s="31" t="s">
        <v>379</v>
      </c>
    </row>
    <row r="188" spans="1:10" x14ac:dyDescent="0.25">
      <c r="A188" s="30" t="s">
        <v>315</v>
      </c>
      <c r="B188" s="30" t="s">
        <v>665</v>
      </c>
      <c r="C188" s="30" t="s">
        <v>318</v>
      </c>
      <c r="D188" s="30" t="s">
        <v>666</v>
      </c>
      <c r="E188" s="30" t="s">
        <v>315</v>
      </c>
      <c r="F188" s="30" t="s">
        <v>769</v>
      </c>
      <c r="G188" s="30"/>
      <c r="H188" s="30" t="s">
        <v>580</v>
      </c>
      <c r="I188" s="30"/>
      <c r="J188" s="31" t="s">
        <v>379</v>
      </c>
    </row>
    <row r="189" spans="1:10" x14ac:dyDescent="0.25">
      <c r="A189" s="30" t="s">
        <v>315</v>
      </c>
      <c r="B189" s="30" t="s">
        <v>665</v>
      </c>
      <c r="C189" s="30" t="s">
        <v>318</v>
      </c>
      <c r="D189" s="30" t="s">
        <v>666</v>
      </c>
      <c r="E189" s="30" t="s">
        <v>315</v>
      </c>
      <c r="F189" s="30" t="s">
        <v>770</v>
      </c>
      <c r="G189" s="30"/>
      <c r="H189" s="30" t="s">
        <v>580</v>
      </c>
      <c r="I189" s="30"/>
      <c r="J189" s="31" t="s">
        <v>379</v>
      </c>
    </row>
    <row r="190" spans="1:10" x14ac:dyDescent="0.25">
      <c r="A190" s="30" t="s">
        <v>315</v>
      </c>
      <c r="B190" s="30" t="s">
        <v>665</v>
      </c>
      <c r="C190" s="30" t="s">
        <v>318</v>
      </c>
      <c r="D190" s="30" t="s">
        <v>666</v>
      </c>
      <c r="E190" s="30" t="s">
        <v>315</v>
      </c>
      <c r="F190" s="30" t="s">
        <v>116</v>
      </c>
      <c r="G190" s="30"/>
      <c r="H190" s="30" t="s">
        <v>580</v>
      </c>
      <c r="I190" s="30"/>
      <c r="J190" s="31" t="s">
        <v>379</v>
      </c>
    </row>
    <row r="191" spans="1:10" x14ac:dyDescent="0.25">
      <c r="A191" s="30" t="s">
        <v>315</v>
      </c>
      <c r="B191" s="30" t="s">
        <v>665</v>
      </c>
      <c r="C191" s="30" t="s">
        <v>318</v>
      </c>
      <c r="D191" s="30" t="s">
        <v>666</v>
      </c>
      <c r="E191" s="30" t="s">
        <v>315</v>
      </c>
      <c r="F191" s="30" t="s">
        <v>129</v>
      </c>
      <c r="G191" s="30"/>
      <c r="H191" s="30" t="s">
        <v>580</v>
      </c>
      <c r="I191" s="30"/>
      <c r="J191" s="31" t="s">
        <v>379</v>
      </c>
    </row>
    <row r="192" spans="1:10" x14ac:dyDescent="0.25">
      <c r="A192" s="30" t="s">
        <v>315</v>
      </c>
      <c r="B192" s="30" t="s">
        <v>665</v>
      </c>
      <c r="C192" s="30" t="s">
        <v>318</v>
      </c>
      <c r="D192" s="30" t="s">
        <v>666</v>
      </c>
      <c r="E192" s="30" t="s">
        <v>315</v>
      </c>
      <c r="F192" s="30" t="s">
        <v>771</v>
      </c>
      <c r="G192" s="30"/>
      <c r="H192" s="30" t="s">
        <v>580</v>
      </c>
      <c r="I192" s="30"/>
      <c r="J192" s="31" t="s">
        <v>379</v>
      </c>
    </row>
    <row r="193" spans="1:10" x14ac:dyDescent="0.25">
      <c r="A193" s="30" t="s">
        <v>315</v>
      </c>
      <c r="B193" s="30" t="s">
        <v>665</v>
      </c>
      <c r="C193" s="30" t="s">
        <v>318</v>
      </c>
      <c r="D193" s="30" t="s">
        <v>666</v>
      </c>
      <c r="E193" s="30" t="s">
        <v>315</v>
      </c>
      <c r="F193" s="30" t="s">
        <v>772</v>
      </c>
      <c r="G193" s="30"/>
      <c r="H193" s="30" t="s">
        <v>580</v>
      </c>
      <c r="I193" s="30"/>
      <c r="J193" s="31" t="s">
        <v>379</v>
      </c>
    </row>
    <row r="194" spans="1:10" x14ac:dyDescent="0.25">
      <c r="A194" s="30" t="s">
        <v>315</v>
      </c>
      <c r="B194" s="30" t="s">
        <v>665</v>
      </c>
      <c r="C194" s="30" t="s">
        <v>318</v>
      </c>
      <c r="D194" s="30" t="s">
        <v>666</v>
      </c>
      <c r="E194" s="30" t="s">
        <v>315</v>
      </c>
      <c r="F194" s="30" t="s">
        <v>773</v>
      </c>
      <c r="G194" s="30"/>
      <c r="H194" s="30" t="s">
        <v>580</v>
      </c>
      <c r="I194" s="30"/>
      <c r="J194" s="31" t="s">
        <v>379</v>
      </c>
    </row>
    <row r="195" spans="1:10" x14ac:dyDescent="0.25">
      <c r="A195" s="30" t="s">
        <v>315</v>
      </c>
      <c r="B195" s="30" t="s">
        <v>665</v>
      </c>
      <c r="C195" s="30" t="s">
        <v>318</v>
      </c>
      <c r="D195" s="30" t="s">
        <v>666</v>
      </c>
      <c r="E195" s="30" t="s">
        <v>315</v>
      </c>
      <c r="F195" s="30" t="s">
        <v>774</v>
      </c>
      <c r="G195" s="30"/>
      <c r="H195" s="30" t="s">
        <v>580</v>
      </c>
      <c r="I195" s="30"/>
      <c r="J195" s="31" t="s">
        <v>379</v>
      </c>
    </row>
    <row r="196" spans="1:10" x14ac:dyDescent="0.25">
      <c r="A196" s="30" t="s">
        <v>315</v>
      </c>
      <c r="B196" s="30" t="s">
        <v>665</v>
      </c>
      <c r="C196" s="30" t="s">
        <v>318</v>
      </c>
      <c r="D196" s="30" t="s">
        <v>666</v>
      </c>
      <c r="E196" s="30" t="s">
        <v>315</v>
      </c>
      <c r="F196" s="30" t="s">
        <v>151</v>
      </c>
      <c r="G196" s="30"/>
      <c r="H196" s="30" t="s">
        <v>580</v>
      </c>
      <c r="I196" s="30"/>
      <c r="J196" s="31" t="s">
        <v>379</v>
      </c>
    </row>
    <row r="197" spans="1:10" x14ac:dyDescent="0.25">
      <c r="A197" s="30" t="s">
        <v>315</v>
      </c>
      <c r="B197" s="30" t="s">
        <v>665</v>
      </c>
      <c r="C197" s="30" t="s">
        <v>318</v>
      </c>
      <c r="D197" s="30" t="s">
        <v>666</v>
      </c>
      <c r="E197" s="30" t="s">
        <v>315</v>
      </c>
      <c r="F197" s="30" t="s">
        <v>775</v>
      </c>
      <c r="G197" s="30"/>
      <c r="H197" s="30" t="s">
        <v>580</v>
      </c>
      <c r="I197" s="30"/>
      <c r="J197" s="31" t="s">
        <v>379</v>
      </c>
    </row>
    <row r="198" spans="1:10" x14ac:dyDescent="0.25">
      <c r="A198" s="30" t="s">
        <v>315</v>
      </c>
      <c r="B198" s="30" t="s">
        <v>665</v>
      </c>
      <c r="C198" s="30" t="s">
        <v>318</v>
      </c>
      <c r="D198" s="30" t="s">
        <v>666</v>
      </c>
      <c r="E198" s="30" t="s">
        <v>315</v>
      </c>
      <c r="F198" s="30" t="s">
        <v>776</v>
      </c>
      <c r="G198" s="30"/>
      <c r="H198" s="30" t="s">
        <v>580</v>
      </c>
      <c r="I198" s="30"/>
      <c r="J198" s="31" t="s">
        <v>379</v>
      </c>
    </row>
    <row r="199" spans="1:10" x14ac:dyDescent="0.25">
      <c r="A199" s="30" t="s">
        <v>315</v>
      </c>
      <c r="B199" s="30" t="s">
        <v>665</v>
      </c>
      <c r="C199" s="30" t="s">
        <v>318</v>
      </c>
      <c r="D199" s="30" t="s">
        <v>666</v>
      </c>
      <c r="E199" s="30" t="s">
        <v>315</v>
      </c>
      <c r="F199" s="30" t="s">
        <v>165</v>
      </c>
      <c r="G199" s="30"/>
      <c r="H199" s="30" t="s">
        <v>580</v>
      </c>
      <c r="I199" s="30"/>
      <c r="J199" s="31" t="s">
        <v>379</v>
      </c>
    </row>
    <row r="200" spans="1:10" x14ac:dyDescent="0.25">
      <c r="A200" s="30" t="s">
        <v>315</v>
      </c>
      <c r="B200" s="30" t="s">
        <v>665</v>
      </c>
      <c r="C200" s="30" t="s">
        <v>318</v>
      </c>
      <c r="D200" s="30" t="s">
        <v>666</v>
      </c>
      <c r="E200" s="30" t="s">
        <v>315</v>
      </c>
      <c r="F200" s="30" t="s">
        <v>777</v>
      </c>
      <c r="G200" s="30"/>
      <c r="H200" s="30" t="s">
        <v>580</v>
      </c>
      <c r="I200" s="30"/>
      <c r="J200" s="31" t="s">
        <v>379</v>
      </c>
    </row>
    <row r="201" spans="1:10" x14ac:dyDescent="0.25">
      <c r="A201" s="30" t="s">
        <v>315</v>
      </c>
      <c r="B201" s="30" t="s">
        <v>665</v>
      </c>
      <c r="C201" s="30" t="s">
        <v>318</v>
      </c>
      <c r="D201" s="30" t="s">
        <v>666</v>
      </c>
      <c r="E201" s="30" t="s">
        <v>315</v>
      </c>
      <c r="F201" s="30" t="s">
        <v>137</v>
      </c>
      <c r="G201" s="30"/>
      <c r="H201" s="30" t="s">
        <v>652</v>
      </c>
      <c r="I201" s="30"/>
      <c r="J201" s="31" t="s">
        <v>329</v>
      </c>
    </row>
    <row r="202" spans="1:10" x14ac:dyDescent="0.25">
      <c r="A202" s="30" t="s">
        <v>315</v>
      </c>
      <c r="B202" s="30" t="s">
        <v>665</v>
      </c>
      <c r="C202" s="30" t="s">
        <v>318</v>
      </c>
      <c r="D202" s="30" t="s">
        <v>666</v>
      </c>
      <c r="E202" s="30" t="s">
        <v>315</v>
      </c>
      <c r="F202" s="30" t="s">
        <v>242</v>
      </c>
      <c r="G202" s="30"/>
      <c r="H202" s="30" t="s">
        <v>652</v>
      </c>
      <c r="I202" s="30"/>
      <c r="J202" s="31" t="s">
        <v>329</v>
      </c>
    </row>
    <row r="203" spans="1:10" x14ac:dyDescent="0.25">
      <c r="A203" s="30" t="s">
        <v>315</v>
      </c>
      <c r="B203" s="30" t="s">
        <v>665</v>
      </c>
      <c r="C203" s="30" t="s">
        <v>318</v>
      </c>
      <c r="D203" s="30" t="s">
        <v>666</v>
      </c>
      <c r="E203" s="30" t="s">
        <v>315</v>
      </c>
      <c r="F203" s="30" t="s">
        <v>778</v>
      </c>
      <c r="G203" s="30"/>
      <c r="H203" s="30" t="s">
        <v>652</v>
      </c>
      <c r="I203" s="30"/>
      <c r="J203" s="31" t="s">
        <v>329</v>
      </c>
    </row>
    <row r="204" spans="1:10" x14ac:dyDescent="0.25">
      <c r="A204" s="30" t="s">
        <v>315</v>
      </c>
      <c r="B204" s="30" t="s">
        <v>665</v>
      </c>
      <c r="C204" s="30" t="s">
        <v>318</v>
      </c>
      <c r="D204" s="30" t="s">
        <v>666</v>
      </c>
      <c r="E204" s="30" t="s">
        <v>315</v>
      </c>
      <c r="F204" s="30" t="s">
        <v>140</v>
      </c>
      <c r="G204" s="30"/>
      <c r="H204" s="30" t="s">
        <v>652</v>
      </c>
      <c r="I204" s="30"/>
      <c r="J204" s="31" t="s">
        <v>329</v>
      </c>
    </row>
    <row r="205" spans="1:10" x14ac:dyDescent="0.25">
      <c r="A205" s="30" t="s">
        <v>315</v>
      </c>
      <c r="B205" s="30" t="s">
        <v>665</v>
      </c>
      <c r="C205" s="30" t="s">
        <v>318</v>
      </c>
      <c r="D205" s="30" t="s">
        <v>666</v>
      </c>
      <c r="E205" s="30" t="s">
        <v>315</v>
      </c>
      <c r="F205" s="30" t="s">
        <v>171</v>
      </c>
      <c r="G205" s="30"/>
      <c r="H205" s="30" t="s">
        <v>652</v>
      </c>
      <c r="I205" s="30"/>
      <c r="J205" s="31" t="s">
        <v>329</v>
      </c>
    </row>
    <row r="206" spans="1:10" x14ac:dyDescent="0.25">
      <c r="A206" s="30" t="s">
        <v>315</v>
      </c>
      <c r="B206" s="30" t="s">
        <v>665</v>
      </c>
      <c r="C206" s="30" t="s">
        <v>318</v>
      </c>
      <c r="D206" s="30" t="s">
        <v>666</v>
      </c>
      <c r="E206" s="30" t="s">
        <v>315</v>
      </c>
      <c r="F206" s="30" t="s">
        <v>125</v>
      </c>
      <c r="G206" s="30"/>
      <c r="H206" s="30" t="s">
        <v>323</v>
      </c>
      <c r="I206" s="30"/>
      <c r="J206" s="31" t="s">
        <v>339</v>
      </c>
    </row>
    <row r="207" spans="1:10" x14ac:dyDescent="0.25">
      <c r="A207" s="30" t="s">
        <v>315</v>
      </c>
      <c r="B207" s="30" t="s">
        <v>665</v>
      </c>
      <c r="C207" s="30" t="s">
        <v>318</v>
      </c>
      <c r="D207" s="30" t="s">
        <v>666</v>
      </c>
      <c r="E207" s="30" t="s">
        <v>315</v>
      </c>
      <c r="F207" s="30" t="s">
        <v>163</v>
      </c>
      <c r="G207" s="30"/>
      <c r="H207" s="30" t="s">
        <v>323</v>
      </c>
      <c r="I207" s="30"/>
      <c r="J207" s="31" t="s">
        <v>339</v>
      </c>
    </row>
    <row r="208" spans="1:10" x14ac:dyDescent="0.25">
      <c r="A208" s="30" t="s">
        <v>315</v>
      </c>
      <c r="B208" s="30" t="s">
        <v>665</v>
      </c>
      <c r="C208" s="30" t="s">
        <v>318</v>
      </c>
      <c r="D208" s="30" t="s">
        <v>666</v>
      </c>
      <c r="E208" s="30" t="s">
        <v>315</v>
      </c>
      <c r="F208" s="30" t="s">
        <v>779</v>
      </c>
      <c r="G208" s="30"/>
      <c r="H208" s="30" t="s">
        <v>652</v>
      </c>
      <c r="I208" s="30"/>
      <c r="J208" s="31" t="s">
        <v>329</v>
      </c>
    </row>
    <row r="209" spans="1:10" x14ac:dyDescent="0.25">
      <c r="A209" s="30" t="s">
        <v>315</v>
      </c>
      <c r="B209" s="30" t="s">
        <v>665</v>
      </c>
      <c r="C209" s="30" t="s">
        <v>318</v>
      </c>
      <c r="D209" s="30" t="s">
        <v>666</v>
      </c>
      <c r="E209" s="30" t="s">
        <v>315</v>
      </c>
      <c r="F209" s="30" t="s">
        <v>780</v>
      </c>
      <c r="G209" s="30"/>
      <c r="H209" s="30" t="s">
        <v>652</v>
      </c>
      <c r="I209" s="30"/>
      <c r="J209" s="31" t="s">
        <v>329</v>
      </c>
    </row>
    <row r="210" spans="1:10" x14ac:dyDescent="0.25">
      <c r="A210" s="30" t="s">
        <v>315</v>
      </c>
      <c r="B210" s="30" t="s">
        <v>665</v>
      </c>
      <c r="C210" s="30" t="s">
        <v>318</v>
      </c>
      <c r="D210" s="30" t="s">
        <v>666</v>
      </c>
      <c r="E210" s="30" t="s">
        <v>315</v>
      </c>
      <c r="F210" s="30" t="s">
        <v>781</v>
      </c>
      <c r="G210" s="30"/>
      <c r="H210" s="30" t="s">
        <v>652</v>
      </c>
      <c r="I210" s="30"/>
      <c r="J210" s="31" t="s">
        <v>329</v>
      </c>
    </row>
    <row r="211" spans="1:10" x14ac:dyDescent="0.25">
      <c r="A211" s="30" t="s">
        <v>315</v>
      </c>
      <c r="B211" s="30" t="s">
        <v>665</v>
      </c>
      <c r="C211" s="30" t="s">
        <v>318</v>
      </c>
      <c r="D211" s="30" t="s">
        <v>666</v>
      </c>
      <c r="E211" s="30" t="s">
        <v>315</v>
      </c>
      <c r="F211" s="30" t="s">
        <v>782</v>
      </c>
      <c r="G211" s="30"/>
      <c r="H211" s="30" t="s">
        <v>652</v>
      </c>
      <c r="I211" s="30"/>
      <c r="J211" s="31" t="s">
        <v>329</v>
      </c>
    </row>
    <row r="212" spans="1:10" x14ac:dyDescent="0.25">
      <c r="A212" s="30" t="s">
        <v>315</v>
      </c>
      <c r="B212" s="30" t="s">
        <v>665</v>
      </c>
      <c r="C212" s="30" t="s">
        <v>318</v>
      </c>
      <c r="D212" s="30" t="s">
        <v>666</v>
      </c>
      <c r="E212" s="30" t="s">
        <v>315</v>
      </c>
      <c r="F212" s="30" t="s">
        <v>145</v>
      </c>
      <c r="G212" s="30"/>
      <c r="H212" s="30" t="s">
        <v>652</v>
      </c>
      <c r="I212" s="30"/>
      <c r="J212" s="31" t="s">
        <v>329</v>
      </c>
    </row>
    <row r="213" spans="1:10" x14ac:dyDescent="0.25">
      <c r="A213" s="30" t="s">
        <v>315</v>
      </c>
      <c r="B213" s="30" t="s">
        <v>665</v>
      </c>
      <c r="C213" s="30" t="s">
        <v>318</v>
      </c>
      <c r="D213" s="30" t="s">
        <v>666</v>
      </c>
      <c r="E213" s="30" t="s">
        <v>315</v>
      </c>
      <c r="F213" s="30" t="s">
        <v>783</v>
      </c>
      <c r="G213" s="30"/>
      <c r="H213" s="30" t="s">
        <v>652</v>
      </c>
      <c r="I213" s="30"/>
      <c r="J213" s="31" t="s">
        <v>329</v>
      </c>
    </row>
    <row r="214" spans="1:10" x14ac:dyDescent="0.25">
      <c r="A214" s="30" t="s">
        <v>315</v>
      </c>
      <c r="B214" s="30" t="s">
        <v>665</v>
      </c>
      <c r="C214" s="30" t="s">
        <v>318</v>
      </c>
      <c r="D214" s="30" t="s">
        <v>666</v>
      </c>
      <c r="E214" s="30" t="s">
        <v>649</v>
      </c>
      <c r="F214" s="30" t="s">
        <v>784</v>
      </c>
      <c r="G214" s="30"/>
      <c r="H214" s="30" t="s">
        <v>323</v>
      </c>
      <c r="I214" s="30"/>
      <c r="J214" s="31" t="s">
        <v>323</v>
      </c>
    </row>
    <row r="215" spans="1:10" x14ac:dyDescent="0.25">
      <c r="A215" s="30" t="s">
        <v>315</v>
      </c>
      <c r="B215" s="30" t="s">
        <v>665</v>
      </c>
      <c r="C215" s="30" t="s">
        <v>318</v>
      </c>
      <c r="D215" s="30" t="s">
        <v>666</v>
      </c>
      <c r="E215" s="30" t="s">
        <v>647</v>
      </c>
      <c r="F215" s="30" t="s">
        <v>667</v>
      </c>
      <c r="G215" s="30"/>
      <c r="H215" s="30" t="s">
        <v>323</v>
      </c>
      <c r="I215" s="30"/>
      <c r="J215" s="31" t="s">
        <v>323</v>
      </c>
    </row>
    <row r="216" spans="1:10" x14ac:dyDescent="0.25">
      <c r="A216" s="30" t="s">
        <v>315</v>
      </c>
      <c r="B216" s="30" t="s">
        <v>665</v>
      </c>
      <c r="C216" s="30" t="s">
        <v>318</v>
      </c>
      <c r="D216" s="30" t="s">
        <v>666</v>
      </c>
      <c r="E216" s="30" t="s">
        <v>785</v>
      </c>
      <c r="F216" s="30" t="s">
        <v>786</v>
      </c>
      <c r="G216" s="30"/>
      <c r="H216" s="30" t="s">
        <v>323</v>
      </c>
      <c r="I216" s="30"/>
      <c r="J216" s="31" t="s">
        <v>323</v>
      </c>
    </row>
    <row r="217" spans="1:10" x14ac:dyDescent="0.25">
      <c r="A217" s="30" t="s">
        <v>315</v>
      </c>
      <c r="B217" s="30" t="s">
        <v>665</v>
      </c>
      <c r="C217" s="30" t="s">
        <v>318</v>
      </c>
      <c r="D217" s="30" t="s">
        <v>666</v>
      </c>
      <c r="E217" s="30" t="s">
        <v>787</v>
      </c>
      <c r="F217" s="30" t="s">
        <v>788</v>
      </c>
      <c r="G217" s="30"/>
      <c r="H217" s="30" t="s">
        <v>323</v>
      </c>
      <c r="I217" s="30"/>
      <c r="J217" s="31" t="s">
        <v>323</v>
      </c>
    </row>
    <row r="218" spans="1:10" x14ac:dyDescent="0.25">
      <c r="A218" s="30" t="s">
        <v>315</v>
      </c>
      <c r="B218" s="30" t="s">
        <v>665</v>
      </c>
      <c r="C218" s="30" t="s">
        <v>334</v>
      </c>
      <c r="D218" s="30" t="s">
        <v>666</v>
      </c>
      <c r="E218" s="30" t="s">
        <v>315</v>
      </c>
      <c r="F218" s="30" t="s">
        <v>183</v>
      </c>
      <c r="G218" s="30"/>
      <c r="H218" s="30" t="s">
        <v>580</v>
      </c>
      <c r="I218" s="30"/>
      <c r="J218" s="31" t="s">
        <v>654</v>
      </c>
    </row>
    <row r="219" spans="1:10" x14ac:dyDescent="0.25">
      <c r="A219" s="30" t="s">
        <v>315</v>
      </c>
      <c r="B219" s="30" t="s">
        <v>665</v>
      </c>
      <c r="C219" s="30" t="s">
        <v>334</v>
      </c>
      <c r="D219" s="30" t="s">
        <v>666</v>
      </c>
      <c r="E219" s="30" t="s">
        <v>315</v>
      </c>
      <c r="F219" s="30" t="s">
        <v>220</v>
      </c>
      <c r="G219" s="30"/>
      <c r="H219" s="30" t="s">
        <v>580</v>
      </c>
      <c r="I219" s="30"/>
      <c r="J219" s="31" t="s">
        <v>654</v>
      </c>
    </row>
    <row r="220" spans="1:10" x14ac:dyDescent="0.25">
      <c r="A220" s="30" t="s">
        <v>315</v>
      </c>
      <c r="B220" s="30" t="s">
        <v>665</v>
      </c>
      <c r="C220" s="30" t="s">
        <v>334</v>
      </c>
      <c r="D220" s="30" t="s">
        <v>666</v>
      </c>
      <c r="E220" s="30" t="s">
        <v>315</v>
      </c>
      <c r="F220" s="30" t="s">
        <v>179</v>
      </c>
      <c r="G220" s="30"/>
      <c r="H220" s="30" t="s">
        <v>580</v>
      </c>
      <c r="I220" s="30"/>
      <c r="J220" s="31" t="s">
        <v>654</v>
      </c>
    </row>
    <row r="221" spans="1:10" x14ac:dyDescent="0.25">
      <c r="A221" s="30" t="s">
        <v>315</v>
      </c>
      <c r="B221" s="30" t="s">
        <v>665</v>
      </c>
      <c r="C221" s="30" t="s">
        <v>334</v>
      </c>
      <c r="D221" s="30" t="s">
        <v>666</v>
      </c>
      <c r="E221" s="30" t="s">
        <v>315</v>
      </c>
      <c r="F221" s="30" t="s">
        <v>222</v>
      </c>
      <c r="G221" s="30"/>
      <c r="H221" s="30" t="s">
        <v>580</v>
      </c>
      <c r="I221" s="30"/>
      <c r="J221" s="31" t="s">
        <v>654</v>
      </c>
    </row>
    <row r="222" spans="1:10" x14ac:dyDescent="0.25">
      <c r="A222" s="30" t="s">
        <v>315</v>
      </c>
      <c r="B222" s="30" t="s">
        <v>665</v>
      </c>
      <c r="C222" s="30" t="s">
        <v>334</v>
      </c>
      <c r="D222" s="30" t="s">
        <v>666</v>
      </c>
      <c r="E222" s="30" t="s">
        <v>315</v>
      </c>
      <c r="F222" s="30" t="s">
        <v>214</v>
      </c>
      <c r="G222" s="30"/>
      <c r="H222" s="30" t="s">
        <v>580</v>
      </c>
      <c r="I222" s="30"/>
      <c r="J222" s="31" t="s">
        <v>654</v>
      </c>
    </row>
    <row r="223" spans="1:10" x14ac:dyDescent="0.25">
      <c r="A223" s="30" t="s">
        <v>315</v>
      </c>
      <c r="B223" s="30" t="s">
        <v>665</v>
      </c>
      <c r="C223" s="30" t="s">
        <v>334</v>
      </c>
      <c r="D223" s="30" t="s">
        <v>666</v>
      </c>
      <c r="E223" s="30" t="s">
        <v>315</v>
      </c>
      <c r="F223" s="30" t="s">
        <v>212</v>
      </c>
      <c r="G223" s="30"/>
      <c r="H223" s="30" t="s">
        <v>580</v>
      </c>
      <c r="I223" s="30"/>
      <c r="J223" s="31" t="s">
        <v>654</v>
      </c>
    </row>
    <row r="224" spans="1:10" x14ac:dyDescent="0.25">
      <c r="A224" s="30" t="s">
        <v>315</v>
      </c>
      <c r="B224" s="30" t="s">
        <v>665</v>
      </c>
      <c r="C224" s="30" t="s">
        <v>334</v>
      </c>
      <c r="D224" s="30" t="s">
        <v>666</v>
      </c>
      <c r="E224" s="30" t="s">
        <v>315</v>
      </c>
      <c r="F224" s="30" t="s">
        <v>218</v>
      </c>
      <c r="G224" s="30"/>
      <c r="H224" s="30" t="s">
        <v>580</v>
      </c>
      <c r="I224" s="30"/>
      <c r="J224" s="31" t="s">
        <v>654</v>
      </c>
    </row>
    <row r="225" spans="1:10" x14ac:dyDescent="0.25">
      <c r="A225" s="30" t="s">
        <v>315</v>
      </c>
      <c r="B225" s="30" t="s">
        <v>665</v>
      </c>
      <c r="C225" s="30" t="s">
        <v>334</v>
      </c>
      <c r="D225" s="30" t="s">
        <v>666</v>
      </c>
      <c r="E225" s="30" t="s">
        <v>315</v>
      </c>
      <c r="F225" s="30" t="s">
        <v>216</v>
      </c>
      <c r="G225" s="30"/>
      <c r="H225" s="30" t="s">
        <v>580</v>
      </c>
      <c r="I225" s="30"/>
      <c r="J225" s="31" t="s">
        <v>654</v>
      </c>
    </row>
    <row r="226" spans="1:10" x14ac:dyDescent="0.25">
      <c r="A226" s="30" t="s">
        <v>315</v>
      </c>
      <c r="B226" s="30" t="s">
        <v>665</v>
      </c>
      <c r="C226" s="30" t="s">
        <v>334</v>
      </c>
      <c r="D226" s="30" t="s">
        <v>666</v>
      </c>
      <c r="E226" s="30" t="s">
        <v>315</v>
      </c>
      <c r="F226" s="30" t="s">
        <v>678</v>
      </c>
      <c r="G226" s="30"/>
      <c r="H226" s="30" t="s">
        <v>580</v>
      </c>
      <c r="I226" s="30"/>
      <c r="J226" s="31" t="s">
        <v>580</v>
      </c>
    </row>
    <row r="227" spans="1:10" x14ac:dyDescent="0.25">
      <c r="A227" s="30" t="s">
        <v>315</v>
      </c>
      <c r="B227" s="30" t="s">
        <v>665</v>
      </c>
      <c r="C227" s="30" t="s">
        <v>334</v>
      </c>
      <c r="D227" s="30" t="s">
        <v>666</v>
      </c>
      <c r="E227" s="30" t="s">
        <v>315</v>
      </c>
      <c r="F227" s="30" t="s">
        <v>679</v>
      </c>
      <c r="G227" s="30"/>
      <c r="H227" s="30" t="s">
        <v>580</v>
      </c>
      <c r="I227" s="30"/>
      <c r="J227" s="31" t="s">
        <v>580</v>
      </c>
    </row>
    <row r="228" spans="1:10" x14ac:dyDescent="0.25">
      <c r="A228" s="30" t="s">
        <v>315</v>
      </c>
      <c r="B228" s="30" t="s">
        <v>665</v>
      </c>
      <c r="C228" s="30" t="s">
        <v>334</v>
      </c>
      <c r="D228" s="30" t="s">
        <v>666</v>
      </c>
      <c r="E228" s="30" t="s">
        <v>315</v>
      </c>
      <c r="F228" s="30" t="s">
        <v>209</v>
      </c>
      <c r="G228" s="30"/>
      <c r="H228" s="30" t="s">
        <v>580</v>
      </c>
      <c r="I228" s="30"/>
      <c r="J228" s="31" t="s">
        <v>580</v>
      </c>
    </row>
    <row r="229" spans="1:10" x14ac:dyDescent="0.25">
      <c r="A229" s="30" t="s">
        <v>315</v>
      </c>
      <c r="B229" s="30" t="s">
        <v>665</v>
      </c>
      <c r="C229" s="30" t="s">
        <v>334</v>
      </c>
      <c r="D229" s="30" t="s">
        <v>666</v>
      </c>
      <c r="E229" s="30" t="s">
        <v>315</v>
      </c>
      <c r="F229" s="30" t="s">
        <v>89</v>
      </c>
      <c r="G229" s="30"/>
      <c r="H229" s="30" t="s">
        <v>580</v>
      </c>
      <c r="I229" s="30"/>
      <c r="J229" s="31" t="s">
        <v>580</v>
      </c>
    </row>
    <row r="230" spans="1:10" x14ac:dyDescent="0.25">
      <c r="A230" s="30" t="s">
        <v>315</v>
      </c>
      <c r="B230" s="30" t="s">
        <v>665</v>
      </c>
      <c r="C230" s="30" t="s">
        <v>334</v>
      </c>
      <c r="D230" s="30" t="s">
        <v>666</v>
      </c>
      <c r="E230" s="30" t="s">
        <v>315</v>
      </c>
      <c r="F230" s="30" t="s">
        <v>680</v>
      </c>
      <c r="G230" s="30"/>
      <c r="H230" s="30" t="s">
        <v>580</v>
      </c>
      <c r="I230" s="30"/>
      <c r="J230" s="31" t="s">
        <v>580</v>
      </c>
    </row>
    <row r="231" spans="1:10" x14ac:dyDescent="0.25">
      <c r="A231" s="30" t="s">
        <v>315</v>
      </c>
      <c r="B231" s="30" t="s">
        <v>665</v>
      </c>
      <c r="C231" s="30" t="s">
        <v>334</v>
      </c>
      <c r="D231" s="30" t="s">
        <v>666</v>
      </c>
      <c r="E231" s="30" t="s">
        <v>315</v>
      </c>
      <c r="F231" s="30" t="s">
        <v>256</v>
      </c>
      <c r="G231" s="30"/>
      <c r="H231" s="30" t="s">
        <v>580</v>
      </c>
      <c r="I231" s="30"/>
      <c r="J231" s="31" t="s">
        <v>580</v>
      </c>
    </row>
    <row r="232" spans="1:10" x14ac:dyDescent="0.25">
      <c r="A232" s="30" t="s">
        <v>315</v>
      </c>
      <c r="B232" s="30" t="s">
        <v>665</v>
      </c>
      <c r="C232" s="30" t="s">
        <v>334</v>
      </c>
      <c r="D232" s="30" t="s">
        <v>666</v>
      </c>
      <c r="E232" s="30" t="s">
        <v>315</v>
      </c>
      <c r="F232" s="30" t="s">
        <v>681</v>
      </c>
      <c r="G232" s="30"/>
      <c r="H232" s="30" t="s">
        <v>580</v>
      </c>
      <c r="I232" s="30"/>
      <c r="J232" s="31" t="s">
        <v>580</v>
      </c>
    </row>
    <row r="233" spans="1:10" x14ac:dyDescent="0.25">
      <c r="A233" s="30" t="s">
        <v>315</v>
      </c>
      <c r="B233" s="30" t="s">
        <v>665</v>
      </c>
      <c r="C233" s="30" t="s">
        <v>334</v>
      </c>
      <c r="D233" s="30" t="s">
        <v>666</v>
      </c>
      <c r="E233" s="30" t="s">
        <v>315</v>
      </c>
      <c r="F233" s="30" t="s">
        <v>682</v>
      </c>
      <c r="G233" s="30"/>
      <c r="H233" s="30" t="s">
        <v>580</v>
      </c>
      <c r="I233" s="30"/>
      <c r="J233" s="31" t="s">
        <v>580</v>
      </c>
    </row>
    <row r="234" spans="1:10" x14ac:dyDescent="0.25">
      <c r="A234" s="30" t="s">
        <v>315</v>
      </c>
      <c r="B234" s="30" t="s">
        <v>665</v>
      </c>
      <c r="C234" s="30" t="s">
        <v>334</v>
      </c>
      <c r="D234" s="30" t="s">
        <v>666</v>
      </c>
      <c r="E234" s="30" t="s">
        <v>315</v>
      </c>
      <c r="F234" s="30" t="s">
        <v>683</v>
      </c>
      <c r="G234" s="30"/>
      <c r="H234" s="30" t="s">
        <v>580</v>
      </c>
      <c r="I234" s="30"/>
      <c r="J234" s="31" t="s">
        <v>580</v>
      </c>
    </row>
    <row r="235" spans="1:10" x14ac:dyDescent="0.25">
      <c r="A235" s="30" t="s">
        <v>315</v>
      </c>
      <c r="B235" s="30" t="s">
        <v>665</v>
      </c>
      <c r="C235" s="30" t="s">
        <v>334</v>
      </c>
      <c r="D235" s="30" t="s">
        <v>666</v>
      </c>
      <c r="E235" s="30" t="s">
        <v>315</v>
      </c>
      <c r="F235" s="30" t="s">
        <v>684</v>
      </c>
      <c r="G235" s="30"/>
      <c r="H235" s="30" t="s">
        <v>580</v>
      </c>
      <c r="I235" s="30"/>
      <c r="J235" s="31" t="s">
        <v>580</v>
      </c>
    </row>
    <row r="236" spans="1:10" x14ac:dyDescent="0.25">
      <c r="A236" s="30" t="s">
        <v>315</v>
      </c>
      <c r="B236" s="30" t="s">
        <v>665</v>
      </c>
      <c r="C236" s="30" t="s">
        <v>334</v>
      </c>
      <c r="D236" s="30" t="s">
        <v>666</v>
      </c>
      <c r="E236" s="30" t="s">
        <v>315</v>
      </c>
      <c r="F236" s="30" t="s">
        <v>685</v>
      </c>
      <c r="G236" s="30"/>
      <c r="H236" s="30" t="s">
        <v>580</v>
      </c>
      <c r="I236" s="30"/>
      <c r="J236" s="31" t="s">
        <v>580</v>
      </c>
    </row>
    <row r="237" spans="1:10" x14ac:dyDescent="0.25">
      <c r="A237" s="30" t="s">
        <v>315</v>
      </c>
      <c r="B237" s="30" t="s">
        <v>665</v>
      </c>
      <c r="C237" s="30" t="s">
        <v>334</v>
      </c>
      <c r="D237" s="30" t="s">
        <v>666</v>
      </c>
      <c r="E237" s="30" t="s">
        <v>315</v>
      </c>
      <c r="F237" s="30" t="s">
        <v>686</v>
      </c>
      <c r="G237" s="30"/>
      <c r="H237" s="30" t="s">
        <v>580</v>
      </c>
      <c r="I237" s="30"/>
      <c r="J237" s="31" t="s">
        <v>580</v>
      </c>
    </row>
    <row r="238" spans="1:10" x14ac:dyDescent="0.25">
      <c r="A238" s="30" t="s">
        <v>315</v>
      </c>
      <c r="B238" s="30" t="s">
        <v>665</v>
      </c>
      <c r="C238" s="30" t="s">
        <v>334</v>
      </c>
      <c r="D238" s="30" t="s">
        <v>666</v>
      </c>
      <c r="E238" s="30" t="s">
        <v>315</v>
      </c>
      <c r="F238" s="30" t="s">
        <v>687</v>
      </c>
      <c r="G238" s="30"/>
      <c r="H238" s="30" t="s">
        <v>580</v>
      </c>
      <c r="I238" s="30"/>
      <c r="J238" s="31" t="s">
        <v>580</v>
      </c>
    </row>
    <row r="239" spans="1:10" x14ac:dyDescent="0.25">
      <c r="A239" s="30" t="s">
        <v>315</v>
      </c>
      <c r="B239" s="30" t="s">
        <v>665</v>
      </c>
      <c r="C239" s="30" t="s">
        <v>334</v>
      </c>
      <c r="D239" s="30" t="s">
        <v>666</v>
      </c>
      <c r="E239" s="30" t="s">
        <v>315</v>
      </c>
      <c r="F239" s="30" t="s">
        <v>248</v>
      </c>
      <c r="G239" s="30"/>
      <c r="H239" s="30" t="s">
        <v>580</v>
      </c>
      <c r="I239" s="30"/>
      <c r="J239" s="31" t="s">
        <v>580</v>
      </c>
    </row>
    <row r="240" spans="1:10" x14ac:dyDescent="0.25">
      <c r="A240" s="30" t="s">
        <v>315</v>
      </c>
      <c r="B240" s="30" t="s">
        <v>665</v>
      </c>
      <c r="C240" s="30" t="s">
        <v>334</v>
      </c>
      <c r="D240" s="30" t="s">
        <v>666</v>
      </c>
      <c r="E240" s="30" t="s">
        <v>315</v>
      </c>
      <c r="F240" s="30" t="s">
        <v>688</v>
      </c>
      <c r="G240" s="30"/>
      <c r="H240" s="30" t="s">
        <v>580</v>
      </c>
      <c r="I240" s="30"/>
      <c r="J240" s="31" t="s">
        <v>580</v>
      </c>
    </row>
    <row r="241" spans="1:10" x14ac:dyDescent="0.25">
      <c r="A241" s="30" t="s">
        <v>315</v>
      </c>
      <c r="B241" s="30" t="s">
        <v>665</v>
      </c>
      <c r="C241" s="30" t="s">
        <v>334</v>
      </c>
      <c r="D241" s="30" t="s">
        <v>666</v>
      </c>
      <c r="E241" s="30" t="s">
        <v>315</v>
      </c>
      <c r="F241" s="30" t="s">
        <v>250</v>
      </c>
      <c r="G241" s="30"/>
      <c r="H241" s="30" t="s">
        <v>580</v>
      </c>
      <c r="I241" s="30"/>
      <c r="J241" s="31" t="s">
        <v>580</v>
      </c>
    </row>
    <row r="242" spans="1:10" x14ac:dyDescent="0.25">
      <c r="A242" s="30" t="s">
        <v>315</v>
      </c>
      <c r="B242" s="30" t="s">
        <v>665</v>
      </c>
      <c r="C242" s="30" t="s">
        <v>334</v>
      </c>
      <c r="D242" s="30" t="s">
        <v>666</v>
      </c>
      <c r="E242" s="30" t="s">
        <v>315</v>
      </c>
      <c r="F242" s="30" t="s">
        <v>689</v>
      </c>
      <c r="G242" s="30"/>
      <c r="H242" s="30" t="s">
        <v>580</v>
      </c>
      <c r="I242" s="30"/>
      <c r="J242" s="31" t="s">
        <v>580</v>
      </c>
    </row>
    <row r="243" spans="1:10" x14ac:dyDescent="0.25">
      <c r="A243" s="30" t="s">
        <v>315</v>
      </c>
      <c r="B243" s="30" t="s">
        <v>665</v>
      </c>
      <c r="C243" s="30" t="s">
        <v>334</v>
      </c>
      <c r="D243" s="30" t="s">
        <v>666</v>
      </c>
      <c r="E243" s="30" t="s">
        <v>315</v>
      </c>
      <c r="F243" s="30" t="s">
        <v>192</v>
      </c>
      <c r="G243" s="30"/>
      <c r="H243" s="30" t="s">
        <v>580</v>
      </c>
      <c r="I243" s="30"/>
      <c r="J243" s="31" t="s">
        <v>580</v>
      </c>
    </row>
    <row r="244" spans="1:10" x14ac:dyDescent="0.25">
      <c r="A244" s="30" t="s">
        <v>315</v>
      </c>
      <c r="B244" s="30" t="s">
        <v>665</v>
      </c>
      <c r="C244" s="30" t="s">
        <v>334</v>
      </c>
      <c r="D244" s="30" t="s">
        <v>666</v>
      </c>
      <c r="E244" s="30" t="s">
        <v>315</v>
      </c>
      <c r="F244" s="30" t="s">
        <v>690</v>
      </c>
      <c r="G244" s="30"/>
      <c r="H244" s="30" t="s">
        <v>580</v>
      </c>
      <c r="I244" s="30"/>
      <c r="J244" s="31" t="s">
        <v>580</v>
      </c>
    </row>
    <row r="245" spans="1:10" x14ac:dyDescent="0.25">
      <c r="A245" s="30" t="s">
        <v>315</v>
      </c>
      <c r="B245" s="30" t="s">
        <v>665</v>
      </c>
      <c r="C245" s="30" t="s">
        <v>334</v>
      </c>
      <c r="D245" s="30" t="s">
        <v>666</v>
      </c>
      <c r="E245" s="30" t="s">
        <v>315</v>
      </c>
      <c r="F245" s="30" t="s">
        <v>691</v>
      </c>
      <c r="G245" s="30"/>
      <c r="H245" s="30" t="s">
        <v>580</v>
      </c>
      <c r="I245" s="30"/>
      <c r="J245" s="31" t="s">
        <v>580</v>
      </c>
    </row>
    <row r="246" spans="1:10" x14ac:dyDescent="0.25">
      <c r="A246" s="30" t="s">
        <v>315</v>
      </c>
      <c r="B246" s="30" t="s">
        <v>665</v>
      </c>
      <c r="C246" s="30" t="s">
        <v>334</v>
      </c>
      <c r="D246" s="30" t="s">
        <v>666</v>
      </c>
      <c r="E246" s="30" t="s">
        <v>315</v>
      </c>
      <c r="F246" s="30" t="s">
        <v>692</v>
      </c>
      <c r="G246" s="30"/>
      <c r="H246" s="30" t="s">
        <v>580</v>
      </c>
      <c r="I246" s="30"/>
      <c r="J246" s="31" t="s">
        <v>580</v>
      </c>
    </row>
    <row r="247" spans="1:10" x14ac:dyDescent="0.25">
      <c r="A247" s="30" t="s">
        <v>315</v>
      </c>
      <c r="B247" s="30" t="s">
        <v>665</v>
      </c>
      <c r="C247" s="30" t="s">
        <v>334</v>
      </c>
      <c r="D247" s="30" t="s">
        <v>666</v>
      </c>
      <c r="E247" s="30" t="s">
        <v>315</v>
      </c>
      <c r="F247" s="30" t="s">
        <v>83</v>
      </c>
      <c r="G247" s="30"/>
      <c r="H247" s="30" t="s">
        <v>580</v>
      </c>
      <c r="I247" s="30"/>
      <c r="J247" s="31" t="s">
        <v>580</v>
      </c>
    </row>
    <row r="248" spans="1:10" x14ac:dyDescent="0.25">
      <c r="A248" s="30" t="s">
        <v>315</v>
      </c>
      <c r="B248" s="30" t="s">
        <v>665</v>
      </c>
      <c r="C248" s="30" t="s">
        <v>334</v>
      </c>
      <c r="D248" s="30" t="s">
        <v>666</v>
      </c>
      <c r="E248" s="30" t="s">
        <v>315</v>
      </c>
      <c r="F248" s="30" t="s">
        <v>693</v>
      </c>
      <c r="G248" s="30"/>
      <c r="H248" s="30" t="s">
        <v>580</v>
      </c>
      <c r="I248" s="30"/>
      <c r="J248" s="31" t="s">
        <v>580</v>
      </c>
    </row>
    <row r="249" spans="1:10" x14ac:dyDescent="0.25">
      <c r="A249" s="30" t="s">
        <v>315</v>
      </c>
      <c r="B249" s="30" t="s">
        <v>665</v>
      </c>
      <c r="C249" s="30" t="s">
        <v>334</v>
      </c>
      <c r="D249" s="30" t="s">
        <v>666</v>
      </c>
      <c r="E249" s="30" t="s">
        <v>315</v>
      </c>
      <c r="F249" s="30" t="s">
        <v>694</v>
      </c>
      <c r="G249" s="30"/>
      <c r="H249" s="30" t="s">
        <v>580</v>
      </c>
      <c r="I249" s="30"/>
      <c r="J249" s="31" t="s">
        <v>580</v>
      </c>
    </row>
    <row r="250" spans="1:10" x14ac:dyDescent="0.25">
      <c r="A250" s="30" t="s">
        <v>315</v>
      </c>
      <c r="B250" s="30" t="s">
        <v>665</v>
      </c>
      <c r="C250" s="30" t="s">
        <v>334</v>
      </c>
      <c r="D250" s="30" t="s">
        <v>666</v>
      </c>
      <c r="E250" s="30" t="s">
        <v>315</v>
      </c>
      <c r="F250" s="30" t="s">
        <v>252</v>
      </c>
      <c r="G250" s="30"/>
      <c r="H250" s="30" t="s">
        <v>580</v>
      </c>
      <c r="I250" s="30"/>
      <c r="J250" s="31" t="s">
        <v>580</v>
      </c>
    </row>
    <row r="251" spans="1:10" x14ac:dyDescent="0.25">
      <c r="A251" s="30" t="s">
        <v>315</v>
      </c>
      <c r="B251" s="30" t="s">
        <v>665</v>
      </c>
      <c r="C251" s="30" t="s">
        <v>334</v>
      </c>
      <c r="D251" s="30" t="s">
        <v>666</v>
      </c>
      <c r="E251" s="30" t="s">
        <v>315</v>
      </c>
      <c r="F251" s="30" t="s">
        <v>695</v>
      </c>
      <c r="G251" s="30"/>
      <c r="H251" s="30" t="s">
        <v>580</v>
      </c>
      <c r="I251" s="30"/>
      <c r="J251" s="31" t="s">
        <v>580</v>
      </c>
    </row>
    <row r="252" spans="1:10" x14ac:dyDescent="0.25">
      <c r="A252" s="30" t="s">
        <v>315</v>
      </c>
      <c r="B252" s="30" t="s">
        <v>665</v>
      </c>
      <c r="C252" s="30" t="s">
        <v>334</v>
      </c>
      <c r="D252" s="30" t="s">
        <v>666</v>
      </c>
      <c r="E252" s="30" t="s">
        <v>315</v>
      </c>
      <c r="F252" s="30" t="s">
        <v>99</v>
      </c>
      <c r="G252" s="30"/>
      <c r="H252" s="30" t="s">
        <v>580</v>
      </c>
      <c r="I252" s="30"/>
      <c r="J252" s="31" t="s">
        <v>580</v>
      </c>
    </row>
    <row r="253" spans="1:10" x14ac:dyDescent="0.25">
      <c r="A253" s="30" t="s">
        <v>315</v>
      </c>
      <c r="B253" s="30" t="s">
        <v>665</v>
      </c>
      <c r="C253" s="30" t="s">
        <v>334</v>
      </c>
      <c r="D253" s="30" t="s">
        <v>666</v>
      </c>
      <c r="E253" s="30" t="s">
        <v>315</v>
      </c>
      <c r="F253" s="30" t="s">
        <v>696</v>
      </c>
      <c r="G253" s="30"/>
      <c r="H253" s="30" t="s">
        <v>580</v>
      </c>
      <c r="I253" s="30"/>
      <c r="J253" s="31" t="s">
        <v>580</v>
      </c>
    </row>
    <row r="254" spans="1:10" x14ac:dyDescent="0.25">
      <c r="A254" s="30" t="s">
        <v>315</v>
      </c>
      <c r="B254" s="30" t="s">
        <v>665</v>
      </c>
      <c r="C254" s="30" t="s">
        <v>334</v>
      </c>
      <c r="D254" s="30" t="s">
        <v>666</v>
      </c>
      <c r="E254" s="30" t="s">
        <v>315</v>
      </c>
      <c r="F254" s="30" t="s">
        <v>198</v>
      </c>
      <c r="G254" s="30"/>
      <c r="H254" s="30" t="s">
        <v>580</v>
      </c>
      <c r="I254" s="30"/>
      <c r="J254" s="31" t="s">
        <v>580</v>
      </c>
    </row>
    <row r="255" spans="1:10" x14ac:dyDescent="0.25">
      <c r="A255" s="30" t="s">
        <v>315</v>
      </c>
      <c r="B255" s="30" t="s">
        <v>665</v>
      </c>
      <c r="C255" s="30" t="s">
        <v>334</v>
      </c>
      <c r="D255" s="30" t="s">
        <v>666</v>
      </c>
      <c r="E255" s="30" t="s">
        <v>315</v>
      </c>
      <c r="F255" s="30" t="s">
        <v>697</v>
      </c>
      <c r="G255" s="30"/>
      <c r="H255" s="30" t="s">
        <v>580</v>
      </c>
      <c r="I255" s="30"/>
      <c r="J255" s="31" t="s">
        <v>580</v>
      </c>
    </row>
    <row r="256" spans="1:10" x14ac:dyDescent="0.25">
      <c r="A256" s="30" t="s">
        <v>315</v>
      </c>
      <c r="B256" s="30" t="s">
        <v>665</v>
      </c>
      <c r="C256" s="30" t="s">
        <v>334</v>
      </c>
      <c r="D256" s="30" t="s">
        <v>666</v>
      </c>
      <c r="E256" s="30" t="s">
        <v>315</v>
      </c>
      <c r="F256" s="30" t="s">
        <v>159</v>
      </c>
      <c r="G256" s="30"/>
      <c r="H256" s="30" t="s">
        <v>580</v>
      </c>
      <c r="I256" s="30"/>
      <c r="J256" s="31" t="s">
        <v>580</v>
      </c>
    </row>
    <row r="257" spans="1:10" x14ac:dyDescent="0.25">
      <c r="A257" s="30" t="s">
        <v>315</v>
      </c>
      <c r="B257" s="30" t="s">
        <v>665</v>
      </c>
      <c r="C257" s="30" t="s">
        <v>334</v>
      </c>
      <c r="D257" s="30" t="s">
        <v>666</v>
      </c>
      <c r="E257" s="30" t="s">
        <v>315</v>
      </c>
      <c r="F257" s="30" t="s">
        <v>206</v>
      </c>
      <c r="G257" s="30"/>
      <c r="H257" s="30" t="s">
        <v>580</v>
      </c>
      <c r="I257" s="30"/>
      <c r="J257" s="31" t="s">
        <v>580</v>
      </c>
    </row>
    <row r="258" spans="1:10" x14ac:dyDescent="0.25">
      <c r="A258" s="30" t="s">
        <v>315</v>
      </c>
      <c r="B258" s="30" t="s">
        <v>665</v>
      </c>
      <c r="C258" s="30" t="s">
        <v>334</v>
      </c>
      <c r="D258" s="30" t="s">
        <v>666</v>
      </c>
      <c r="E258" s="30" t="s">
        <v>315</v>
      </c>
      <c r="F258" s="30" t="s">
        <v>698</v>
      </c>
      <c r="G258" s="30"/>
      <c r="H258" s="30" t="s">
        <v>580</v>
      </c>
      <c r="I258" s="30"/>
      <c r="J258" s="31" t="s">
        <v>580</v>
      </c>
    </row>
    <row r="259" spans="1:10" x14ac:dyDescent="0.25">
      <c r="A259" s="30" t="s">
        <v>315</v>
      </c>
      <c r="B259" s="30" t="s">
        <v>665</v>
      </c>
      <c r="C259" s="30" t="s">
        <v>334</v>
      </c>
      <c r="D259" s="30" t="s">
        <v>666</v>
      </c>
      <c r="E259" s="30" t="s">
        <v>315</v>
      </c>
      <c r="F259" s="30" t="s">
        <v>699</v>
      </c>
      <c r="G259" s="30"/>
      <c r="H259" s="30" t="s">
        <v>580</v>
      </c>
      <c r="I259" s="30"/>
      <c r="J259" s="31" t="s">
        <v>580</v>
      </c>
    </row>
    <row r="260" spans="1:10" x14ac:dyDescent="0.25">
      <c r="A260" s="30" t="s">
        <v>315</v>
      </c>
      <c r="B260" s="30" t="s">
        <v>665</v>
      </c>
      <c r="C260" s="30" t="s">
        <v>334</v>
      </c>
      <c r="D260" s="30" t="s">
        <v>666</v>
      </c>
      <c r="E260" s="30" t="s">
        <v>315</v>
      </c>
      <c r="F260" s="30" t="s">
        <v>700</v>
      </c>
      <c r="G260" s="30"/>
      <c r="H260" s="30" t="s">
        <v>652</v>
      </c>
      <c r="I260" s="30"/>
      <c r="J260" s="31" t="s">
        <v>580</v>
      </c>
    </row>
    <row r="261" spans="1:10" x14ac:dyDescent="0.25">
      <c r="A261" s="30" t="s">
        <v>315</v>
      </c>
      <c r="B261" s="30" t="s">
        <v>665</v>
      </c>
      <c r="C261" s="30" t="s">
        <v>334</v>
      </c>
      <c r="D261" s="30" t="s">
        <v>666</v>
      </c>
      <c r="E261" s="30" t="s">
        <v>315</v>
      </c>
      <c r="F261" s="30" t="s">
        <v>32</v>
      </c>
      <c r="G261" s="30"/>
      <c r="H261" s="30" t="s">
        <v>580</v>
      </c>
      <c r="I261" s="30"/>
      <c r="J261" s="31" t="s">
        <v>580</v>
      </c>
    </row>
    <row r="262" spans="1:10" x14ac:dyDescent="0.25">
      <c r="A262" s="30" t="s">
        <v>315</v>
      </c>
      <c r="B262" s="30" t="s">
        <v>665</v>
      </c>
      <c r="C262" s="30" t="s">
        <v>334</v>
      </c>
      <c r="D262" s="30" t="s">
        <v>666</v>
      </c>
      <c r="E262" s="30" t="s">
        <v>315</v>
      </c>
      <c r="F262" s="30" t="s">
        <v>44</v>
      </c>
      <c r="G262" s="30"/>
      <c r="H262" s="30" t="s">
        <v>652</v>
      </c>
      <c r="I262" s="30"/>
      <c r="J262" s="31" t="s">
        <v>652</v>
      </c>
    </row>
    <row r="263" spans="1:10" x14ac:dyDescent="0.25">
      <c r="A263" s="30" t="s">
        <v>315</v>
      </c>
      <c r="B263" s="30" t="s">
        <v>665</v>
      </c>
      <c r="C263" s="30" t="s">
        <v>334</v>
      </c>
      <c r="D263" s="30" t="s">
        <v>666</v>
      </c>
      <c r="E263" s="30" t="s">
        <v>315</v>
      </c>
      <c r="F263" s="30" t="s">
        <v>701</v>
      </c>
      <c r="G263" s="30"/>
      <c r="H263" s="30" t="s">
        <v>580</v>
      </c>
      <c r="I263" s="30"/>
      <c r="J263" s="31" t="s">
        <v>580</v>
      </c>
    </row>
    <row r="264" spans="1:10" x14ac:dyDescent="0.25">
      <c r="A264" s="30" t="s">
        <v>315</v>
      </c>
      <c r="B264" s="30" t="s">
        <v>665</v>
      </c>
      <c r="C264" s="30" t="s">
        <v>334</v>
      </c>
      <c r="D264" s="30" t="s">
        <v>666</v>
      </c>
      <c r="E264" s="30" t="s">
        <v>315</v>
      </c>
      <c r="F264" s="30" t="s">
        <v>702</v>
      </c>
      <c r="G264" s="30"/>
      <c r="H264" s="30" t="s">
        <v>580</v>
      </c>
      <c r="I264" s="30"/>
      <c r="J264" s="31" t="s">
        <v>580</v>
      </c>
    </row>
    <row r="265" spans="1:10" x14ac:dyDescent="0.25">
      <c r="A265" s="30" t="s">
        <v>315</v>
      </c>
      <c r="B265" s="30" t="s">
        <v>665</v>
      </c>
      <c r="C265" s="30" t="s">
        <v>334</v>
      </c>
      <c r="D265" s="30" t="s">
        <v>666</v>
      </c>
      <c r="E265" s="30" t="s">
        <v>315</v>
      </c>
      <c r="F265" s="30" t="s">
        <v>703</v>
      </c>
      <c r="G265" s="30"/>
      <c r="H265" s="30" t="s">
        <v>580</v>
      </c>
      <c r="I265" s="30"/>
      <c r="J265" s="31" t="s">
        <v>580</v>
      </c>
    </row>
    <row r="266" spans="1:10" x14ac:dyDescent="0.25">
      <c r="A266" s="30" t="s">
        <v>315</v>
      </c>
      <c r="B266" s="30" t="s">
        <v>665</v>
      </c>
      <c r="C266" s="30" t="s">
        <v>334</v>
      </c>
      <c r="D266" s="30" t="s">
        <v>666</v>
      </c>
      <c r="E266" s="30" t="s">
        <v>315</v>
      </c>
      <c r="F266" s="30" t="s">
        <v>230</v>
      </c>
      <c r="G266" s="30"/>
      <c r="H266" s="30" t="s">
        <v>580</v>
      </c>
      <c r="I266" s="30"/>
      <c r="J266" s="31" t="s">
        <v>580</v>
      </c>
    </row>
    <row r="267" spans="1:10" x14ac:dyDescent="0.25">
      <c r="A267" s="30" t="s">
        <v>315</v>
      </c>
      <c r="B267" s="30" t="s">
        <v>665</v>
      </c>
      <c r="C267" s="30" t="s">
        <v>334</v>
      </c>
      <c r="D267" s="30" t="s">
        <v>666</v>
      </c>
      <c r="E267" s="30" t="s">
        <v>315</v>
      </c>
      <c r="F267" s="30" t="s">
        <v>224</v>
      </c>
      <c r="G267" s="30"/>
      <c r="H267" s="30" t="s">
        <v>580</v>
      </c>
      <c r="I267" s="30"/>
      <c r="J267" s="31" t="s">
        <v>580</v>
      </c>
    </row>
    <row r="268" spans="1:10" x14ac:dyDescent="0.25">
      <c r="A268" s="30" t="s">
        <v>315</v>
      </c>
      <c r="B268" s="30" t="s">
        <v>665</v>
      </c>
      <c r="C268" s="30" t="s">
        <v>334</v>
      </c>
      <c r="D268" s="30" t="s">
        <v>666</v>
      </c>
      <c r="E268" s="30" t="s">
        <v>315</v>
      </c>
      <c r="F268" s="30" t="s">
        <v>226</v>
      </c>
      <c r="G268" s="30"/>
      <c r="H268" s="30" t="s">
        <v>580</v>
      </c>
      <c r="I268" s="30"/>
      <c r="J268" s="31" t="s">
        <v>580</v>
      </c>
    </row>
    <row r="269" spans="1:10" x14ac:dyDescent="0.25">
      <c r="A269" s="30" t="s">
        <v>315</v>
      </c>
      <c r="B269" s="30" t="s">
        <v>665</v>
      </c>
      <c r="C269" s="30" t="s">
        <v>334</v>
      </c>
      <c r="D269" s="30" t="s">
        <v>666</v>
      </c>
      <c r="E269" s="30" t="s">
        <v>315</v>
      </c>
      <c r="F269" s="30" t="s">
        <v>704</v>
      </c>
      <c r="G269" s="30"/>
      <c r="H269" s="30" t="s">
        <v>580</v>
      </c>
      <c r="I269" s="30"/>
      <c r="J269" s="31" t="s">
        <v>580</v>
      </c>
    </row>
    <row r="270" spans="1:10" x14ac:dyDescent="0.25">
      <c r="A270" s="30" t="s">
        <v>315</v>
      </c>
      <c r="B270" s="30" t="s">
        <v>665</v>
      </c>
      <c r="C270" s="30" t="s">
        <v>334</v>
      </c>
      <c r="D270" s="30" t="s">
        <v>666</v>
      </c>
      <c r="E270" s="30" t="s">
        <v>315</v>
      </c>
      <c r="F270" s="30" t="s">
        <v>60</v>
      </c>
      <c r="G270" s="30"/>
      <c r="H270" s="30" t="s">
        <v>580</v>
      </c>
      <c r="I270" s="30"/>
      <c r="J270" s="31" t="s">
        <v>580</v>
      </c>
    </row>
    <row r="271" spans="1:10" x14ac:dyDescent="0.25">
      <c r="A271" s="30" t="s">
        <v>315</v>
      </c>
      <c r="B271" s="30" t="s">
        <v>665</v>
      </c>
      <c r="C271" s="30" t="s">
        <v>334</v>
      </c>
      <c r="D271" s="30" t="s">
        <v>666</v>
      </c>
      <c r="E271" s="30" t="s">
        <v>315</v>
      </c>
      <c r="F271" s="30" t="s">
        <v>705</v>
      </c>
      <c r="G271" s="30"/>
      <c r="H271" s="30" t="s">
        <v>580</v>
      </c>
      <c r="I271" s="30"/>
      <c r="J271" s="31" t="s">
        <v>580</v>
      </c>
    </row>
    <row r="272" spans="1:10" x14ac:dyDescent="0.25">
      <c r="A272" s="30" t="s">
        <v>315</v>
      </c>
      <c r="B272" s="30" t="s">
        <v>665</v>
      </c>
      <c r="C272" s="30" t="s">
        <v>334</v>
      </c>
      <c r="D272" s="30" t="s">
        <v>666</v>
      </c>
      <c r="E272" s="30" t="s">
        <v>315</v>
      </c>
      <c r="F272" s="30" t="s">
        <v>706</v>
      </c>
      <c r="G272" s="30"/>
      <c r="H272" s="30" t="s">
        <v>580</v>
      </c>
      <c r="I272" s="30"/>
      <c r="J272" s="31" t="s">
        <v>580</v>
      </c>
    </row>
    <row r="273" spans="1:10" x14ac:dyDescent="0.25">
      <c r="A273" s="30" t="s">
        <v>315</v>
      </c>
      <c r="B273" s="30" t="s">
        <v>665</v>
      </c>
      <c r="C273" s="30" t="s">
        <v>334</v>
      </c>
      <c r="D273" s="30" t="s">
        <v>666</v>
      </c>
      <c r="E273" s="30" t="s">
        <v>315</v>
      </c>
      <c r="F273" s="30" t="s">
        <v>707</v>
      </c>
      <c r="G273" s="30"/>
      <c r="H273" s="30" t="s">
        <v>580</v>
      </c>
      <c r="I273" s="30"/>
      <c r="J273" s="31" t="s">
        <v>580</v>
      </c>
    </row>
    <row r="274" spans="1:10" x14ac:dyDescent="0.25">
      <c r="A274" s="30" t="s">
        <v>315</v>
      </c>
      <c r="B274" s="30" t="s">
        <v>665</v>
      </c>
      <c r="C274" s="30" t="s">
        <v>334</v>
      </c>
      <c r="D274" s="30" t="s">
        <v>666</v>
      </c>
      <c r="E274" s="30" t="s">
        <v>315</v>
      </c>
      <c r="F274" s="30" t="s">
        <v>708</v>
      </c>
      <c r="G274" s="30"/>
      <c r="H274" s="30" t="s">
        <v>580</v>
      </c>
      <c r="I274" s="30"/>
      <c r="J274" s="31" t="s">
        <v>580</v>
      </c>
    </row>
    <row r="275" spans="1:10" x14ac:dyDescent="0.25">
      <c r="A275" s="30" t="s">
        <v>315</v>
      </c>
      <c r="B275" s="30" t="s">
        <v>665</v>
      </c>
      <c r="C275" s="30" t="s">
        <v>334</v>
      </c>
      <c r="D275" s="30" t="s">
        <v>666</v>
      </c>
      <c r="E275" s="30" t="s">
        <v>315</v>
      </c>
      <c r="F275" s="30" t="s">
        <v>709</v>
      </c>
      <c r="G275" s="30"/>
      <c r="H275" s="30" t="s">
        <v>580</v>
      </c>
      <c r="I275" s="30"/>
      <c r="J275" s="31" t="s">
        <v>580</v>
      </c>
    </row>
    <row r="276" spans="1:10" x14ac:dyDescent="0.25">
      <c r="A276" s="30" t="s">
        <v>315</v>
      </c>
      <c r="B276" s="30" t="s">
        <v>665</v>
      </c>
      <c r="C276" s="30" t="s">
        <v>334</v>
      </c>
      <c r="D276" s="30" t="s">
        <v>666</v>
      </c>
      <c r="E276" s="30" t="s">
        <v>315</v>
      </c>
      <c r="F276" s="30" t="s">
        <v>710</v>
      </c>
      <c r="G276" s="30"/>
      <c r="H276" s="30" t="s">
        <v>580</v>
      </c>
      <c r="I276" s="30"/>
      <c r="J276" s="31" t="s">
        <v>580</v>
      </c>
    </row>
    <row r="277" spans="1:10" x14ac:dyDescent="0.25">
      <c r="A277" s="30" t="s">
        <v>315</v>
      </c>
      <c r="B277" s="30" t="s">
        <v>665</v>
      </c>
      <c r="C277" s="30" t="s">
        <v>334</v>
      </c>
      <c r="D277" s="30" t="s">
        <v>666</v>
      </c>
      <c r="E277" s="30" t="s">
        <v>315</v>
      </c>
      <c r="F277" s="30" t="s">
        <v>711</v>
      </c>
      <c r="G277" s="30"/>
      <c r="H277" s="30" t="s">
        <v>580</v>
      </c>
      <c r="I277" s="30"/>
      <c r="J277" s="31" t="s">
        <v>580</v>
      </c>
    </row>
    <row r="278" spans="1:10" x14ac:dyDescent="0.25">
      <c r="A278" s="30" t="s">
        <v>315</v>
      </c>
      <c r="B278" s="30" t="s">
        <v>665</v>
      </c>
      <c r="C278" s="30" t="s">
        <v>334</v>
      </c>
      <c r="D278" s="30" t="s">
        <v>666</v>
      </c>
      <c r="E278" s="30" t="s">
        <v>315</v>
      </c>
      <c r="F278" s="30" t="s">
        <v>712</v>
      </c>
      <c r="G278" s="30"/>
      <c r="H278" s="30" t="s">
        <v>580</v>
      </c>
      <c r="I278" s="30"/>
      <c r="J278" s="31" t="s">
        <v>580</v>
      </c>
    </row>
    <row r="279" spans="1:10" x14ac:dyDescent="0.25">
      <c r="A279" s="30" t="s">
        <v>315</v>
      </c>
      <c r="B279" s="30" t="s">
        <v>665</v>
      </c>
      <c r="C279" s="30" t="s">
        <v>334</v>
      </c>
      <c r="D279" s="30" t="s">
        <v>666</v>
      </c>
      <c r="E279" s="30" t="s">
        <v>315</v>
      </c>
      <c r="F279" s="30" t="s">
        <v>120</v>
      </c>
      <c r="G279" s="30"/>
      <c r="H279" s="30" t="s">
        <v>580</v>
      </c>
      <c r="I279" s="30"/>
      <c r="J279" s="31" t="s">
        <v>580</v>
      </c>
    </row>
    <row r="280" spans="1:10" x14ac:dyDescent="0.25">
      <c r="A280" s="30" t="s">
        <v>315</v>
      </c>
      <c r="B280" s="30" t="s">
        <v>665</v>
      </c>
      <c r="C280" s="30" t="s">
        <v>334</v>
      </c>
      <c r="D280" s="30" t="s">
        <v>666</v>
      </c>
      <c r="E280" s="30" t="s">
        <v>315</v>
      </c>
      <c r="F280" s="30" t="s">
        <v>228</v>
      </c>
      <c r="G280" s="30"/>
      <c r="H280" s="30" t="s">
        <v>580</v>
      </c>
      <c r="I280" s="30"/>
      <c r="J280" s="31" t="s">
        <v>580</v>
      </c>
    </row>
    <row r="281" spans="1:10" x14ac:dyDescent="0.25">
      <c r="A281" s="30" t="s">
        <v>315</v>
      </c>
      <c r="B281" s="30" t="s">
        <v>665</v>
      </c>
      <c r="C281" s="30" t="s">
        <v>334</v>
      </c>
      <c r="D281" s="30" t="s">
        <v>666</v>
      </c>
      <c r="E281" s="30" t="s">
        <v>315</v>
      </c>
      <c r="F281" s="30" t="s">
        <v>134</v>
      </c>
      <c r="G281" s="30"/>
      <c r="H281" s="30" t="s">
        <v>580</v>
      </c>
      <c r="I281" s="30"/>
      <c r="J281" s="31" t="s">
        <v>580</v>
      </c>
    </row>
    <row r="282" spans="1:10" x14ac:dyDescent="0.25">
      <c r="A282" s="30" t="s">
        <v>315</v>
      </c>
      <c r="B282" s="30" t="s">
        <v>665</v>
      </c>
      <c r="C282" s="30" t="s">
        <v>334</v>
      </c>
      <c r="D282" s="30" t="s">
        <v>666</v>
      </c>
      <c r="E282" s="30" t="s">
        <v>315</v>
      </c>
      <c r="F282" s="30" t="s">
        <v>713</v>
      </c>
      <c r="G282" s="30"/>
      <c r="H282" s="30" t="s">
        <v>580</v>
      </c>
      <c r="I282" s="30"/>
      <c r="J282" s="31" t="s">
        <v>580</v>
      </c>
    </row>
    <row r="283" spans="1:10" x14ac:dyDescent="0.25">
      <c r="A283" s="30" t="s">
        <v>315</v>
      </c>
      <c r="B283" s="30" t="s">
        <v>665</v>
      </c>
      <c r="C283" s="30" t="s">
        <v>334</v>
      </c>
      <c r="D283" s="30" t="s">
        <v>666</v>
      </c>
      <c r="E283" s="30" t="s">
        <v>315</v>
      </c>
      <c r="F283" s="30" t="s">
        <v>714</v>
      </c>
      <c r="G283" s="30"/>
      <c r="H283" s="30" t="s">
        <v>580</v>
      </c>
      <c r="I283" s="30"/>
      <c r="J283" s="31" t="s">
        <v>580</v>
      </c>
    </row>
    <row r="284" spans="1:10" x14ac:dyDescent="0.25">
      <c r="A284" s="30" t="s">
        <v>315</v>
      </c>
      <c r="B284" s="30" t="s">
        <v>665</v>
      </c>
      <c r="C284" s="30" t="s">
        <v>334</v>
      </c>
      <c r="D284" s="30" t="s">
        <v>666</v>
      </c>
      <c r="E284" s="30" t="s">
        <v>315</v>
      </c>
      <c r="F284" s="30" t="s">
        <v>715</v>
      </c>
      <c r="G284" s="30"/>
      <c r="H284" s="30" t="s">
        <v>580</v>
      </c>
      <c r="I284" s="30"/>
      <c r="J284" s="31" t="s">
        <v>580</v>
      </c>
    </row>
    <row r="285" spans="1:10" x14ac:dyDescent="0.25">
      <c r="A285" s="30" t="s">
        <v>315</v>
      </c>
      <c r="B285" s="30" t="s">
        <v>665</v>
      </c>
      <c r="C285" s="30" t="s">
        <v>334</v>
      </c>
      <c r="D285" s="30" t="s">
        <v>666</v>
      </c>
      <c r="E285" s="30" t="s">
        <v>315</v>
      </c>
      <c r="F285" s="30" t="s">
        <v>716</v>
      </c>
      <c r="G285" s="30"/>
      <c r="H285" s="30" t="s">
        <v>580</v>
      </c>
      <c r="I285" s="30"/>
      <c r="J285" s="31" t="s">
        <v>580</v>
      </c>
    </row>
    <row r="286" spans="1:10" x14ac:dyDescent="0.25">
      <c r="A286" s="30" t="s">
        <v>315</v>
      </c>
      <c r="B286" s="30" t="s">
        <v>665</v>
      </c>
      <c r="C286" s="30" t="s">
        <v>334</v>
      </c>
      <c r="D286" s="30" t="s">
        <v>666</v>
      </c>
      <c r="E286" s="30" t="s">
        <v>315</v>
      </c>
      <c r="F286" s="30" t="s">
        <v>717</v>
      </c>
      <c r="G286" s="30"/>
      <c r="H286" s="30" t="s">
        <v>580</v>
      </c>
      <c r="I286" s="30"/>
      <c r="J286" s="31" t="s">
        <v>580</v>
      </c>
    </row>
    <row r="287" spans="1:10" x14ac:dyDescent="0.25">
      <c r="A287" s="30" t="s">
        <v>315</v>
      </c>
      <c r="B287" s="30" t="s">
        <v>665</v>
      </c>
      <c r="C287" s="30" t="s">
        <v>334</v>
      </c>
      <c r="D287" s="30" t="s">
        <v>666</v>
      </c>
      <c r="E287" s="30" t="s">
        <v>315</v>
      </c>
      <c r="F287" s="30" t="s">
        <v>169</v>
      </c>
      <c r="G287" s="30"/>
      <c r="H287" s="30" t="s">
        <v>580</v>
      </c>
      <c r="I287" s="30"/>
      <c r="J287" s="31" t="s">
        <v>580</v>
      </c>
    </row>
    <row r="288" spans="1:10" x14ac:dyDescent="0.25">
      <c r="A288" s="30" t="s">
        <v>315</v>
      </c>
      <c r="B288" s="30" t="s">
        <v>665</v>
      </c>
      <c r="C288" s="30" t="s">
        <v>334</v>
      </c>
      <c r="D288" s="30" t="s">
        <v>666</v>
      </c>
      <c r="E288" s="30" t="s">
        <v>315</v>
      </c>
      <c r="F288" s="30" t="s">
        <v>718</v>
      </c>
      <c r="G288" s="30"/>
      <c r="H288" s="30" t="s">
        <v>652</v>
      </c>
      <c r="I288" s="30"/>
      <c r="J288" s="31" t="s">
        <v>652</v>
      </c>
    </row>
    <row r="289" spans="1:10" x14ac:dyDescent="0.25">
      <c r="A289" s="30" t="s">
        <v>315</v>
      </c>
      <c r="B289" s="30" t="s">
        <v>665</v>
      </c>
      <c r="C289" s="30" t="s">
        <v>334</v>
      </c>
      <c r="D289" s="30" t="s">
        <v>666</v>
      </c>
      <c r="E289" s="30" t="s">
        <v>315</v>
      </c>
      <c r="F289" s="30" t="s">
        <v>97</v>
      </c>
      <c r="G289" s="30"/>
      <c r="H289" s="30" t="s">
        <v>652</v>
      </c>
      <c r="I289" s="30"/>
      <c r="J289" s="31" t="s">
        <v>652</v>
      </c>
    </row>
    <row r="290" spans="1:10" x14ac:dyDescent="0.25">
      <c r="A290" s="30" t="s">
        <v>315</v>
      </c>
      <c r="B290" s="30" t="s">
        <v>665</v>
      </c>
      <c r="C290" s="30" t="s">
        <v>334</v>
      </c>
      <c r="D290" s="30" t="s">
        <v>666</v>
      </c>
      <c r="E290" s="30" t="s">
        <v>315</v>
      </c>
      <c r="F290" s="30" t="s">
        <v>719</v>
      </c>
      <c r="G290" s="30"/>
      <c r="H290" s="30" t="s">
        <v>652</v>
      </c>
      <c r="I290" s="30"/>
      <c r="J290" s="31" t="s">
        <v>652</v>
      </c>
    </row>
    <row r="291" spans="1:10" x14ac:dyDescent="0.25">
      <c r="A291" s="30" t="s">
        <v>315</v>
      </c>
      <c r="B291" s="30" t="s">
        <v>665</v>
      </c>
      <c r="C291" s="30" t="s">
        <v>334</v>
      </c>
      <c r="D291" s="30" t="s">
        <v>666</v>
      </c>
      <c r="E291" s="30" t="s">
        <v>315</v>
      </c>
      <c r="F291" s="30" t="s">
        <v>118</v>
      </c>
      <c r="G291" s="30"/>
      <c r="H291" s="30" t="s">
        <v>652</v>
      </c>
      <c r="I291" s="30"/>
      <c r="J291" s="31" t="s">
        <v>652</v>
      </c>
    </row>
    <row r="292" spans="1:10" x14ac:dyDescent="0.25">
      <c r="A292" s="30" t="s">
        <v>315</v>
      </c>
      <c r="B292" s="30" t="s">
        <v>665</v>
      </c>
      <c r="C292" s="30" t="s">
        <v>334</v>
      </c>
      <c r="D292" s="30" t="s">
        <v>666</v>
      </c>
      <c r="E292" s="30" t="s">
        <v>315</v>
      </c>
      <c r="F292" s="30" t="s">
        <v>720</v>
      </c>
      <c r="G292" s="30"/>
      <c r="H292" s="30" t="s">
        <v>652</v>
      </c>
      <c r="I292" s="30"/>
      <c r="J292" s="31" t="s">
        <v>652</v>
      </c>
    </row>
    <row r="293" spans="1:10" x14ac:dyDescent="0.25">
      <c r="A293" s="30" t="s">
        <v>315</v>
      </c>
      <c r="B293" s="30" t="s">
        <v>665</v>
      </c>
      <c r="C293" s="30" t="s">
        <v>334</v>
      </c>
      <c r="D293" s="30" t="s">
        <v>666</v>
      </c>
      <c r="E293" s="30" t="s">
        <v>315</v>
      </c>
      <c r="F293" s="30" t="s">
        <v>246</v>
      </c>
      <c r="G293" s="30"/>
      <c r="H293" s="30" t="s">
        <v>652</v>
      </c>
      <c r="I293" s="30"/>
      <c r="J293" s="31" t="s">
        <v>652</v>
      </c>
    </row>
    <row r="294" spans="1:10" x14ac:dyDescent="0.25">
      <c r="A294" s="30" t="s">
        <v>315</v>
      </c>
      <c r="B294" s="30" t="s">
        <v>665</v>
      </c>
      <c r="C294" s="30" t="s">
        <v>334</v>
      </c>
      <c r="D294" s="30" t="s">
        <v>666</v>
      </c>
      <c r="E294" s="30" t="s">
        <v>315</v>
      </c>
      <c r="F294" s="30" t="s">
        <v>721</v>
      </c>
      <c r="G294" s="30"/>
      <c r="H294" s="30" t="s">
        <v>652</v>
      </c>
      <c r="I294" s="30"/>
      <c r="J294" s="31" t="s">
        <v>652</v>
      </c>
    </row>
    <row r="295" spans="1:10" x14ac:dyDescent="0.25">
      <c r="A295" s="30" t="s">
        <v>315</v>
      </c>
      <c r="B295" s="30" t="s">
        <v>665</v>
      </c>
      <c r="C295" s="30" t="s">
        <v>334</v>
      </c>
      <c r="D295" s="30" t="s">
        <v>666</v>
      </c>
      <c r="E295" s="30" t="s">
        <v>315</v>
      </c>
      <c r="F295" s="30" t="s">
        <v>722</v>
      </c>
      <c r="G295" s="30"/>
      <c r="H295" s="30" t="s">
        <v>652</v>
      </c>
      <c r="I295" s="30"/>
      <c r="J295" s="31" t="s">
        <v>652</v>
      </c>
    </row>
    <row r="296" spans="1:10" x14ac:dyDescent="0.25">
      <c r="A296" s="30" t="s">
        <v>315</v>
      </c>
      <c r="B296" s="30" t="s">
        <v>665</v>
      </c>
      <c r="C296" s="30" t="s">
        <v>334</v>
      </c>
      <c r="D296" s="30" t="s">
        <v>666</v>
      </c>
      <c r="E296" s="30" t="s">
        <v>315</v>
      </c>
      <c r="F296" s="30" t="s">
        <v>53</v>
      </c>
      <c r="G296" s="30"/>
      <c r="H296" s="30" t="s">
        <v>652</v>
      </c>
      <c r="I296" s="30"/>
      <c r="J296" s="31" t="s">
        <v>652</v>
      </c>
    </row>
    <row r="297" spans="1:10" x14ac:dyDescent="0.25">
      <c r="A297" s="30" t="s">
        <v>315</v>
      </c>
      <c r="B297" s="30" t="s">
        <v>665</v>
      </c>
      <c r="C297" s="30" t="s">
        <v>334</v>
      </c>
      <c r="D297" s="30" t="s">
        <v>666</v>
      </c>
      <c r="E297" s="30" t="s">
        <v>315</v>
      </c>
      <c r="F297" s="30" t="s">
        <v>69</v>
      </c>
      <c r="G297" s="30"/>
      <c r="H297" s="30" t="s">
        <v>652</v>
      </c>
      <c r="I297" s="30"/>
      <c r="J297" s="31" t="s">
        <v>652</v>
      </c>
    </row>
    <row r="298" spans="1:10" x14ac:dyDescent="0.25">
      <c r="A298" s="30" t="s">
        <v>315</v>
      </c>
      <c r="B298" s="30" t="s">
        <v>665</v>
      </c>
      <c r="C298" s="30" t="s">
        <v>334</v>
      </c>
      <c r="D298" s="30" t="s">
        <v>666</v>
      </c>
      <c r="E298" s="30" t="s">
        <v>315</v>
      </c>
      <c r="F298" s="30" t="s">
        <v>200</v>
      </c>
      <c r="G298" s="30"/>
      <c r="H298" s="30" t="s">
        <v>652</v>
      </c>
      <c r="I298" s="30"/>
      <c r="J298" s="31" t="s">
        <v>652</v>
      </c>
    </row>
    <row r="299" spans="1:10" x14ac:dyDescent="0.25">
      <c r="A299" s="30" t="s">
        <v>315</v>
      </c>
      <c r="B299" s="30" t="s">
        <v>665</v>
      </c>
      <c r="C299" s="30" t="s">
        <v>334</v>
      </c>
      <c r="D299" s="30" t="s">
        <v>666</v>
      </c>
      <c r="E299" s="30" t="s">
        <v>315</v>
      </c>
      <c r="F299" s="30" t="s">
        <v>110</v>
      </c>
      <c r="G299" s="30"/>
      <c r="H299" s="30" t="s">
        <v>652</v>
      </c>
      <c r="I299" s="30"/>
      <c r="J299" s="31" t="s">
        <v>652</v>
      </c>
    </row>
    <row r="300" spans="1:10" x14ac:dyDescent="0.25">
      <c r="A300" s="30" t="s">
        <v>315</v>
      </c>
      <c r="B300" s="30" t="s">
        <v>665</v>
      </c>
      <c r="C300" s="30" t="s">
        <v>334</v>
      </c>
      <c r="D300" s="30" t="s">
        <v>666</v>
      </c>
      <c r="E300" s="30" t="s">
        <v>315</v>
      </c>
      <c r="F300" s="30" t="s">
        <v>114</v>
      </c>
      <c r="G300" s="30"/>
      <c r="H300" s="30" t="s">
        <v>652</v>
      </c>
      <c r="I300" s="30"/>
      <c r="J300" s="31" t="s">
        <v>652</v>
      </c>
    </row>
    <row r="301" spans="1:10" x14ac:dyDescent="0.25">
      <c r="A301" s="30" t="s">
        <v>315</v>
      </c>
      <c r="B301" s="30" t="s">
        <v>665</v>
      </c>
      <c r="C301" s="30" t="s">
        <v>334</v>
      </c>
      <c r="D301" s="30" t="s">
        <v>666</v>
      </c>
      <c r="E301" s="30" t="s">
        <v>315</v>
      </c>
      <c r="F301" s="30" t="s">
        <v>204</v>
      </c>
      <c r="G301" s="30"/>
      <c r="H301" s="30" t="s">
        <v>652</v>
      </c>
      <c r="I301" s="30"/>
      <c r="J301" s="31" t="s">
        <v>652</v>
      </c>
    </row>
    <row r="302" spans="1:10" x14ac:dyDescent="0.25">
      <c r="A302" s="30" t="s">
        <v>315</v>
      </c>
      <c r="B302" s="30" t="s">
        <v>665</v>
      </c>
      <c r="C302" s="30" t="s">
        <v>334</v>
      </c>
      <c r="D302" s="30" t="s">
        <v>666</v>
      </c>
      <c r="E302" s="30" t="s">
        <v>315</v>
      </c>
      <c r="F302" s="30" t="s">
        <v>157</v>
      </c>
      <c r="G302" s="30"/>
      <c r="H302" s="30" t="s">
        <v>652</v>
      </c>
      <c r="I302" s="30"/>
      <c r="J302" s="31" t="s">
        <v>652</v>
      </c>
    </row>
    <row r="303" spans="1:10" x14ac:dyDescent="0.25">
      <c r="A303" s="30" t="s">
        <v>315</v>
      </c>
      <c r="B303" s="30" t="s">
        <v>665</v>
      </c>
      <c r="C303" s="30" t="s">
        <v>334</v>
      </c>
      <c r="D303" s="30" t="s">
        <v>666</v>
      </c>
      <c r="E303" s="30" t="s">
        <v>315</v>
      </c>
      <c r="F303" s="30" t="s">
        <v>161</v>
      </c>
      <c r="G303" s="30"/>
      <c r="H303" s="30" t="s">
        <v>652</v>
      </c>
      <c r="I303" s="30"/>
      <c r="J303" s="31" t="s">
        <v>652</v>
      </c>
    </row>
    <row r="304" spans="1:10" x14ac:dyDescent="0.25">
      <c r="A304" s="30" t="s">
        <v>315</v>
      </c>
      <c r="B304" s="30" t="s">
        <v>665</v>
      </c>
      <c r="C304" s="30" t="s">
        <v>334</v>
      </c>
      <c r="D304" s="30" t="s">
        <v>666</v>
      </c>
      <c r="E304" s="30" t="s">
        <v>315</v>
      </c>
      <c r="F304" s="30" t="s">
        <v>723</v>
      </c>
      <c r="G304" s="30"/>
      <c r="H304" s="30" t="s">
        <v>580</v>
      </c>
      <c r="I304" s="30"/>
      <c r="J304" s="31" t="s">
        <v>580</v>
      </c>
    </row>
    <row r="305" spans="1:10" x14ac:dyDescent="0.25">
      <c r="A305" s="30" t="s">
        <v>315</v>
      </c>
      <c r="B305" s="30" t="s">
        <v>665</v>
      </c>
      <c r="C305" s="30" t="s">
        <v>334</v>
      </c>
      <c r="D305" s="30" t="s">
        <v>666</v>
      </c>
      <c r="E305" s="30" t="s">
        <v>315</v>
      </c>
      <c r="F305" s="30" t="s">
        <v>724</v>
      </c>
      <c r="G305" s="30"/>
      <c r="H305" s="30" t="s">
        <v>580</v>
      </c>
      <c r="I305" s="30"/>
      <c r="J305" s="31" t="s">
        <v>580</v>
      </c>
    </row>
    <row r="306" spans="1:10" x14ac:dyDescent="0.25">
      <c r="A306" s="30" t="s">
        <v>315</v>
      </c>
      <c r="B306" s="30" t="s">
        <v>665</v>
      </c>
      <c r="C306" s="30" t="s">
        <v>334</v>
      </c>
      <c r="D306" s="30" t="s">
        <v>666</v>
      </c>
      <c r="E306" s="30" t="s">
        <v>315</v>
      </c>
      <c r="F306" s="30" t="s">
        <v>725</v>
      </c>
      <c r="G306" s="30"/>
      <c r="H306" s="30" t="s">
        <v>580</v>
      </c>
      <c r="I306" s="30"/>
      <c r="J306" s="31" t="s">
        <v>580</v>
      </c>
    </row>
    <row r="307" spans="1:10" x14ac:dyDescent="0.25">
      <c r="A307" s="30" t="s">
        <v>315</v>
      </c>
      <c r="B307" s="30" t="s">
        <v>665</v>
      </c>
      <c r="C307" s="30" t="s">
        <v>334</v>
      </c>
      <c r="D307" s="30" t="s">
        <v>666</v>
      </c>
      <c r="E307" s="30" t="s">
        <v>315</v>
      </c>
      <c r="F307" s="30" t="s">
        <v>57</v>
      </c>
      <c r="G307" s="30"/>
      <c r="H307" s="30" t="s">
        <v>580</v>
      </c>
      <c r="I307" s="30"/>
      <c r="J307" s="31" t="s">
        <v>580</v>
      </c>
    </row>
    <row r="308" spans="1:10" x14ac:dyDescent="0.25">
      <c r="A308" s="30" t="s">
        <v>315</v>
      </c>
      <c r="B308" s="30" t="s">
        <v>665</v>
      </c>
      <c r="C308" s="30" t="s">
        <v>334</v>
      </c>
      <c r="D308" s="30" t="s">
        <v>666</v>
      </c>
      <c r="E308" s="30" t="s">
        <v>315</v>
      </c>
      <c r="F308" s="30" t="s">
        <v>726</v>
      </c>
      <c r="G308" s="30"/>
      <c r="H308" s="30" t="s">
        <v>580</v>
      </c>
      <c r="I308" s="30"/>
      <c r="J308" s="31" t="s">
        <v>580</v>
      </c>
    </row>
    <row r="309" spans="1:10" x14ac:dyDescent="0.25">
      <c r="A309" s="30" t="s">
        <v>315</v>
      </c>
      <c r="B309" s="30" t="s">
        <v>665</v>
      </c>
      <c r="C309" s="30" t="s">
        <v>334</v>
      </c>
      <c r="D309" s="30" t="s">
        <v>666</v>
      </c>
      <c r="E309" s="30" t="s">
        <v>315</v>
      </c>
      <c r="F309" s="30" t="s">
        <v>727</v>
      </c>
      <c r="G309" s="30"/>
      <c r="H309" s="30" t="s">
        <v>580</v>
      </c>
      <c r="I309" s="30"/>
      <c r="J309" s="31" t="s">
        <v>580</v>
      </c>
    </row>
    <row r="310" spans="1:10" x14ac:dyDescent="0.25">
      <c r="A310" s="30" t="s">
        <v>315</v>
      </c>
      <c r="B310" s="30" t="s">
        <v>665</v>
      </c>
      <c r="C310" s="30" t="s">
        <v>334</v>
      </c>
      <c r="D310" s="30" t="s">
        <v>666</v>
      </c>
      <c r="E310" s="30" t="s">
        <v>315</v>
      </c>
      <c r="F310" s="30" t="s">
        <v>728</v>
      </c>
      <c r="G310" s="30"/>
      <c r="H310" s="30" t="s">
        <v>580</v>
      </c>
      <c r="I310" s="30"/>
      <c r="J310" s="31" t="s">
        <v>580</v>
      </c>
    </row>
    <row r="311" spans="1:10" x14ac:dyDescent="0.25">
      <c r="A311" s="30" t="s">
        <v>315</v>
      </c>
      <c r="B311" s="30" t="s">
        <v>665</v>
      </c>
      <c r="C311" s="30" t="s">
        <v>334</v>
      </c>
      <c r="D311" s="30" t="s">
        <v>666</v>
      </c>
      <c r="E311" s="30" t="s">
        <v>315</v>
      </c>
      <c r="F311" s="30" t="s">
        <v>80</v>
      </c>
      <c r="G311" s="30"/>
      <c r="H311" s="30" t="s">
        <v>580</v>
      </c>
      <c r="I311" s="30"/>
      <c r="J311" s="31" t="s">
        <v>580</v>
      </c>
    </row>
    <row r="312" spans="1:10" x14ac:dyDescent="0.25">
      <c r="A312" s="30" t="s">
        <v>315</v>
      </c>
      <c r="B312" s="30" t="s">
        <v>665</v>
      </c>
      <c r="C312" s="30" t="s">
        <v>334</v>
      </c>
      <c r="D312" s="30" t="s">
        <v>666</v>
      </c>
      <c r="E312" s="30" t="s">
        <v>315</v>
      </c>
      <c r="F312" s="30" t="s">
        <v>729</v>
      </c>
      <c r="G312" s="30"/>
      <c r="H312" s="30" t="s">
        <v>580</v>
      </c>
      <c r="I312" s="30"/>
      <c r="J312" s="31" t="s">
        <v>580</v>
      </c>
    </row>
    <row r="313" spans="1:10" x14ac:dyDescent="0.25">
      <c r="A313" s="30" t="s">
        <v>315</v>
      </c>
      <c r="B313" s="30" t="s">
        <v>665</v>
      </c>
      <c r="C313" s="30" t="s">
        <v>334</v>
      </c>
      <c r="D313" s="30" t="s">
        <v>666</v>
      </c>
      <c r="E313" s="30" t="s">
        <v>315</v>
      </c>
      <c r="F313" s="30" t="s">
        <v>730</v>
      </c>
      <c r="G313" s="30"/>
      <c r="H313" s="30" t="s">
        <v>580</v>
      </c>
      <c r="I313" s="30"/>
      <c r="J313" s="31" t="s">
        <v>580</v>
      </c>
    </row>
    <row r="314" spans="1:10" x14ac:dyDescent="0.25">
      <c r="A314" s="30" t="s">
        <v>315</v>
      </c>
      <c r="B314" s="30" t="s">
        <v>665</v>
      </c>
      <c r="C314" s="30" t="s">
        <v>334</v>
      </c>
      <c r="D314" s="30" t="s">
        <v>666</v>
      </c>
      <c r="E314" s="30" t="s">
        <v>315</v>
      </c>
      <c r="F314" s="30" t="s">
        <v>731</v>
      </c>
      <c r="G314" s="30"/>
      <c r="H314" s="30" t="s">
        <v>580</v>
      </c>
      <c r="I314" s="30"/>
      <c r="J314" s="31" t="s">
        <v>580</v>
      </c>
    </row>
    <row r="315" spans="1:10" x14ac:dyDescent="0.25">
      <c r="A315" s="30" t="s">
        <v>315</v>
      </c>
      <c r="B315" s="30" t="s">
        <v>665</v>
      </c>
      <c r="C315" s="30" t="s">
        <v>334</v>
      </c>
      <c r="D315" s="30" t="s">
        <v>666</v>
      </c>
      <c r="E315" s="30" t="s">
        <v>315</v>
      </c>
      <c r="F315" s="30" t="s">
        <v>732</v>
      </c>
      <c r="G315" s="30"/>
      <c r="H315" s="30" t="s">
        <v>580</v>
      </c>
      <c r="I315" s="30"/>
      <c r="J315" s="31" t="s">
        <v>580</v>
      </c>
    </row>
    <row r="316" spans="1:10" x14ac:dyDescent="0.25">
      <c r="A316" s="30" t="s">
        <v>315</v>
      </c>
      <c r="B316" s="30" t="s">
        <v>665</v>
      </c>
      <c r="C316" s="30" t="s">
        <v>334</v>
      </c>
      <c r="D316" s="30" t="s">
        <v>666</v>
      </c>
      <c r="E316" s="30" t="s">
        <v>315</v>
      </c>
      <c r="F316" s="30" t="s">
        <v>733</v>
      </c>
      <c r="G316" s="30"/>
      <c r="H316" s="30" t="s">
        <v>580</v>
      </c>
      <c r="I316" s="30"/>
      <c r="J316" s="31" t="s">
        <v>580</v>
      </c>
    </row>
    <row r="317" spans="1:10" x14ac:dyDescent="0.25">
      <c r="A317" s="30" t="s">
        <v>315</v>
      </c>
      <c r="B317" s="30" t="s">
        <v>665</v>
      </c>
      <c r="C317" s="30" t="s">
        <v>334</v>
      </c>
      <c r="D317" s="30" t="s">
        <v>666</v>
      </c>
      <c r="E317" s="30" t="s">
        <v>315</v>
      </c>
      <c r="F317" s="30" t="s">
        <v>734</v>
      </c>
      <c r="G317" s="30"/>
      <c r="H317" s="30" t="s">
        <v>580</v>
      </c>
      <c r="I317" s="30"/>
      <c r="J317" s="31" t="s">
        <v>580</v>
      </c>
    </row>
    <row r="318" spans="1:10" x14ac:dyDescent="0.25">
      <c r="A318" s="30" t="s">
        <v>315</v>
      </c>
      <c r="B318" s="30" t="s">
        <v>665</v>
      </c>
      <c r="C318" s="30" t="s">
        <v>334</v>
      </c>
      <c r="D318" s="30" t="s">
        <v>666</v>
      </c>
      <c r="E318" s="30" t="s">
        <v>315</v>
      </c>
      <c r="F318" s="30" t="s">
        <v>244</v>
      </c>
      <c r="G318" s="30"/>
      <c r="H318" s="30" t="s">
        <v>580</v>
      </c>
      <c r="I318" s="30"/>
      <c r="J318" s="31" t="s">
        <v>580</v>
      </c>
    </row>
    <row r="319" spans="1:10" x14ac:dyDescent="0.25">
      <c r="A319" s="30" t="s">
        <v>315</v>
      </c>
      <c r="B319" s="30" t="s">
        <v>665</v>
      </c>
      <c r="C319" s="30" t="s">
        <v>334</v>
      </c>
      <c r="D319" s="30" t="s">
        <v>666</v>
      </c>
      <c r="E319" s="30" t="s">
        <v>315</v>
      </c>
      <c r="F319" s="30" t="s">
        <v>735</v>
      </c>
      <c r="G319" s="30"/>
      <c r="H319" s="30" t="s">
        <v>323</v>
      </c>
      <c r="I319" s="30"/>
      <c r="J319" s="31" t="s">
        <v>323</v>
      </c>
    </row>
    <row r="320" spans="1:10" x14ac:dyDescent="0.25">
      <c r="A320" s="30" t="s">
        <v>315</v>
      </c>
      <c r="B320" s="30" t="s">
        <v>665</v>
      </c>
      <c r="C320" s="30" t="s">
        <v>334</v>
      </c>
      <c r="D320" s="30" t="s">
        <v>666</v>
      </c>
      <c r="E320" s="30" t="s">
        <v>315</v>
      </c>
      <c r="F320" s="30" t="s">
        <v>736</v>
      </c>
      <c r="G320" s="30"/>
      <c r="H320" s="30" t="s">
        <v>652</v>
      </c>
      <c r="I320" s="30"/>
      <c r="J320" s="31" t="s">
        <v>652</v>
      </c>
    </row>
    <row r="321" spans="1:10" x14ac:dyDescent="0.25">
      <c r="A321" s="30" t="s">
        <v>315</v>
      </c>
      <c r="B321" s="30" t="s">
        <v>665</v>
      </c>
      <c r="C321" s="30" t="s">
        <v>334</v>
      </c>
      <c r="D321" s="30" t="s">
        <v>666</v>
      </c>
      <c r="E321" s="30" t="s">
        <v>315</v>
      </c>
      <c r="F321" s="30" t="s">
        <v>72</v>
      </c>
      <c r="G321" s="30"/>
      <c r="H321" s="30" t="s">
        <v>652</v>
      </c>
      <c r="I321" s="30"/>
      <c r="J321" s="31" t="s">
        <v>652</v>
      </c>
    </row>
    <row r="322" spans="1:10" x14ac:dyDescent="0.25">
      <c r="A322" s="30" t="s">
        <v>315</v>
      </c>
      <c r="B322" s="30" t="s">
        <v>665</v>
      </c>
      <c r="C322" s="30" t="s">
        <v>334</v>
      </c>
      <c r="D322" s="30" t="s">
        <v>666</v>
      </c>
      <c r="E322" s="30" t="s">
        <v>315</v>
      </c>
      <c r="F322" s="30" t="s">
        <v>737</v>
      </c>
      <c r="G322" s="30"/>
      <c r="H322" s="30" t="s">
        <v>652</v>
      </c>
      <c r="I322" s="30"/>
      <c r="J322" s="31" t="s">
        <v>652</v>
      </c>
    </row>
    <row r="323" spans="1:10" x14ac:dyDescent="0.25">
      <c r="A323" s="30" t="s">
        <v>315</v>
      </c>
      <c r="B323" s="30" t="s">
        <v>665</v>
      </c>
      <c r="C323" s="30" t="s">
        <v>334</v>
      </c>
      <c r="D323" s="30" t="s">
        <v>666</v>
      </c>
      <c r="E323" s="30" t="s">
        <v>315</v>
      </c>
      <c r="F323" s="30" t="s">
        <v>738</v>
      </c>
      <c r="G323" s="30"/>
      <c r="H323" s="30" t="s">
        <v>652</v>
      </c>
      <c r="I323" s="30"/>
      <c r="J323" s="31" t="s">
        <v>652</v>
      </c>
    </row>
    <row r="324" spans="1:10" x14ac:dyDescent="0.25">
      <c r="A324" s="30" t="s">
        <v>315</v>
      </c>
      <c r="B324" s="30" t="s">
        <v>665</v>
      </c>
      <c r="C324" s="30" t="s">
        <v>334</v>
      </c>
      <c r="D324" s="30" t="s">
        <v>666</v>
      </c>
      <c r="E324" s="30" t="s">
        <v>315</v>
      </c>
      <c r="F324" s="30" t="s">
        <v>739</v>
      </c>
      <c r="G324" s="30"/>
      <c r="H324" s="30" t="s">
        <v>652</v>
      </c>
      <c r="I324" s="30"/>
      <c r="J324" s="31" t="s">
        <v>652</v>
      </c>
    </row>
    <row r="325" spans="1:10" x14ac:dyDescent="0.25">
      <c r="A325" s="30" t="s">
        <v>315</v>
      </c>
      <c r="B325" s="30" t="s">
        <v>665</v>
      </c>
      <c r="C325" s="30" t="s">
        <v>334</v>
      </c>
      <c r="D325" s="30" t="s">
        <v>666</v>
      </c>
      <c r="E325" s="30" t="s">
        <v>315</v>
      </c>
      <c r="F325" s="30" t="s">
        <v>740</v>
      </c>
      <c r="G325" s="30"/>
      <c r="H325" s="30" t="s">
        <v>652</v>
      </c>
      <c r="I325" s="30"/>
      <c r="J325" s="31" t="s">
        <v>652</v>
      </c>
    </row>
    <row r="326" spans="1:10" x14ac:dyDescent="0.25">
      <c r="A326" s="30" t="s">
        <v>315</v>
      </c>
      <c r="B326" s="30" t="s">
        <v>665</v>
      </c>
      <c r="C326" s="30" t="s">
        <v>334</v>
      </c>
      <c r="D326" s="30" t="s">
        <v>666</v>
      </c>
      <c r="E326" s="30" t="s">
        <v>315</v>
      </c>
      <c r="F326" s="30" t="s">
        <v>150</v>
      </c>
      <c r="G326" s="30"/>
      <c r="H326" s="30" t="s">
        <v>652</v>
      </c>
      <c r="I326" s="30"/>
      <c r="J326" s="31" t="s">
        <v>652</v>
      </c>
    </row>
    <row r="327" spans="1:10" x14ac:dyDescent="0.25">
      <c r="A327" s="30" t="s">
        <v>315</v>
      </c>
      <c r="B327" s="30" t="s">
        <v>665</v>
      </c>
      <c r="C327" s="30" t="s">
        <v>334</v>
      </c>
      <c r="D327" s="30" t="s">
        <v>666</v>
      </c>
      <c r="E327" s="30" t="s">
        <v>315</v>
      </c>
      <c r="F327" s="30" t="s">
        <v>76</v>
      </c>
      <c r="G327" s="30"/>
      <c r="H327" s="30" t="s">
        <v>580</v>
      </c>
      <c r="I327" s="30"/>
      <c r="J327" s="31" t="s">
        <v>580</v>
      </c>
    </row>
    <row r="328" spans="1:10" x14ac:dyDescent="0.25">
      <c r="A328" s="30" t="s">
        <v>315</v>
      </c>
      <c r="B328" s="30" t="s">
        <v>665</v>
      </c>
      <c r="C328" s="30" t="s">
        <v>334</v>
      </c>
      <c r="D328" s="30" t="s">
        <v>666</v>
      </c>
      <c r="E328" s="30" t="s">
        <v>315</v>
      </c>
      <c r="F328" s="30" t="s">
        <v>741</v>
      </c>
      <c r="G328" s="30"/>
      <c r="H328" s="30" t="s">
        <v>580</v>
      </c>
      <c r="I328" s="30"/>
      <c r="J328" s="31" t="s">
        <v>580</v>
      </c>
    </row>
    <row r="329" spans="1:10" x14ac:dyDescent="0.25">
      <c r="A329" s="30" t="s">
        <v>315</v>
      </c>
      <c r="B329" s="30" t="s">
        <v>665</v>
      </c>
      <c r="C329" s="30" t="s">
        <v>334</v>
      </c>
      <c r="D329" s="30" t="s">
        <v>666</v>
      </c>
      <c r="E329" s="30" t="s">
        <v>315</v>
      </c>
      <c r="F329" s="30" t="s">
        <v>742</v>
      </c>
      <c r="G329" s="30"/>
      <c r="H329" s="30" t="s">
        <v>580</v>
      </c>
      <c r="I329" s="30"/>
      <c r="J329" s="31" t="s">
        <v>580</v>
      </c>
    </row>
    <row r="330" spans="1:10" x14ac:dyDescent="0.25">
      <c r="A330" s="30" t="s">
        <v>315</v>
      </c>
      <c r="B330" s="30" t="s">
        <v>665</v>
      </c>
      <c r="C330" s="30" t="s">
        <v>334</v>
      </c>
      <c r="D330" s="30" t="s">
        <v>666</v>
      </c>
      <c r="E330" s="30" t="s">
        <v>315</v>
      </c>
      <c r="F330" s="30" t="s">
        <v>153</v>
      </c>
      <c r="G330" s="30"/>
      <c r="H330" s="30" t="s">
        <v>580</v>
      </c>
      <c r="I330" s="30"/>
      <c r="J330" s="31" t="s">
        <v>580</v>
      </c>
    </row>
    <row r="331" spans="1:10" x14ac:dyDescent="0.25">
      <c r="A331" s="30" t="s">
        <v>315</v>
      </c>
      <c r="B331" s="30" t="s">
        <v>665</v>
      </c>
      <c r="C331" s="30" t="s">
        <v>334</v>
      </c>
      <c r="D331" s="30" t="s">
        <v>666</v>
      </c>
      <c r="E331" s="30" t="s">
        <v>315</v>
      </c>
      <c r="F331" s="30" t="s">
        <v>743</v>
      </c>
      <c r="G331" s="30"/>
      <c r="H331" s="30" t="s">
        <v>580</v>
      </c>
      <c r="I331" s="30"/>
      <c r="J331" s="31" t="s">
        <v>580</v>
      </c>
    </row>
    <row r="332" spans="1:10" x14ac:dyDescent="0.25">
      <c r="A332" s="30" t="s">
        <v>315</v>
      </c>
      <c r="B332" s="30" t="s">
        <v>665</v>
      </c>
      <c r="C332" s="30" t="s">
        <v>334</v>
      </c>
      <c r="D332" s="30" t="s">
        <v>666</v>
      </c>
      <c r="E332" s="30" t="s">
        <v>315</v>
      </c>
      <c r="F332" s="30" t="s">
        <v>86</v>
      </c>
      <c r="G332" s="30"/>
      <c r="H332" s="30" t="s">
        <v>580</v>
      </c>
      <c r="I332" s="30"/>
      <c r="J332" s="31" t="s">
        <v>580</v>
      </c>
    </row>
    <row r="333" spans="1:10" x14ac:dyDescent="0.25">
      <c r="A333" s="30" t="s">
        <v>315</v>
      </c>
      <c r="B333" s="30" t="s">
        <v>665</v>
      </c>
      <c r="C333" s="30" t="s">
        <v>334</v>
      </c>
      <c r="D333" s="30" t="s">
        <v>666</v>
      </c>
      <c r="E333" s="30" t="s">
        <v>315</v>
      </c>
      <c r="F333" s="30" t="s">
        <v>744</v>
      </c>
      <c r="G333" s="30"/>
      <c r="H333" s="30" t="s">
        <v>652</v>
      </c>
      <c r="I333" s="30"/>
      <c r="J333" s="31" t="s">
        <v>652</v>
      </c>
    </row>
    <row r="334" spans="1:10" x14ac:dyDescent="0.25">
      <c r="A334" s="30" t="s">
        <v>315</v>
      </c>
      <c r="B334" s="30" t="s">
        <v>665</v>
      </c>
      <c r="C334" s="30" t="s">
        <v>334</v>
      </c>
      <c r="D334" s="30" t="s">
        <v>666</v>
      </c>
      <c r="E334" s="30" t="s">
        <v>315</v>
      </c>
      <c r="F334" s="30" t="s">
        <v>745</v>
      </c>
      <c r="G334" s="30"/>
      <c r="H334" s="30" t="s">
        <v>652</v>
      </c>
      <c r="I334" s="30"/>
      <c r="J334" s="31" t="s">
        <v>652</v>
      </c>
    </row>
    <row r="335" spans="1:10" x14ac:dyDescent="0.25">
      <c r="A335" s="30" t="s">
        <v>315</v>
      </c>
      <c r="B335" s="30" t="s">
        <v>665</v>
      </c>
      <c r="C335" s="30" t="s">
        <v>334</v>
      </c>
      <c r="D335" s="30" t="s">
        <v>666</v>
      </c>
      <c r="E335" s="30" t="s">
        <v>315</v>
      </c>
      <c r="F335" s="30" t="s">
        <v>746</v>
      </c>
      <c r="G335" s="30"/>
      <c r="H335" s="30" t="s">
        <v>652</v>
      </c>
      <c r="I335" s="30"/>
      <c r="J335" s="31" t="s">
        <v>652</v>
      </c>
    </row>
    <row r="336" spans="1:10" x14ac:dyDescent="0.25">
      <c r="A336" s="30" t="s">
        <v>315</v>
      </c>
      <c r="B336" s="30" t="s">
        <v>665</v>
      </c>
      <c r="C336" s="30" t="s">
        <v>334</v>
      </c>
      <c r="D336" s="30" t="s">
        <v>666</v>
      </c>
      <c r="E336" s="30" t="s">
        <v>315</v>
      </c>
      <c r="F336" s="30" t="s">
        <v>747</v>
      </c>
      <c r="G336" s="30"/>
      <c r="H336" s="30" t="s">
        <v>652</v>
      </c>
      <c r="I336" s="30"/>
      <c r="J336" s="31" t="s">
        <v>652</v>
      </c>
    </row>
    <row r="337" spans="1:10" x14ac:dyDescent="0.25">
      <c r="A337" s="30" t="s">
        <v>315</v>
      </c>
      <c r="B337" s="30" t="s">
        <v>665</v>
      </c>
      <c r="C337" s="30" t="s">
        <v>334</v>
      </c>
      <c r="D337" s="30" t="s">
        <v>666</v>
      </c>
      <c r="E337" s="30" t="s">
        <v>315</v>
      </c>
      <c r="F337" s="30" t="s">
        <v>106</v>
      </c>
      <c r="G337" s="30"/>
      <c r="H337" s="30" t="s">
        <v>652</v>
      </c>
      <c r="I337" s="30"/>
      <c r="J337" s="31" t="s">
        <v>652</v>
      </c>
    </row>
    <row r="338" spans="1:10" x14ac:dyDescent="0.25">
      <c r="A338" s="30" t="s">
        <v>315</v>
      </c>
      <c r="B338" s="30" t="s">
        <v>665</v>
      </c>
      <c r="C338" s="30" t="s">
        <v>334</v>
      </c>
      <c r="D338" s="30" t="s">
        <v>666</v>
      </c>
      <c r="E338" s="30" t="s">
        <v>315</v>
      </c>
      <c r="F338" s="30" t="s">
        <v>748</v>
      </c>
      <c r="G338" s="30"/>
      <c r="H338" s="30" t="s">
        <v>652</v>
      </c>
      <c r="I338" s="30"/>
      <c r="J338" s="31" t="s">
        <v>652</v>
      </c>
    </row>
    <row r="339" spans="1:10" x14ac:dyDescent="0.25">
      <c r="A339" s="30" t="s">
        <v>315</v>
      </c>
      <c r="B339" s="30" t="s">
        <v>665</v>
      </c>
      <c r="C339" s="30" t="s">
        <v>334</v>
      </c>
      <c r="D339" s="30" t="s">
        <v>666</v>
      </c>
      <c r="E339" s="30" t="s">
        <v>315</v>
      </c>
      <c r="F339" s="30" t="s">
        <v>749</v>
      </c>
      <c r="G339" s="30"/>
      <c r="H339" s="30" t="s">
        <v>652</v>
      </c>
      <c r="I339" s="30"/>
      <c r="J339" s="31" t="s">
        <v>652</v>
      </c>
    </row>
    <row r="340" spans="1:10" x14ac:dyDescent="0.25">
      <c r="A340" s="30" t="s">
        <v>315</v>
      </c>
      <c r="B340" s="30" t="s">
        <v>665</v>
      </c>
      <c r="C340" s="30" t="s">
        <v>334</v>
      </c>
      <c r="D340" s="30" t="s">
        <v>666</v>
      </c>
      <c r="E340" s="30" t="s">
        <v>315</v>
      </c>
      <c r="F340" s="30" t="s">
        <v>232</v>
      </c>
      <c r="G340" s="30"/>
      <c r="H340" s="30" t="s">
        <v>652</v>
      </c>
      <c r="I340" s="30"/>
      <c r="J340" s="31" t="s">
        <v>652</v>
      </c>
    </row>
    <row r="341" spans="1:10" x14ac:dyDescent="0.25">
      <c r="A341" s="30" t="s">
        <v>315</v>
      </c>
      <c r="B341" s="30" t="s">
        <v>665</v>
      </c>
      <c r="C341" s="30" t="s">
        <v>334</v>
      </c>
      <c r="D341" s="30" t="s">
        <v>666</v>
      </c>
      <c r="E341" s="30" t="s">
        <v>315</v>
      </c>
      <c r="F341" s="30" t="s">
        <v>750</v>
      </c>
      <c r="G341" s="30"/>
      <c r="H341" s="30" t="s">
        <v>652</v>
      </c>
      <c r="I341" s="30"/>
      <c r="J341" s="31" t="s">
        <v>652</v>
      </c>
    </row>
    <row r="342" spans="1:10" x14ac:dyDescent="0.25">
      <c r="A342" s="30" t="s">
        <v>315</v>
      </c>
      <c r="B342" s="30" t="s">
        <v>665</v>
      </c>
      <c r="C342" s="30" t="s">
        <v>334</v>
      </c>
      <c r="D342" s="30" t="s">
        <v>666</v>
      </c>
      <c r="E342" s="30" t="s">
        <v>315</v>
      </c>
      <c r="F342" s="30" t="s">
        <v>234</v>
      </c>
      <c r="G342" s="30"/>
      <c r="H342" s="30" t="s">
        <v>652</v>
      </c>
      <c r="I342" s="30"/>
      <c r="J342" s="31" t="s">
        <v>652</v>
      </c>
    </row>
    <row r="343" spans="1:10" x14ac:dyDescent="0.25">
      <c r="A343" s="30" t="s">
        <v>315</v>
      </c>
      <c r="B343" s="30" t="s">
        <v>665</v>
      </c>
      <c r="C343" s="30" t="s">
        <v>334</v>
      </c>
      <c r="D343" s="30" t="s">
        <v>666</v>
      </c>
      <c r="E343" s="30" t="s">
        <v>315</v>
      </c>
      <c r="F343" s="30" t="s">
        <v>236</v>
      </c>
      <c r="G343" s="30"/>
      <c r="H343" s="30" t="s">
        <v>652</v>
      </c>
      <c r="I343" s="30"/>
      <c r="J343" s="31" t="s">
        <v>652</v>
      </c>
    </row>
    <row r="344" spans="1:10" x14ac:dyDescent="0.25">
      <c r="A344" s="30" t="s">
        <v>315</v>
      </c>
      <c r="B344" s="30" t="s">
        <v>665</v>
      </c>
      <c r="C344" s="30" t="s">
        <v>334</v>
      </c>
      <c r="D344" s="30" t="s">
        <v>666</v>
      </c>
      <c r="E344" s="30" t="s">
        <v>315</v>
      </c>
      <c r="F344" s="30" t="s">
        <v>238</v>
      </c>
      <c r="G344" s="30"/>
      <c r="H344" s="30" t="s">
        <v>652</v>
      </c>
      <c r="I344" s="30"/>
      <c r="J344" s="31" t="s">
        <v>652</v>
      </c>
    </row>
    <row r="345" spans="1:10" x14ac:dyDescent="0.25">
      <c r="A345" s="30" t="s">
        <v>315</v>
      </c>
      <c r="B345" s="30" t="s">
        <v>665</v>
      </c>
      <c r="C345" s="30" t="s">
        <v>334</v>
      </c>
      <c r="D345" s="30" t="s">
        <v>666</v>
      </c>
      <c r="E345" s="30" t="s">
        <v>315</v>
      </c>
      <c r="F345" s="30" t="s">
        <v>92</v>
      </c>
      <c r="G345" s="30"/>
      <c r="H345" s="30" t="s">
        <v>652</v>
      </c>
      <c r="I345" s="30"/>
      <c r="J345" s="31" t="s">
        <v>652</v>
      </c>
    </row>
    <row r="346" spans="1:10" x14ac:dyDescent="0.25">
      <c r="A346" s="30" t="s">
        <v>315</v>
      </c>
      <c r="B346" s="30" t="s">
        <v>665</v>
      </c>
      <c r="C346" s="30" t="s">
        <v>334</v>
      </c>
      <c r="D346" s="30" t="s">
        <v>666</v>
      </c>
      <c r="E346" s="30" t="s">
        <v>315</v>
      </c>
      <c r="F346" s="30" t="s">
        <v>751</v>
      </c>
      <c r="G346" s="30"/>
      <c r="H346" s="30" t="s">
        <v>652</v>
      </c>
      <c r="I346" s="30"/>
      <c r="J346" s="31" t="s">
        <v>652</v>
      </c>
    </row>
    <row r="347" spans="1:10" x14ac:dyDescent="0.25">
      <c r="A347" s="30" t="s">
        <v>315</v>
      </c>
      <c r="B347" s="30" t="s">
        <v>665</v>
      </c>
      <c r="C347" s="30" t="s">
        <v>334</v>
      </c>
      <c r="D347" s="30" t="s">
        <v>666</v>
      </c>
      <c r="E347" s="30" t="s">
        <v>315</v>
      </c>
      <c r="F347" s="30" t="s">
        <v>240</v>
      </c>
      <c r="G347" s="30"/>
      <c r="H347" s="30" t="s">
        <v>652</v>
      </c>
      <c r="I347" s="30"/>
      <c r="J347" s="31" t="s">
        <v>652</v>
      </c>
    </row>
    <row r="348" spans="1:10" x14ac:dyDescent="0.25">
      <c r="A348" s="30" t="s">
        <v>315</v>
      </c>
      <c r="B348" s="30" t="s">
        <v>665</v>
      </c>
      <c r="C348" s="30" t="s">
        <v>334</v>
      </c>
      <c r="D348" s="30" t="s">
        <v>666</v>
      </c>
      <c r="E348" s="30" t="s">
        <v>315</v>
      </c>
      <c r="F348" s="30" t="s">
        <v>752</v>
      </c>
      <c r="G348" s="30"/>
      <c r="H348" s="30" t="s">
        <v>652</v>
      </c>
      <c r="I348" s="30"/>
      <c r="J348" s="31" t="s">
        <v>652</v>
      </c>
    </row>
    <row r="349" spans="1:10" x14ac:dyDescent="0.25">
      <c r="A349" s="30" t="s">
        <v>315</v>
      </c>
      <c r="B349" s="30" t="s">
        <v>665</v>
      </c>
      <c r="C349" s="30" t="s">
        <v>334</v>
      </c>
      <c r="D349" s="30" t="s">
        <v>666</v>
      </c>
      <c r="E349" s="30" t="s">
        <v>315</v>
      </c>
      <c r="F349" s="30" t="s">
        <v>147</v>
      </c>
      <c r="G349" s="30"/>
      <c r="H349" s="30" t="s">
        <v>652</v>
      </c>
      <c r="I349" s="30"/>
      <c r="J349" s="31" t="s">
        <v>652</v>
      </c>
    </row>
    <row r="350" spans="1:10" x14ac:dyDescent="0.25">
      <c r="A350" s="30" t="s">
        <v>315</v>
      </c>
      <c r="B350" s="30" t="s">
        <v>665</v>
      </c>
      <c r="C350" s="30" t="s">
        <v>334</v>
      </c>
      <c r="D350" s="30" t="s">
        <v>666</v>
      </c>
      <c r="E350" s="30" t="s">
        <v>315</v>
      </c>
      <c r="F350" s="30" t="s">
        <v>753</v>
      </c>
      <c r="G350" s="30"/>
      <c r="H350" s="30" t="s">
        <v>652</v>
      </c>
      <c r="I350" s="30"/>
      <c r="J350" s="31" t="s">
        <v>652</v>
      </c>
    </row>
    <row r="351" spans="1:10" x14ac:dyDescent="0.25">
      <c r="A351" s="30" t="s">
        <v>315</v>
      </c>
      <c r="B351" s="30" t="s">
        <v>665</v>
      </c>
      <c r="C351" s="30" t="s">
        <v>334</v>
      </c>
      <c r="D351" s="30" t="s">
        <v>666</v>
      </c>
      <c r="E351" s="30" t="s">
        <v>315</v>
      </c>
      <c r="F351" s="30" t="s">
        <v>187</v>
      </c>
      <c r="G351" s="30"/>
      <c r="H351" s="30" t="s">
        <v>580</v>
      </c>
      <c r="I351" s="30"/>
      <c r="J351" s="31" t="s">
        <v>580</v>
      </c>
    </row>
    <row r="352" spans="1:10" x14ac:dyDescent="0.25">
      <c r="A352" s="30" t="s">
        <v>315</v>
      </c>
      <c r="B352" s="30" t="s">
        <v>665</v>
      </c>
      <c r="C352" s="30" t="s">
        <v>334</v>
      </c>
      <c r="D352" s="30" t="s">
        <v>666</v>
      </c>
      <c r="E352" s="30" t="s">
        <v>315</v>
      </c>
      <c r="F352" s="30" t="s">
        <v>94</v>
      </c>
      <c r="G352" s="30"/>
      <c r="H352" s="30" t="s">
        <v>580</v>
      </c>
      <c r="I352" s="30"/>
      <c r="J352" s="31" t="s">
        <v>580</v>
      </c>
    </row>
    <row r="353" spans="1:10" x14ac:dyDescent="0.25">
      <c r="A353" s="30" t="s">
        <v>315</v>
      </c>
      <c r="B353" s="30" t="s">
        <v>665</v>
      </c>
      <c r="C353" s="30" t="s">
        <v>334</v>
      </c>
      <c r="D353" s="30" t="s">
        <v>666</v>
      </c>
      <c r="E353" s="30" t="s">
        <v>315</v>
      </c>
      <c r="F353" s="30" t="s">
        <v>142</v>
      </c>
      <c r="G353" s="30"/>
      <c r="H353" s="30" t="s">
        <v>580</v>
      </c>
      <c r="I353" s="30"/>
      <c r="J353" s="31" t="s">
        <v>580</v>
      </c>
    </row>
    <row r="354" spans="1:10" x14ac:dyDescent="0.25">
      <c r="A354" s="30" t="s">
        <v>315</v>
      </c>
      <c r="B354" s="30" t="s">
        <v>665</v>
      </c>
      <c r="C354" s="30" t="s">
        <v>334</v>
      </c>
      <c r="D354" s="30" t="s">
        <v>666</v>
      </c>
      <c r="E354" s="30" t="s">
        <v>315</v>
      </c>
      <c r="F354" s="30" t="s">
        <v>175</v>
      </c>
      <c r="G354" s="30"/>
      <c r="H354" s="30" t="s">
        <v>580</v>
      </c>
      <c r="I354" s="30"/>
      <c r="J354" s="31" t="s">
        <v>580</v>
      </c>
    </row>
    <row r="355" spans="1:10" x14ac:dyDescent="0.25">
      <c r="A355" s="30" t="s">
        <v>315</v>
      </c>
      <c r="B355" s="30" t="s">
        <v>665</v>
      </c>
      <c r="C355" s="30" t="s">
        <v>334</v>
      </c>
      <c r="D355" s="30" t="s">
        <v>666</v>
      </c>
      <c r="E355" s="30" t="s">
        <v>315</v>
      </c>
      <c r="F355" s="30" t="s">
        <v>47</v>
      </c>
      <c r="G355" s="30"/>
      <c r="H355" s="30" t="s">
        <v>580</v>
      </c>
      <c r="I355" s="30"/>
      <c r="J355" s="31" t="s">
        <v>580</v>
      </c>
    </row>
    <row r="356" spans="1:10" x14ac:dyDescent="0.25">
      <c r="A356" s="30" t="s">
        <v>315</v>
      </c>
      <c r="B356" s="30" t="s">
        <v>665</v>
      </c>
      <c r="C356" s="30" t="s">
        <v>334</v>
      </c>
      <c r="D356" s="30" t="s">
        <v>666</v>
      </c>
      <c r="E356" s="30" t="s">
        <v>315</v>
      </c>
      <c r="F356" s="30" t="s">
        <v>190</v>
      </c>
      <c r="G356" s="30"/>
      <c r="H356" s="30" t="s">
        <v>580</v>
      </c>
      <c r="I356" s="30"/>
      <c r="J356" s="31" t="s">
        <v>580</v>
      </c>
    </row>
    <row r="357" spans="1:10" x14ac:dyDescent="0.25">
      <c r="A357" s="30" t="s">
        <v>315</v>
      </c>
      <c r="B357" s="30" t="s">
        <v>665</v>
      </c>
      <c r="C357" s="30" t="s">
        <v>334</v>
      </c>
      <c r="D357" s="30" t="s">
        <v>666</v>
      </c>
      <c r="E357" s="30" t="s">
        <v>315</v>
      </c>
      <c r="F357" s="30" t="s">
        <v>65</v>
      </c>
      <c r="G357" s="30"/>
      <c r="H357" s="30" t="s">
        <v>580</v>
      </c>
      <c r="I357" s="30"/>
      <c r="J357" s="31" t="s">
        <v>580</v>
      </c>
    </row>
    <row r="358" spans="1:10" x14ac:dyDescent="0.25">
      <c r="A358" s="30" t="s">
        <v>315</v>
      </c>
      <c r="B358" s="30" t="s">
        <v>665</v>
      </c>
      <c r="C358" s="30" t="s">
        <v>334</v>
      </c>
      <c r="D358" s="30" t="s">
        <v>666</v>
      </c>
      <c r="E358" s="30" t="s">
        <v>315</v>
      </c>
      <c r="F358" s="30" t="s">
        <v>78</v>
      </c>
      <c r="G358" s="30"/>
      <c r="H358" s="30" t="s">
        <v>580</v>
      </c>
      <c r="I358" s="30"/>
      <c r="J358" s="31" t="s">
        <v>580</v>
      </c>
    </row>
    <row r="359" spans="1:10" x14ac:dyDescent="0.25">
      <c r="A359" s="30" t="s">
        <v>315</v>
      </c>
      <c r="B359" s="30" t="s">
        <v>665</v>
      </c>
      <c r="C359" s="30" t="s">
        <v>334</v>
      </c>
      <c r="D359" s="30" t="s">
        <v>666</v>
      </c>
      <c r="E359" s="30" t="s">
        <v>315</v>
      </c>
      <c r="F359" s="30" t="s">
        <v>754</v>
      </c>
      <c r="G359" s="30"/>
      <c r="H359" s="30" t="s">
        <v>580</v>
      </c>
      <c r="I359" s="30"/>
      <c r="J359" s="31" t="s">
        <v>580</v>
      </c>
    </row>
    <row r="360" spans="1:10" x14ac:dyDescent="0.25">
      <c r="A360" s="30" t="s">
        <v>315</v>
      </c>
      <c r="B360" s="30" t="s">
        <v>665</v>
      </c>
      <c r="C360" s="30" t="s">
        <v>334</v>
      </c>
      <c r="D360" s="30" t="s">
        <v>666</v>
      </c>
      <c r="E360" s="30" t="s">
        <v>315</v>
      </c>
      <c r="F360" s="30" t="s">
        <v>133</v>
      </c>
      <c r="G360" s="30"/>
      <c r="H360" s="30" t="s">
        <v>580</v>
      </c>
      <c r="I360" s="30"/>
      <c r="J360" s="31" t="s">
        <v>580</v>
      </c>
    </row>
    <row r="361" spans="1:10" x14ac:dyDescent="0.25">
      <c r="A361" s="30" t="s">
        <v>315</v>
      </c>
      <c r="B361" s="30" t="s">
        <v>665</v>
      </c>
      <c r="C361" s="30" t="s">
        <v>334</v>
      </c>
      <c r="D361" s="30" t="s">
        <v>666</v>
      </c>
      <c r="E361" s="30" t="s">
        <v>315</v>
      </c>
      <c r="F361" s="30" t="s">
        <v>167</v>
      </c>
      <c r="G361" s="30"/>
      <c r="H361" s="30" t="s">
        <v>580</v>
      </c>
      <c r="I361" s="30"/>
      <c r="J361" s="31" t="s">
        <v>580</v>
      </c>
    </row>
    <row r="362" spans="1:10" x14ac:dyDescent="0.25">
      <c r="A362" s="30" t="s">
        <v>315</v>
      </c>
      <c r="B362" s="30" t="s">
        <v>665</v>
      </c>
      <c r="C362" s="30" t="s">
        <v>334</v>
      </c>
      <c r="D362" s="30" t="s">
        <v>666</v>
      </c>
      <c r="E362" s="30" t="s">
        <v>315</v>
      </c>
      <c r="F362" s="30" t="s">
        <v>173</v>
      </c>
      <c r="G362" s="30"/>
      <c r="H362" s="30" t="s">
        <v>580</v>
      </c>
      <c r="I362" s="30"/>
      <c r="J362" s="31" t="s">
        <v>580</v>
      </c>
    </row>
    <row r="363" spans="1:10" x14ac:dyDescent="0.25">
      <c r="A363" s="30" t="s">
        <v>315</v>
      </c>
      <c r="B363" s="30" t="s">
        <v>665</v>
      </c>
      <c r="C363" s="30" t="s">
        <v>334</v>
      </c>
      <c r="D363" s="30" t="s">
        <v>666</v>
      </c>
      <c r="E363" s="30" t="s">
        <v>315</v>
      </c>
      <c r="F363" s="30" t="s">
        <v>755</v>
      </c>
      <c r="G363" s="30"/>
      <c r="H363" s="30" t="s">
        <v>652</v>
      </c>
      <c r="I363" s="30"/>
      <c r="J363" s="31" t="s">
        <v>652</v>
      </c>
    </row>
    <row r="364" spans="1:10" x14ac:dyDescent="0.25">
      <c r="A364" s="30" t="s">
        <v>315</v>
      </c>
      <c r="B364" s="30" t="s">
        <v>665</v>
      </c>
      <c r="C364" s="30" t="s">
        <v>334</v>
      </c>
      <c r="D364" s="30" t="s">
        <v>666</v>
      </c>
      <c r="E364" s="30" t="s">
        <v>315</v>
      </c>
      <c r="F364" s="30" t="s">
        <v>756</v>
      </c>
      <c r="G364" s="30"/>
      <c r="H364" s="30" t="s">
        <v>652</v>
      </c>
      <c r="I364" s="30"/>
      <c r="J364" s="31" t="s">
        <v>652</v>
      </c>
    </row>
    <row r="365" spans="1:10" x14ac:dyDescent="0.25">
      <c r="A365" s="30" t="s">
        <v>315</v>
      </c>
      <c r="B365" s="30" t="s">
        <v>665</v>
      </c>
      <c r="C365" s="30" t="s">
        <v>334</v>
      </c>
      <c r="D365" s="30" t="s">
        <v>666</v>
      </c>
      <c r="E365" s="30" t="s">
        <v>315</v>
      </c>
      <c r="F365" s="30" t="s">
        <v>131</v>
      </c>
      <c r="G365" s="30"/>
      <c r="H365" s="30" t="s">
        <v>652</v>
      </c>
      <c r="I365" s="30"/>
      <c r="J365" s="31" t="s">
        <v>652</v>
      </c>
    </row>
    <row r="366" spans="1:10" x14ac:dyDescent="0.25">
      <c r="A366" s="30" t="s">
        <v>315</v>
      </c>
      <c r="B366" s="30" t="s">
        <v>665</v>
      </c>
      <c r="C366" s="30" t="s">
        <v>334</v>
      </c>
      <c r="D366" s="30" t="s">
        <v>666</v>
      </c>
      <c r="E366" s="30" t="s">
        <v>315</v>
      </c>
      <c r="F366" s="30" t="s">
        <v>37</v>
      </c>
      <c r="G366" s="30"/>
      <c r="H366" s="30" t="s">
        <v>580</v>
      </c>
      <c r="I366" s="30"/>
      <c r="J366" s="31" t="s">
        <v>652</v>
      </c>
    </row>
    <row r="367" spans="1:10" x14ac:dyDescent="0.25">
      <c r="A367" s="30" t="s">
        <v>315</v>
      </c>
      <c r="B367" s="30" t="s">
        <v>665</v>
      </c>
      <c r="C367" s="30" t="s">
        <v>334</v>
      </c>
      <c r="D367" s="30" t="s">
        <v>666</v>
      </c>
      <c r="E367" s="30" t="s">
        <v>315</v>
      </c>
      <c r="F367" s="30" t="s">
        <v>62</v>
      </c>
      <c r="G367" s="30"/>
      <c r="H367" s="30" t="s">
        <v>580</v>
      </c>
      <c r="I367" s="30"/>
      <c r="J367" s="31" t="s">
        <v>652</v>
      </c>
    </row>
    <row r="368" spans="1:10" x14ac:dyDescent="0.25">
      <c r="A368" s="30" t="s">
        <v>315</v>
      </c>
      <c r="B368" s="30" t="s">
        <v>665</v>
      </c>
      <c r="C368" s="30" t="s">
        <v>334</v>
      </c>
      <c r="D368" s="30" t="s">
        <v>666</v>
      </c>
      <c r="E368" s="30" t="s">
        <v>315</v>
      </c>
      <c r="F368" s="30" t="s">
        <v>67</v>
      </c>
      <c r="G368" s="30"/>
      <c r="H368" s="30" t="s">
        <v>580</v>
      </c>
      <c r="I368" s="30"/>
      <c r="J368" s="31" t="s">
        <v>652</v>
      </c>
    </row>
    <row r="369" spans="1:10" x14ac:dyDescent="0.25">
      <c r="A369" s="30" t="s">
        <v>315</v>
      </c>
      <c r="B369" s="30" t="s">
        <v>665</v>
      </c>
      <c r="C369" s="30" t="s">
        <v>334</v>
      </c>
      <c r="D369" s="30" t="s">
        <v>666</v>
      </c>
      <c r="E369" s="30" t="s">
        <v>315</v>
      </c>
      <c r="F369" s="30" t="s">
        <v>194</v>
      </c>
      <c r="G369" s="30"/>
      <c r="H369" s="30" t="s">
        <v>580</v>
      </c>
      <c r="I369" s="30"/>
      <c r="J369" s="31" t="s">
        <v>652</v>
      </c>
    </row>
    <row r="370" spans="1:10" x14ac:dyDescent="0.25">
      <c r="A370" s="30" t="s">
        <v>315</v>
      </c>
      <c r="B370" s="30" t="s">
        <v>665</v>
      </c>
      <c r="C370" s="30" t="s">
        <v>334</v>
      </c>
      <c r="D370" s="30" t="s">
        <v>666</v>
      </c>
      <c r="E370" s="30" t="s">
        <v>315</v>
      </c>
      <c r="F370" s="30" t="s">
        <v>196</v>
      </c>
      <c r="G370" s="30"/>
      <c r="H370" s="30" t="s">
        <v>580</v>
      </c>
      <c r="I370" s="30"/>
      <c r="J370" s="31" t="s">
        <v>652</v>
      </c>
    </row>
    <row r="371" spans="1:10" x14ac:dyDescent="0.25">
      <c r="A371" s="30" t="s">
        <v>315</v>
      </c>
      <c r="B371" s="30" t="s">
        <v>665</v>
      </c>
      <c r="C371" s="30" t="s">
        <v>334</v>
      </c>
      <c r="D371" s="30" t="s">
        <v>666</v>
      </c>
      <c r="E371" s="30" t="s">
        <v>315</v>
      </c>
      <c r="F371" s="30" t="s">
        <v>757</v>
      </c>
      <c r="G371" s="30"/>
      <c r="H371" s="30" t="s">
        <v>580</v>
      </c>
      <c r="I371" s="30"/>
      <c r="J371" s="31" t="s">
        <v>652</v>
      </c>
    </row>
    <row r="372" spans="1:10" x14ac:dyDescent="0.25">
      <c r="A372" s="30" t="s">
        <v>315</v>
      </c>
      <c r="B372" s="30" t="s">
        <v>665</v>
      </c>
      <c r="C372" s="30" t="s">
        <v>334</v>
      </c>
      <c r="D372" s="30" t="s">
        <v>666</v>
      </c>
      <c r="E372" s="30" t="s">
        <v>315</v>
      </c>
      <c r="F372" s="30" t="s">
        <v>101</v>
      </c>
      <c r="G372" s="30"/>
      <c r="H372" s="30" t="s">
        <v>580</v>
      </c>
      <c r="I372" s="30"/>
      <c r="J372" s="31" t="s">
        <v>652</v>
      </c>
    </row>
    <row r="373" spans="1:10" x14ac:dyDescent="0.25">
      <c r="A373" s="30" t="s">
        <v>315</v>
      </c>
      <c r="B373" s="30" t="s">
        <v>665</v>
      </c>
      <c r="C373" s="30" t="s">
        <v>334</v>
      </c>
      <c r="D373" s="30" t="s">
        <v>666</v>
      </c>
      <c r="E373" s="30" t="s">
        <v>315</v>
      </c>
      <c r="F373" s="30" t="s">
        <v>103</v>
      </c>
      <c r="G373" s="30"/>
      <c r="H373" s="30" t="s">
        <v>580</v>
      </c>
      <c r="I373" s="30"/>
      <c r="J373" s="31" t="s">
        <v>652</v>
      </c>
    </row>
    <row r="374" spans="1:10" x14ac:dyDescent="0.25">
      <c r="A374" s="30" t="s">
        <v>315</v>
      </c>
      <c r="B374" s="30" t="s">
        <v>665</v>
      </c>
      <c r="C374" s="30" t="s">
        <v>334</v>
      </c>
      <c r="D374" s="30" t="s">
        <v>666</v>
      </c>
      <c r="E374" s="30" t="s">
        <v>315</v>
      </c>
      <c r="F374" s="30" t="s">
        <v>108</v>
      </c>
      <c r="G374" s="30"/>
      <c r="H374" s="30" t="s">
        <v>580</v>
      </c>
      <c r="I374" s="30"/>
      <c r="J374" s="31" t="s">
        <v>652</v>
      </c>
    </row>
    <row r="375" spans="1:10" x14ac:dyDescent="0.25">
      <c r="A375" s="30" t="s">
        <v>315</v>
      </c>
      <c r="B375" s="30" t="s">
        <v>665</v>
      </c>
      <c r="C375" s="30" t="s">
        <v>334</v>
      </c>
      <c r="D375" s="30" t="s">
        <v>666</v>
      </c>
      <c r="E375" s="30" t="s">
        <v>315</v>
      </c>
      <c r="F375" s="30" t="s">
        <v>202</v>
      </c>
      <c r="G375" s="30"/>
      <c r="H375" s="30" t="s">
        <v>580</v>
      </c>
      <c r="I375" s="30"/>
      <c r="J375" s="31" t="s">
        <v>652</v>
      </c>
    </row>
    <row r="376" spans="1:10" x14ac:dyDescent="0.25">
      <c r="A376" s="30" t="s">
        <v>315</v>
      </c>
      <c r="B376" s="30" t="s">
        <v>665</v>
      </c>
      <c r="C376" s="30" t="s">
        <v>334</v>
      </c>
      <c r="D376" s="30" t="s">
        <v>666</v>
      </c>
      <c r="E376" s="30" t="s">
        <v>315</v>
      </c>
      <c r="F376" s="30" t="s">
        <v>112</v>
      </c>
      <c r="G376" s="30"/>
      <c r="H376" s="30" t="s">
        <v>580</v>
      </c>
      <c r="I376" s="30"/>
      <c r="J376" s="31" t="s">
        <v>652</v>
      </c>
    </row>
    <row r="377" spans="1:10" x14ac:dyDescent="0.25">
      <c r="A377" s="30" t="s">
        <v>315</v>
      </c>
      <c r="B377" s="30" t="s">
        <v>665</v>
      </c>
      <c r="C377" s="30" t="s">
        <v>334</v>
      </c>
      <c r="D377" s="30" t="s">
        <v>666</v>
      </c>
      <c r="E377" s="30" t="s">
        <v>315</v>
      </c>
      <c r="F377" s="30" t="s">
        <v>122</v>
      </c>
      <c r="G377" s="30"/>
      <c r="H377" s="30" t="s">
        <v>580</v>
      </c>
      <c r="I377" s="30"/>
      <c r="J377" s="31" t="s">
        <v>652</v>
      </c>
    </row>
    <row r="378" spans="1:10" x14ac:dyDescent="0.25">
      <c r="A378" s="30" t="s">
        <v>315</v>
      </c>
      <c r="B378" s="30" t="s">
        <v>665</v>
      </c>
      <c r="C378" s="30" t="s">
        <v>334</v>
      </c>
      <c r="D378" s="30" t="s">
        <v>666</v>
      </c>
      <c r="E378" s="30" t="s">
        <v>315</v>
      </c>
      <c r="F378" s="30" t="s">
        <v>127</v>
      </c>
      <c r="G378" s="30"/>
      <c r="H378" s="30" t="s">
        <v>580</v>
      </c>
      <c r="I378" s="30"/>
      <c r="J378" s="31" t="s">
        <v>652</v>
      </c>
    </row>
    <row r="379" spans="1:10" x14ac:dyDescent="0.25">
      <c r="A379" s="30" t="s">
        <v>315</v>
      </c>
      <c r="B379" s="30" t="s">
        <v>665</v>
      </c>
      <c r="C379" s="30" t="s">
        <v>334</v>
      </c>
      <c r="D379" s="30" t="s">
        <v>666</v>
      </c>
      <c r="E379" s="30" t="s">
        <v>315</v>
      </c>
      <c r="F379" s="30" t="s">
        <v>758</v>
      </c>
      <c r="G379" s="30"/>
      <c r="H379" s="30" t="s">
        <v>652</v>
      </c>
      <c r="I379" s="30"/>
      <c r="J379" s="31" t="s">
        <v>652</v>
      </c>
    </row>
    <row r="380" spans="1:10" x14ac:dyDescent="0.25">
      <c r="A380" s="30" t="s">
        <v>315</v>
      </c>
      <c r="B380" s="30" t="s">
        <v>665</v>
      </c>
      <c r="C380" s="30" t="s">
        <v>334</v>
      </c>
      <c r="D380" s="30" t="s">
        <v>666</v>
      </c>
      <c r="E380" s="30" t="s">
        <v>315</v>
      </c>
      <c r="F380" s="30" t="s">
        <v>155</v>
      </c>
      <c r="G380" s="30"/>
      <c r="H380" s="30" t="s">
        <v>652</v>
      </c>
      <c r="I380" s="30"/>
      <c r="J380" s="31" t="s">
        <v>652</v>
      </c>
    </row>
    <row r="381" spans="1:10" x14ac:dyDescent="0.25">
      <c r="A381" s="30" t="s">
        <v>315</v>
      </c>
      <c r="B381" s="30" t="s">
        <v>665</v>
      </c>
      <c r="C381" s="30" t="s">
        <v>334</v>
      </c>
      <c r="D381" s="30" t="s">
        <v>666</v>
      </c>
      <c r="E381" s="30" t="s">
        <v>315</v>
      </c>
      <c r="F381" s="30" t="s">
        <v>759</v>
      </c>
      <c r="G381" s="30"/>
      <c r="H381" s="30" t="s">
        <v>580</v>
      </c>
      <c r="I381" s="30"/>
      <c r="J381" s="31" t="s">
        <v>580</v>
      </c>
    </row>
    <row r="382" spans="1:10" x14ac:dyDescent="0.25">
      <c r="A382" s="30" t="s">
        <v>315</v>
      </c>
      <c r="B382" s="30" t="s">
        <v>665</v>
      </c>
      <c r="C382" s="30" t="s">
        <v>334</v>
      </c>
      <c r="D382" s="30" t="s">
        <v>666</v>
      </c>
      <c r="E382" s="30" t="s">
        <v>315</v>
      </c>
      <c r="F382" s="30" t="s">
        <v>760</v>
      </c>
      <c r="G382" s="30"/>
      <c r="H382" s="30" t="s">
        <v>580</v>
      </c>
      <c r="I382" s="30"/>
      <c r="J382" s="31" t="s">
        <v>580</v>
      </c>
    </row>
    <row r="383" spans="1:10" x14ac:dyDescent="0.25">
      <c r="A383" s="30" t="s">
        <v>315</v>
      </c>
      <c r="B383" s="30" t="s">
        <v>665</v>
      </c>
      <c r="C383" s="30" t="s">
        <v>334</v>
      </c>
      <c r="D383" s="30" t="s">
        <v>666</v>
      </c>
      <c r="E383" s="30" t="s">
        <v>315</v>
      </c>
      <c r="F383" s="30" t="s">
        <v>761</v>
      </c>
      <c r="G383" s="30"/>
      <c r="H383" s="30" t="s">
        <v>580</v>
      </c>
      <c r="I383" s="30"/>
      <c r="J383" s="31" t="s">
        <v>580</v>
      </c>
    </row>
    <row r="384" spans="1:10" x14ac:dyDescent="0.25">
      <c r="A384" s="30" t="s">
        <v>315</v>
      </c>
      <c r="B384" s="30" t="s">
        <v>665</v>
      </c>
      <c r="C384" s="30" t="s">
        <v>334</v>
      </c>
      <c r="D384" s="30" t="s">
        <v>666</v>
      </c>
      <c r="E384" s="30" t="s">
        <v>315</v>
      </c>
      <c r="F384" s="30" t="s">
        <v>41</v>
      </c>
      <c r="G384" s="30"/>
      <c r="H384" s="30" t="s">
        <v>580</v>
      </c>
      <c r="I384" s="30"/>
      <c r="J384" s="31" t="s">
        <v>580</v>
      </c>
    </row>
    <row r="385" spans="1:10" x14ac:dyDescent="0.25">
      <c r="A385" s="30" t="s">
        <v>315</v>
      </c>
      <c r="B385" s="30" t="s">
        <v>665</v>
      </c>
      <c r="C385" s="30" t="s">
        <v>334</v>
      </c>
      <c r="D385" s="30" t="s">
        <v>666</v>
      </c>
      <c r="E385" s="30" t="s">
        <v>315</v>
      </c>
      <c r="F385" s="30" t="s">
        <v>762</v>
      </c>
      <c r="G385" s="30"/>
      <c r="H385" s="30" t="s">
        <v>580</v>
      </c>
      <c r="I385" s="30"/>
      <c r="J385" s="31" t="s">
        <v>580</v>
      </c>
    </row>
    <row r="386" spans="1:10" x14ac:dyDescent="0.25">
      <c r="A386" s="30" t="s">
        <v>315</v>
      </c>
      <c r="B386" s="30" t="s">
        <v>665</v>
      </c>
      <c r="C386" s="30" t="s">
        <v>334</v>
      </c>
      <c r="D386" s="30" t="s">
        <v>666</v>
      </c>
      <c r="E386" s="30" t="s">
        <v>315</v>
      </c>
      <c r="F386" s="30" t="s">
        <v>763</v>
      </c>
      <c r="G386" s="30"/>
      <c r="H386" s="30" t="s">
        <v>580</v>
      </c>
      <c r="I386" s="30"/>
      <c r="J386" s="31" t="s">
        <v>580</v>
      </c>
    </row>
    <row r="387" spans="1:10" x14ac:dyDescent="0.25">
      <c r="A387" s="30" t="s">
        <v>315</v>
      </c>
      <c r="B387" s="30" t="s">
        <v>665</v>
      </c>
      <c r="C387" s="30" t="s">
        <v>334</v>
      </c>
      <c r="D387" s="30" t="s">
        <v>666</v>
      </c>
      <c r="E387" s="30" t="s">
        <v>315</v>
      </c>
      <c r="F387" s="30" t="s">
        <v>764</v>
      </c>
      <c r="G387" s="30"/>
      <c r="H387" s="30" t="s">
        <v>580</v>
      </c>
      <c r="I387" s="30"/>
      <c r="J387" s="31" t="s">
        <v>580</v>
      </c>
    </row>
    <row r="388" spans="1:10" x14ac:dyDescent="0.25">
      <c r="A388" s="30" t="s">
        <v>315</v>
      </c>
      <c r="B388" s="30" t="s">
        <v>665</v>
      </c>
      <c r="C388" s="30" t="s">
        <v>334</v>
      </c>
      <c r="D388" s="30" t="s">
        <v>666</v>
      </c>
      <c r="E388" s="30" t="s">
        <v>315</v>
      </c>
      <c r="F388" s="30" t="s">
        <v>765</v>
      </c>
      <c r="G388" s="30"/>
      <c r="H388" s="30" t="s">
        <v>580</v>
      </c>
      <c r="I388" s="30"/>
      <c r="J388" s="31" t="s">
        <v>580</v>
      </c>
    </row>
    <row r="389" spans="1:10" x14ac:dyDescent="0.25">
      <c r="A389" s="30" t="s">
        <v>315</v>
      </c>
      <c r="B389" s="30" t="s">
        <v>665</v>
      </c>
      <c r="C389" s="30" t="s">
        <v>334</v>
      </c>
      <c r="D389" s="30" t="s">
        <v>666</v>
      </c>
      <c r="E389" s="30" t="s">
        <v>315</v>
      </c>
      <c r="F389" s="30" t="s">
        <v>766</v>
      </c>
      <c r="G389" s="30"/>
      <c r="H389" s="30" t="s">
        <v>580</v>
      </c>
      <c r="I389" s="30"/>
      <c r="J389" s="31" t="s">
        <v>580</v>
      </c>
    </row>
    <row r="390" spans="1:10" x14ac:dyDescent="0.25">
      <c r="A390" s="30" t="s">
        <v>315</v>
      </c>
      <c r="B390" s="30" t="s">
        <v>665</v>
      </c>
      <c r="C390" s="30" t="s">
        <v>334</v>
      </c>
      <c r="D390" s="30" t="s">
        <v>666</v>
      </c>
      <c r="E390" s="30" t="s">
        <v>315</v>
      </c>
      <c r="F390" s="30" t="s">
        <v>258</v>
      </c>
      <c r="G390" s="30"/>
      <c r="H390" s="30" t="s">
        <v>580</v>
      </c>
      <c r="I390" s="30"/>
      <c r="J390" s="31" t="s">
        <v>580</v>
      </c>
    </row>
    <row r="391" spans="1:10" x14ac:dyDescent="0.25">
      <c r="A391" s="30" t="s">
        <v>315</v>
      </c>
      <c r="B391" s="30" t="s">
        <v>665</v>
      </c>
      <c r="C391" s="30" t="s">
        <v>334</v>
      </c>
      <c r="D391" s="30" t="s">
        <v>666</v>
      </c>
      <c r="E391" s="30" t="s">
        <v>315</v>
      </c>
      <c r="F391" s="30" t="s">
        <v>767</v>
      </c>
      <c r="G391" s="30"/>
      <c r="H391" s="30" t="s">
        <v>580</v>
      </c>
      <c r="I391" s="30"/>
      <c r="J391" s="31" t="s">
        <v>580</v>
      </c>
    </row>
    <row r="392" spans="1:10" x14ac:dyDescent="0.25">
      <c r="A392" s="30" t="s">
        <v>315</v>
      </c>
      <c r="B392" s="30" t="s">
        <v>665</v>
      </c>
      <c r="C392" s="30" t="s">
        <v>334</v>
      </c>
      <c r="D392" s="30" t="s">
        <v>666</v>
      </c>
      <c r="E392" s="30" t="s">
        <v>315</v>
      </c>
      <c r="F392" s="30" t="s">
        <v>768</v>
      </c>
      <c r="G392" s="30"/>
      <c r="H392" s="30" t="s">
        <v>580</v>
      </c>
      <c r="I392" s="30"/>
      <c r="J392" s="31" t="s">
        <v>580</v>
      </c>
    </row>
    <row r="393" spans="1:10" x14ac:dyDescent="0.25">
      <c r="A393" s="30" t="s">
        <v>315</v>
      </c>
      <c r="B393" s="30" t="s">
        <v>665</v>
      </c>
      <c r="C393" s="30" t="s">
        <v>334</v>
      </c>
      <c r="D393" s="30" t="s">
        <v>666</v>
      </c>
      <c r="E393" s="30" t="s">
        <v>315</v>
      </c>
      <c r="F393" s="30" t="s">
        <v>769</v>
      </c>
      <c r="G393" s="30"/>
      <c r="H393" s="30" t="s">
        <v>580</v>
      </c>
      <c r="I393" s="30"/>
      <c r="J393" s="31" t="s">
        <v>580</v>
      </c>
    </row>
    <row r="394" spans="1:10" x14ac:dyDescent="0.25">
      <c r="A394" s="30" t="s">
        <v>315</v>
      </c>
      <c r="B394" s="30" t="s">
        <v>665</v>
      </c>
      <c r="C394" s="30" t="s">
        <v>334</v>
      </c>
      <c r="D394" s="30" t="s">
        <v>666</v>
      </c>
      <c r="E394" s="30" t="s">
        <v>315</v>
      </c>
      <c r="F394" s="30" t="s">
        <v>770</v>
      </c>
      <c r="G394" s="30"/>
      <c r="H394" s="30" t="s">
        <v>580</v>
      </c>
      <c r="I394" s="30"/>
      <c r="J394" s="31" t="s">
        <v>580</v>
      </c>
    </row>
    <row r="395" spans="1:10" x14ac:dyDescent="0.25">
      <c r="A395" s="30" t="s">
        <v>315</v>
      </c>
      <c r="B395" s="30" t="s">
        <v>665</v>
      </c>
      <c r="C395" s="30" t="s">
        <v>334</v>
      </c>
      <c r="D395" s="30" t="s">
        <v>666</v>
      </c>
      <c r="E395" s="30" t="s">
        <v>315</v>
      </c>
      <c r="F395" s="30" t="s">
        <v>116</v>
      </c>
      <c r="G395" s="30"/>
      <c r="H395" s="30" t="s">
        <v>580</v>
      </c>
      <c r="I395" s="30"/>
      <c r="J395" s="31" t="s">
        <v>580</v>
      </c>
    </row>
    <row r="396" spans="1:10" x14ac:dyDescent="0.25">
      <c r="A396" s="30" t="s">
        <v>315</v>
      </c>
      <c r="B396" s="30" t="s">
        <v>665</v>
      </c>
      <c r="C396" s="30" t="s">
        <v>334</v>
      </c>
      <c r="D396" s="30" t="s">
        <v>666</v>
      </c>
      <c r="E396" s="30" t="s">
        <v>315</v>
      </c>
      <c r="F396" s="30" t="s">
        <v>129</v>
      </c>
      <c r="G396" s="30"/>
      <c r="H396" s="30" t="s">
        <v>580</v>
      </c>
      <c r="I396" s="30"/>
      <c r="J396" s="31" t="s">
        <v>580</v>
      </c>
    </row>
    <row r="397" spans="1:10" x14ac:dyDescent="0.25">
      <c r="A397" s="30" t="s">
        <v>315</v>
      </c>
      <c r="B397" s="30" t="s">
        <v>665</v>
      </c>
      <c r="C397" s="30" t="s">
        <v>334</v>
      </c>
      <c r="D397" s="30" t="s">
        <v>666</v>
      </c>
      <c r="E397" s="30" t="s">
        <v>315</v>
      </c>
      <c r="F397" s="30" t="s">
        <v>771</v>
      </c>
      <c r="G397" s="30"/>
      <c r="H397" s="30" t="s">
        <v>580</v>
      </c>
      <c r="I397" s="30"/>
      <c r="J397" s="31" t="s">
        <v>580</v>
      </c>
    </row>
    <row r="398" spans="1:10" x14ac:dyDescent="0.25">
      <c r="A398" s="30" t="s">
        <v>315</v>
      </c>
      <c r="B398" s="30" t="s">
        <v>665</v>
      </c>
      <c r="C398" s="30" t="s">
        <v>334</v>
      </c>
      <c r="D398" s="30" t="s">
        <v>666</v>
      </c>
      <c r="E398" s="30" t="s">
        <v>315</v>
      </c>
      <c r="F398" s="30" t="s">
        <v>772</v>
      </c>
      <c r="G398" s="30"/>
      <c r="H398" s="30" t="s">
        <v>580</v>
      </c>
      <c r="I398" s="30"/>
      <c r="J398" s="31" t="s">
        <v>580</v>
      </c>
    </row>
    <row r="399" spans="1:10" x14ac:dyDescent="0.25">
      <c r="A399" s="30" t="s">
        <v>315</v>
      </c>
      <c r="B399" s="30" t="s">
        <v>665</v>
      </c>
      <c r="C399" s="30" t="s">
        <v>334</v>
      </c>
      <c r="D399" s="30" t="s">
        <v>666</v>
      </c>
      <c r="E399" s="30" t="s">
        <v>315</v>
      </c>
      <c r="F399" s="30" t="s">
        <v>773</v>
      </c>
      <c r="G399" s="30"/>
      <c r="H399" s="30" t="s">
        <v>580</v>
      </c>
      <c r="I399" s="30"/>
      <c r="J399" s="31" t="s">
        <v>580</v>
      </c>
    </row>
    <row r="400" spans="1:10" x14ac:dyDescent="0.25">
      <c r="A400" s="30" t="s">
        <v>315</v>
      </c>
      <c r="B400" s="30" t="s">
        <v>665</v>
      </c>
      <c r="C400" s="30" t="s">
        <v>334</v>
      </c>
      <c r="D400" s="30" t="s">
        <v>666</v>
      </c>
      <c r="E400" s="30" t="s">
        <v>315</v>
      </c>
      <c r="F400" s="30" t="s">
        <v>774</v>
      </c>
      <c r="G400" s="30"/>
      <c r="H400" s="30" t="s">
        <v>580</v>
      </c>
      <c r="I400" s="30"/>
      <c r="J400" s="31" t="s">
        <v>580</v>
      </c>
    </row>
    <row r="401" spans="1:10" x14ac:dyDescent="0.25">
      <c r="A401" s="30" t="s">
        <v>315</v>
      </c>
      <c r="B401" s="30" t="s">
        <v>665</v>
      </c>
      <c r="C401" s="30" t="s">
        <v>334</v>
      </c>
      <c r="D401" s="30" t="s">
        <v>666</v>
      </c>
      <c r="E401" s="30" t="s">
        <v>315</v>
      </c>
      <c r="F401" s="30" t="s">
        <v>151</v>
      </c>
      <c r="G401" s="30"/>
      <c r="H401" s="30" t="s">
        <v>580</v>
      </c>
      <c r="I401" s="30"/>
      <c r="J401" s="31" t="s">
        <v>580</v>
      </c>
    </row>
    <row r="402" spans="1:10" x14ac:dyDescent="0.25">
      <c r="A402" s="30" t="s">
        <v>315</v>
      </c>
      <c r="B402" s="30" t="s">
        <v>665</v>
      </c>
      <c r="C402" s="30" t="s">
        <v>334</v>
      </c>
      <c r="D402" s="30" t="s">
        <v>666</v>
      </c>
      <c r="E402" s="30" t="s">
        <v>315</v>
      </c>
      <c r="F402" s="30" t="s">
        <v>775</v>
      </c>
      <c r="G402" s="30"/>
      <c r="H402" s="30" t="s">
        <v>580</v>
      </c>
      <c r="I402" s="30"/>
      <c r="J402" s="31" t="s">
        <v>580</v>
      </c>
    </row>
    <row r="403" spans="1:10" x14ac:dyDescent="0.25">
      <c r="A403" s="30" t="s">
        <v>315</v>
      </c>
      <c r="B403" s="30" t="s">
        <v>665</v>
      </c>
      <c r="C403" s="30" t="s">
        <v>334</v>
      </c>
      <c r="D403" s="30" t="s">
        <v>666</v>
      </c>
      <c r="E403" s="30" t="s">
        <v>315</v>
      </c>
      <c r="F403" s="30" t="s">
        <v>776</v>
      </c>
      <c r="G403" s="30"/>
      <c r="H403" s="30" t="s">
        <v>580</v>
      </c>
      <c r="I403" s="30"/>
      <c r="J403" s="31" t="s">
        <v>580</v>
      </c>
    </row>
    <row r="404" spans="1:10" x14ac:dyDescent="0.25">
      <c r="A404" s="30" t="s">
        <v>315</v>
      </c>
      <c r="B404" s="30" t="s">
        <v>665</v>
      </c>
      <c r="C404" s="30" t="s">
        <v>334</v>
      </c>
      <c r="D404" s="30" t="s">
        <v>666</v>
      </c>
      <c r="E404" s="30" t="s">
        <v>315</v>
      </c>
      <c r="F404" s="30" t="s">
        <v>165</v>
      </c>
      <c r="G404" s="30"/>
      <c r="H404" s="30" t="s">
        <v>580</v>
      </c>
      <c r="I404" s="30"/>
      <c r="J404" s="31" t="s">
        <v>580</v>
      </c>
    </row>
    <row r="405" spans="1:10" x14ac:dyDescent="0.25">
      <c r="A405" s="30" t="s">
        <v>315</v>
      </c>
      <c r="B405" s="30" t="s">
        <v>665</v>
      </c>
      <c r="C405" s="30" t="s">
        <v>334</v>
      </c>
      <c r="D405" s="30" t="s">
        <v>666</v>
      </c>
      <c r="E405" s="30" t="s">
        <v>315</v>
      </c>
      <c r="F405" s="30" t="s">
        <v>777</v>
      </c>
      <c r="G405" s="30"/>
      <c r="H405" s="30" t="s">
        <v>580</v>
      </c>
      <c r="I405" s="30"/>
      <c r="J405" s="31" t="s">
        <v>580</v>
      </c>
    </row>
    <row r="406" spans="1:10" x14ac:dyDescent="0.25">
      <c r="A406" s="30" t="s">
        <v>315</v>
      </c>
      <c r="B406" s="30" t="s">
        <v>665</v>
      </c>
      <c r="C406" s="30" t="s">
        <v>334</v>
      </c>
      <c r="D406" s="30" t="s">
        <v>666</v>
      </c>
      <c r="E406" s="30" t="s">
        <v>315</v>
      </c>
      <c r="F406" s="30" t="s">
        <v>137</v>
      </c>
      <c r="G406" s="30"/>
      <c r="H406" s="30" t="s">
        <v>652</v>
      </c>
      <c r="I406" s="30"/>
      <c r="J406" s="31" t="s">
        <v>652</v>
      </c>
    </row>
    <row r="407" spans="1:10" x14ac:dyDescent="0.25">
      <c r="A407" s="30" t="s">
        <v>315</v>
      </c>
      <c r="B407" s="30" t="s">
        <v>665</v>
      </c>
      <c r="C407" s="30" t="s">
        <v>334</v>
      </c>
      <c r="D407" s="30" t="s">
        <v>666</v>
      </c>
      <c r="E407" s="30" t="s">
        <v>315</v>
      </c>
      <c r="F407" s="30" t="s">
        <v>242</v>
      </c>
      <c r="G407" s="30"/>
      <c r="H407" s="30" t="s">
        <v>652</v>
      </c>
      <c r="I407" s="30"/>
      <c r="J407" s="31" t="s">
        <v>652</v>
      </c>
    </row>
    <row r="408" spans="1:10" x14ac:dyDescent="0.25">
      <c r="A408" s="30" t="s">
        <v>315</v>
      </c>
      <c r="B408" s="30" t="s">
        <v>665</v>
      </c>
      <c r="C408" s="30" t="s">
        <v>334</v>
      </c>
      <c r="D408" s="30" t="s">
        <v>666</v>
      </c>
      <c r="E408" s="30" t="s">
        <v>315</v>
      </c>
      <c r="F408" s="30" t="s">
        <v>778</v>
      </c>
      <c r="G408" s="30"/>
      <c r="H408" s="30" t="s">
        <v>652</v>
      </c>
      <c r="I408" s="30"/>
      <c r="J408" s="31" t="s">
        <v>652</v>
      </c>
    </row>
    <row r="409" spans="1:10" x14ac:dyDescent="0.25">
      <c r="A409" s="30" t="s">
        <v>315</v>
      </c>
      <c r="B409" s="30" t="s">
        <v>665</v>
      </c>
      <c r="C409" s="30" t="s">
        <v>334</v>
      </c>
      <c r="D409" s="30" t="s">
        <v>666</v>
      </c>
      <c r="E409" s="30" t="s">
        <v>315</v>
      </c>
      <c r="F409" s="30" t="s">
        <v>140</v>
      </c>
      <c r="G409" s="30"/>
      <c r="H409" s="30" t="s">
        <v>652</v>
      </c>
      <c r="I409" s="30"/>
      <c r="J409" s="31" t="s">
        <v>652</v>
      </c>
    </row>
    <row r="410" spans="1:10" x14ac:dyDescent="0.25">
      <c r="A410" s="30" t="s">
        <v>315</v>
      </c>
      <c r="B410" s="30" t="s">
        <v>665</v>
      </c>
      <c r="C410" s="30" t="s">
        <v>334</v>
      </c>
      <c r="D410" s="30" t="s">
        <v>666</v>
      </c>
      <c r="E410" s="30" t="s">
        <v>315</v>
      </c>
      <c r="F410" s="30" t="s">
        <v>171</v>
      </c>
      <c r="G410" s="30"/>
      <c r="H410" s="30" t="s">
        <v>652</v>
      </c>
      <c r="I410" s="30"/>
      <c r="J410" s="31" t="s">
        <v>652</v>
      </c>
    </row>
    <row r="411" spans="1:10" x14ac:dyDescent="0.25">
      <c r="A411" s="30" t="s">
        <v>315</v>
      </c>
      <c r="B411" s="30" t="s">
        <v>665</v>
      </c>
      <c r="C411" s="30" t="s">
        <v>334</v>
      </c>
      <c r="D411" s="30" t="s">
        <v>666</v>
      </c>
      <c r="E411" s="30" t="s">
        <v>315</v>
      </c>
      <c r="F411" s="30" t="s">
        <v>125</v>
      </c>
      <c r="G411" s="30"/>
      <c r="H411" s="30" t="s">
        <v>323</v>
      </c>
      <c r="I411" s="30"/>
      <c r="J411" s="31" t="s">
        <v>652</v>
      </c>
    </row>
    <row r="412" spans="1:10" x14ac:dyDescent="0.25">
      <c r="A412" s="30" t="s">
        <v>315</v>
      </c>
      <c r="B412" s="30" t="s">
        <v>665</v>
      </c>
      <c r="C412" s="30" t="s">
        <v>334</v>
      </c>
      <c r="D412" s="30" t="s">
        <v>666</v>
      </c>
      <c r="E412" s="30" t="s">
        <v>315</v>
      </c>
      <c r="F412" s="30" t="s">
        <v>163</v>
      </c>
      <c r="G412" s="30"/>
      <c r="H412" s="30" t="s">
        <v>323</v>
      </c>
      <c r="I412" s="30"/>
      <c r="J412" s="31" t="s">
        <v>652</v>
      </c>
    </row>
    <row r="413" spans="1:10" x14ac:dyDescent="0.25">
      <c r="A413" s="30" t="s">
        <v>315</v>
      </c>
      <c r="B413" s="30" t="s">
        <v>665</v>
      </c>
      <c r="C413" s="30" t="s">
        <v>334</v>
      </c>
      <c r="D413" s="30" t="s">
        <v>666</v>
      </c>
      <c r="E413" s="30" t="s">
        <v>315</v>
      </c>
      <c r="F413" s="30" t="s">
        <v>779</v>
      </c>
      <c r="G413" s="30"/>
      <c r="H413" s="30" t="s">
        <v>652</v>
      </c>
      <c r="I413" s="30"/>
      <c r="J413" s="31" t="s">
        <v>652</v>
      </c>
    </row>
    <row r="414" spans="1:10" x14ac:dyDescent="0.25">
      <c r="A414" s="30" t="s">
        <v>315</v>
      </c>
      <c r="B414" s="30" t="s">
        <v>665</v>
      </c>
      <c r="C414" s="30" t="s">
        <v>334</v>
      </c>
      <c r="D414" s="30" t="s">
        <v>666</v>
      </c>
      <c r="E414" s="30" t="s">
        <v>315</v>
      </c>
      <c r="F414" s="30" t="s">
        <v>780</v>
      </c>
      <c r="G414" s="30"/>
      <c r="H414" s="30" t="s">
        <v>652</v>
      </c>
      <c r="I414" s="30"/>
      <c r="J414" s="31" t="s">
        <v>652</v>
      </c>
    </row>
    <row r="415" spans="1:10" x14ac:dyDescent="0.25">
      <c r="A415" s="30" t="s">
        <v>315</v>
      </c>
      <c r="B415" s="30" t="s">
        <v>665</v>
      </c>
      <c r="C415" s="30" t="s">
        <v>334</v>
      </c>
      <c r="D415" s="30" t="s">
        <v>666</v>
      </c>
      <c r="E415" s="30" t="s">
        <v>315</v>
      </c>
      <c r="F415" s="30" t="s">
        <v>781</v>
      </c>
      <c r="G415" s="30"/>
      <c r="H415" s="30" t="s">
        <v>652</v>
      </c>
      <c r="I415" s="30"/>
      <c r="J415" s="31" t="s">
        <v>652</v>
      </c>
    </row>
    <row r="416" spans="1:10" x14ac:dyDescent="0.25">
      <c r="A416" s="30" t="s">
        <v>315</v>
      </c>
      <c r="B416" s="30" t="s">
        <v>665</v>
      </c>
      <c r="C416" s="30" t="s">
        <v>334</v>
      </c>
      <c r="D416" s="30" t="s">
        <v>666</v>
      </c>
      <c r="E416" s="30" t="s">
        <v>315</v>
      </c>
      <c r="F416" s="30" t="s">
        <v>782</v>
      </c>
      <c r="G416" s="30"/>
      <c r="H416" s="30" t="s">
        <v>652</v>
      </c>
      <c r="I416" s="30"/>
      <c r="J416" s="31" t="s">
        <v>652</v>
      </c>
    </row>
    <row r="417" spans="1:10" x14ac:dyDescent="0.25">
      <c r="A417" s="30" t="s">
        <v>315</v>
      </c>
      <c r="B417" s="30" t="s">
        <v>665</v>
      </c>
      <c r="C417" s="30" t="s">
        <v>334</v>
      </c>
      <c r="D417" s="30" t="s">
        <v>666</v>
      </c>
      <c r="E417" s="30" t="s">
        <v>315</v>
      </c>
      <c r="F417" s="30" t="s">
        <v>145</v>
      </c>
      <c r="G417" s="30"/>
      <c r="H417" s="30" t="s">
        <v>652</v>
      </c>
      <c r="I417" s="30"/>
      <c r="J417" s="31" t="s">
        <v>652</v>
      </c>
    </row>
    <row r="418" spans="1:10" x14ac:dyDescent="0.25">
      <c r="A418" s="30" t="s">
        <v>315</v>
      </c>
      <c r="B418" s="30" t="s">
        <v>665</v>
      </c>
      <c r="C418" s="30" t="s">
        <v>334</v>
      </c>
      <c r="D418" s="30" t="s">
        <v>666</v>
      </c>
      <c r="E418" s="30" t="s">
        <v>315</v>
      </c>
      <c r="F418" s="30" t="s">
        <v>783</v>
      </c>
      <c r="G418" s="30"/>
      <c r="H418" s="30" t="s">
        <v>652</v>
      </c>
      <c r="I418" s="30"/>
      <c r="J418" s="31" t="s">
        <v>652</v>
      </c>
    </row>
    <row r="419" spans="1:10" x14ac:dyDescent="0.25">
      <c r="A419" s="30" t="s">
        <v>315</v>
      </c>
      <c r="B419" s="30" t="s">
        <v>665</v>
      </c>
      <c r="C419" s="30" t="s">
        <v>334</v>
      </c>
      <c r="D419" s="30" t="s">
        <v>666</v>
      </c>
      <c r="E419" s="30" t="s">
        <v>649</v>
      </c>
      <c r="F419" s="30" t="s">
        <v>784</v>
      </c>
      <c r="G419" s="30"/>
      <c r="H419" s="30" t="s">
        <v>323</v>
      </c>
      <c r="I419" s="30"/>
      <c r="J419" s="31" t="s">
        <v>323</v>
      </c>
    </row>
    <row r="420" spans="1:10" x14ac:dyDescent="0.25">
      <c r="A420" s="30" t="s">
        <v>315</v>
      </c>
      <c r="B420" s="30" t="s">
        <v>665</v>
      </c>
      <c r="C420" s="30" t="s">
        <v>334</v>
      </c>
      <c r="D420" s="30" t="s">
        <v>666</v>
      </c>
      <c r="E420" s="30" t="s">
        <v>647</v>
      </c>
      <c r="F420" s="30" t="s">
        <v>667</v>
      </c>
      <c r="G420" s="30"/>
      <c r="H420" s="30" t="s">
        <v>323</v>
      </c>
      <c r="I420" s="30"/>
      <c r="J420" s="31" t="s">
        <v>323</v>
      </c>
    </row>
    <row r="421" spans="1:10" x14ac:dyDescent="0.25">
      <c r="A421" s="30" t="s">
        <v>315</v>
      </c>
      <c r="B421" s="30" t="s">
        <v>665</v>
      </c>
      <c r="C421" s="30" t="s">
        <v>334</v>
      </c>
      <c r="D421" s="30" t="s">
        <v>666</v>
      </c>
      <c r="E421" s="30" t="s">
        <v>785</v>
      </c>
      <c r="F421" s="30" t="s">
        <v>786</v>
      </c>
      <c r="G421" s="30"/>
      <c r="H421" s="30" t="s">
        <v>323</v>
      </c>
      <c r="I421" s="30"/>
      <c r="J421" s="31" t="s">
        <v>323</v>
      </c>
    </row>
    <row r="422" spans="1:10" x14ac:dyDescent="0.25">
      <c r="A422" s="30" t="s">
        <v>315</v>
      </c>
      <c r="B422" s="30" t="s">
        <v>665</v>
      </c>
      <c r="C422" s="30" t="s">
        <v>334</v>
      </c>
      <c r="D422" s="30" t="s">
        <v>666</v>
      </c>
      <c r="E422" s="30" t="s">
        <v>787</v>
      </c>
      <c r="F422" s="30" t="s">
        <v>788</v>
      </c>
      <c r="G422" s="30"/>
      <c r="H422" s="30" t="s">
        <v>323</v>
      </c>
      <c r="I422" s="30"/>
      <c r="J422" s="31" t="s">
        <v>323</v>
      </c>
    </row>
  </sheetData>
  <autoFilter ref="A1:J422" xr:uid="{00000000-0009-0000-0000-000006000000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9099896-f45f-453a-825a-9fe8f98b935c" xsi:nil="true"/>
    <TaxCatchAll xmlns="c08b3372-8e87-483d-bcd9-ba74a6f764c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BDocument_7YR" ma:contentTypeID="0x0101002D77D615B76CBB4B889C0FF9C96FB4AD00D435277B91E21347B9D752467D1A509C" ma:contentTypeVersion="11" ma:contentTypeDescription="Create a new document." ma:contentTypeScope="" ma:versionID="5249397ff506996b1b216dac247722c3">
  <xsd:schema xmlns:xsd="http://www.w3.org/2001/XMLSchema" xmlns:xs="http://www.w3.org/2001/XMLSchema" xmlns:p="http://schemas.microsoft.com/office/2006/metadata/properties" xmlns:ns2="49099896-f45f-453a-825a-9fe8f98b935c" xmlns:ns3="c08b3372-8e87-483d-bcd9-ba74a6f764c4" targetNamespace="http://schemas.microsoft.com/office/2006/metadata/properties" ma:root="true" ma:fieldsID="cc230631337d793f9b547802bdeebb18" ns2:_="" ns3:_="">
    <xsd:import namespace="49099896-f45f-453a-825a-9fe8f98b935c"/>
    <xsd:import namespace="c08b3372-8e87-483d-bcd9-ba74a6f764c4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099896-f45f-453a-825a-9fe8f98b935c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8" nillable="true" ma:displayName="Image Tags_0" ma:hidden="true" ma:internalName="lcf76f155ced4ddcb4097134ff3c332f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8b3372-8e87-483d-bcd9-ba74a6f764c4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706e85b1-a2a4-43e0-a89c-50274cff4c54}" ma:internalName="TaxCatchAll" ma:showField="CatchAllData" ma:web="a7072add-5868-4e10-a10f-8ff2930a3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E81F87-DDFD-481A-9191-7EFA948FDA79}">
  <ds:schemaRefs>
    <ds:schemaRef ds:uri="http://schemas.microsoft.com/office/2006/metadata/properties"/>
    <ds:schemaRef ds:uri="http://schemas.microsoft.com/office/infopath/2007/PartnerControls"/>
    <ds:schemaRef ds:uri="49099896-f45f-453a-825a-9fe8f98b935c"/>
    <ds:schemaRef ds:uri="c08b3372-8e87-483d-bcd9-ba74a6f764c4"/>
  </ds:schemaRefs>
</ds:datastoreItem>
</file>

<file path=customXml/itemProps2.xml><?xml version="1.0" encoding="utf-8"?>
<ds:datastoreItem xmlns:ds="http://schemas.openxmlformats.org/officeDocument/2006/customXml" ds:itemID="{91E975C8-5B87-4CD0-92EC-281F8DDAB7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099896-f45f-453a-825a-9fe8f98b935c"/>
    <ds:schemaRef ds:uri="c08b3372-8e87-483d-bcd9-ba74a6f764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4EA1B1A-35AB-4878-AA34-919CC65C4B8C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25BA625-CD51-4109-ABF6-68E2A74D93DD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95e66ecc-f2c2-464b-84d9-8fda407bc923}" enabled="0" method="" siteId="{95e66ecc-f2c2-464b-84d9-8fda407bc92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Tarifario</vt:lpstr>
      <vt:lpstr>B_Tarifas</vt:lpstr>
      <vt:lpstr>Aumentos</vt:lpstr>
      <vt:lpstr>Hoja1</vt:lpstr>
      <vt:lpstr>Extracostos</vt:lpstr>
      <vt:lpstr>Rutas</vt:lpstr>
      <vt:lpstr>Locations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Gomez, Fernando</dc:creator>
  <cp:lastModifiedBy>Gomez, Fernando</cp:lastModifiedBy>
  <dcterms:created xsi:type="dcterms:W3CDTF">2018-12-12T15:31:47Z</dcterms:created>
  <dcterms:modified xsi:type="dcterms:W3CDTF">2025-11-04T14:40:25Z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0x0101002D77D615B76CBB4B889C0FF9C96FB4AD00D435277B91E21347B9D752467D1A509C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